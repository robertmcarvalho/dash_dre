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9793a6b2457fc0/dash_dre_flux/data/"/>
    </mc:Choice>
  </mc:AlternateContent>
  <xr:revisionPtr revIDLastSave="5" documentId="13_ncr:1_{780D5F01-0F83-4999-970D-26491AA8949D}" xr6:coauthVersionLast="47" xr6:coauthVersionMax="47" xr10:uidLastSave="{D17E1FD6-DE1E-4BCE-8A81-874DBA89EE89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Planilha1!$A$1:$V$972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72" i="1" l="1"/>
  <c r="J972" i="1"/>
  <c r="I972" i="1"/>
  <c r="G972" i="1"/>
  <c r="F972" i="1"/>
  <c r="E972" i="1"/>
  <c r="D972" i="1"/>
  <c r="C972" i="1"/>
  <c r="B972" i="1"/>
  <c r="A972" i="1"/>
  <c r="S971" i="1"/>
  <c r="O971" i="1"/>
  <c r="K971" i="1"/>
  <c r="J971" i="1"/>
  <c r="I971" i="1"/>
  <c r="H971" i="1"/>
  <c r="G971" i="1"/>
  <c r="F971" i="1"/>
  <c r="E971" i="1"/>
  <c r="D971" i="1"/>
  <c r="C971" i="1"/>
  <c r="B971" i="1"/>
  <c r="A971" i="1"/>
  <c r="R970" i="1"/>
  <c r="J970" i="1"/>
  <c r="I970" i="1"/>
  <c r="G970" i="1"/>
  <c r="F970" i="1"/>
  <c r="E970" i="1"/>
  <c r="D970" i="1"/>
  <c r="C970" i="1"/>
  <c r="B970" i="1"/>
  <c r="A970" i="1"/>
  <c r="S969" i="1"/>
  <c r="O969" i="1"/>
  <c r="K969" i="1"/>
  <c r="J969" i="1"/>
  <c r="I969" i="1"/>
  <c r="H969" i="1"/>
  <c r="G969" i="1"/>
  <c r="F969" i="1"/>
  <c r="E969" i="1"/>
  <c r="D969" i="1"/>
  <c r="C969" i="1"/>
  <c r="B969" i="1"/>
  <c r="A969" i="1"/>
  <c r="R968" i="1"/>
  <c r="J968" i="1"/>
  <c r="I968" i="1"/>
  <c r="G968" i="1"/>
  <c r="F968" i="1"/>
  <c r="E968" i="1"/>
  <c r="D968" i="1"/>
  <c r="C968" i="1"/>
  <c r="B968" i="1"/>
  <c r="A968" i="1"/>
  <c r="S967" i="1"/>
  <c r="O967" i="1"/>
  <c r="K967" i="1"/>
  <c r="J967" i="1"/>
  <c r="I967" i="1"/>
  <c r="H967" i="1"/>
  <c r="G967" i="1"/>
  <c r="F967" i="1"/>
  <c r="E967" i="1"/>
  <c r="D967" i="1"/>
  <c r="C967" i="1"/>
  <c r="B967" i="1"/>
  <c r="A967" i="1"/>
  <c r="R966" i="1"/>
  <c r="J966" i="1"/>
  <c r="I966" i="1"/>
  <c r="G966" i="1"/>
  <c r="F966" i="1"/>
  <c r="E966" i="1"/>
  <c r="D966" i="1"/>
  <c r="C966" i="1"/>
  <c r="B966" i="1"/>
  <c r="A966" i="1"/>
  <c r="S965" i="1"/>
  <c r="O965" i="1"/>
  <c r="K965" i="1"/>
  <c r="J965" i="1"/>
  <c r="I965" i="1"/>
  <c r="H965" i="1"/>
  <c r="G965" i="1"/>
  <c r="F965" i="1"/>
  <c r="E965" i="1"/>
  <c r="D965" i="1"/>
  <c r="C965" i="1"/>
  <c r="B965" i="1"/>
  <c r="A965" i="1"/>
  <c r="R964" i="1"/>
  <c r="J964" i="1"/>
  <c r="I964" i="1"/>
  <c r="G964" i="1"/>
  <c r="F964" i="1"/>
  <c r="E964" i="1"/>
  <c r="D964" i="1"/>
  <c r="C964" i="1"/>
  <c r="B964" i="1"/>
  <c r="A964" i="1"/>
  <c r="S963" i="1"/>
  <c r="O963" i="1"/>
  <c r="K963" i="1"/>
  <c r="J963" i="1"/>
  <c r="I963" i="1"/>
  <c r="H963" i="1"/>
  <c r="G963" i="1"/>
  <c r="F963" i="1"/>
  <c r="E963" i="1"/>
  <c r="D963" i="1"/>
  <c r="C963" i="1"/>
  <c r="B963" i="1"/>
  <c r="A963" i="1"/>
  <c r="R962" i="1"/>
  <c r="J962" i="1"/>
  <c r="I962" i="1"/>
  <c r="G962" i="1"/>
  <c r="F962" i="1"/>
  <c r="E962" i="1"/>
  <c r="D962" i="1"/>
  <c r="C962" i="1"/>
  <c r="B962" i="1"/>
  <c r="A962" i="1"/>
  <c r="S961" i="1"/>
  <c r="O961" i="1"/>
  <c r="K961" i="1"/>
  <c r="J961" i="1"/>
  <c r="I961" i="1"/>
  <c r="H961" i="1"/>
  <c r="G961" i="1"/>
  <c r="F961" i="1"/>
  <c r="E961" i="1"/>
  <c r="D961" i="1"/>
  <c r="C961" i="1"/>
  <c r="B961" i="1"/>
  <c r="A961" i="1"/>
  <c r="R960" i="1"/>
  <c r="J960" i="1"/>
  <c r="I960" i="1"/>
  <c r="G960" i="1"/>
  <c r="F960" i="1"/>
  <c r="E960" i="1"/>
  <c r="D960" i="1"/>
  <c r="C960" i="1"/>
  <c r="B960" i="1"/>
  <c r="A960" i="1"/>
  <c r="S959" i="1"/>
  <c r="O959" i="1"/>
  <c r="K959" i="1"/>
  <c r="J959" i="1"/>
  <c r="I959" i="1"/>
  <c r="H959" i="1"/>
  <c r="G959" i="1"/>
  <c r="F959" i="1"/>
  <c r="E959" i="1"/>
  <c r="D959" i="1"/>
  <c r="C959" i="1"/>
  <c r="B959" i="1"/>
  <c r="A959" i="1"/>
  <c r="R958" i="1"/>
  <c r="J958" i="1"/>
  <c r="I958" i="1"/>
  <c r="G958" i="1"/>
  <c r="F958" i="1"/>
  <c r="E958" i="1"/>
  <c r="D958" i="1"/>
  <c r="C958" i="1"/>
  <c r="B958" i="1"/>
  <c r="A958" i="1"/>
  <c r="S957" i="1"/>
  <c r="O957" i="1"/>
  <c r="K957" i="1"/>
  <c r="J957" i="1"/>
  <c r="I957" i="1"/>
  <c r="H957" i="1"/>
  <c r="G957" i="1"/>
  <c r="F957" i="1"/>
  <c r="E957" i="1"/>
  <c r="D957" i="1"/>
  <c r="C957" i="1"/>
  <c r="B957" i="1"/>
  <c r="A957" i="1"/>
  <c r="R956" i="1"/>
  <c r="J956" i="1"/>
  <c r="I956" i="1"/>
  <c r="G956" i="1"/>
  <c r="F956" i="1"/>
  <c r="E956" i="1"/>
  <c r="D956" i="1"/>
  <c r="C956" i="1"/>
  <c r="B956" i="1"/>
  <c r="A956" i="1"/>
  <c r="S955" i="1"/>
  <c r="O955" i="1"/>
  <c r="K955" i="1"/>
  <c r="J955" i="1"/>
  <c r="I955" i="1"/>
  <c r="H955" i="1"/>
  <c r="G955" i="1"/>
  <c r="F955" i="1"/>
  <c r="E955" i="1"/>
  <c r="D955" i="1"/>
  <c r="C955" i="1"/>
  <c r="B955" i="1"/>
  <c r="A955" i="1"/>
  <c r="S954" i="1"/>
  <c r="O954" i="1"/>
  <c r="K954" i="1"/>
  <c r="J954" i="1"/>
  <c r="I954" i="1"/>
  <c r="H954" i="1"/>
  <c r="G954" i="1"/>
  <c r="F954" i="1"/>
  <c r="D954" i="1"/>
  <c r="C954" i="1"/>
  <c r="B954" i="1"/>
  <c r="A954" i="1"/>
  <c r="R953" i="1"/>
  <c r="J953" i="1"/>
  <c r="I953" i="1"/>
  <c r="G953" i="1"/>
  <c r="F953" i="1"/>
  <c r="E953" i="1"/>
  <c r="D953" i="1"/>
  <c r="C953" i="1"/>
  <c r="B953" i="1"/>
  <c r="A953" i="1"/>
  <c r="R952" i="1"/>
  <c r="J952" i="1"/>
  <c r="I952" i="1"/>
  <c r="G952" i="1"/>
  <c r="F952" i="1"/>
  <c r="E952" i="1"/>
  <c r="D952" i="1"/>
  <c r="C952" i="1"/>
  <c r="B952" i="1"/>
  <c r="A952" i="1"/>
  <c r="R951" i="1"/>
  <c r="J951" i="1"/>
  <c r="I951" i="1"/>
  <c r="G951" i="1"/>
  <c r="F951" i="1"/>
  <c r="E951" i="1"/>
  <c r="D951" i="1"/>
  <c r="C951" i="1"/>
  <c r="B951" i="1"/>
  <c r="A951" i="1"/>
  <c r="R950" i="1"/>
  <c r="J950" i="1"/>
  <c r="I950" i="1"/>
  <c r="G950" i="1"/>
  <c r="F950" i="1"/>
  <c r="E950" i="1"/>
  <c r="D950" i="1"/>
  <c r="C950" i="1"/>
  <c r="B950" i="1"/>
  <c r="A950" i="1"/>
  <c r="R949" i="1"/>
  <c r="J949" i="1"/>
  <c r="I949" i="1"/>
  <c r="G949" i="1"/>
  <c r="F949" i="1"/>
  <c r="E949" i="1"/>
  <c r="D949" i="1"/>
  <c r="C949" i="1"/>
  <c r="B949" i="1"/>
  <c r="A949" i="1"/>
  <c r="S948" i="1"/>
  <c r="O948" i="1"/>
  <c r="K948" i="1"/>
  <c r="J948" i="1"/>
  <c r="I948" i="1"/>
  <c r="H948" i="1"/>
  <c r="G948" i="1"/>
  <c r="F948" i="1"/>
  <c r="E948" i="1"/>
  <c r="D948" i="1"/>
  <c r="C948" i="1"/>
  <c r="B948" i="1"/>
  <c r="A948" i="1"/>
  <c r="R947" i="1"/>
  <c r="J947" i="1"/>
  <c r="I947" i="1"/>
  <c r="G947" i="1"/>
  <c r="F947" i="1"/>
  <c r="E947" i="1"/>
  <c r="D947" i="1"/>
  <c r="C947" i="1"/>
  <c r="B947" i="1"/>
  <c r="A947" i="1"/>
  <c r="S946" i="1"/>
  <c r="O946" i="1"/>
  <c r="K946" i="1"/>
  <c r="J946" i="1"/>
  <c r="I946" i="1"/>
  <c r="H946" i="1"/>
  <c r="G946" i="1"/>
  <c r="F946" i="1"/>
  <c r="E946" i="1"/>
  <c r="D946" i="1"/>
  <c r="C946" i="1"/>
  <c r="B946" i="1"/>
  <c r="A946" i="1"/>
  <c r="R945" i="1"/>
  <c r="J945" i="1"/>
  <c r="I945" i="1"/>
  <c r="G945" i="1"/>
  <c r="F945" i="1"/>
  <c r="E945" i="1"/>
  <c r="D945" i="1"/>
  <c r="C945" i="1"/>
  <c r="B945" i="1"/>
  <c r="A945" i="1"/>
  <c r="S944" i="1"/>
  <c r="O944" i="1"/>
  <c r="K944" i="1"/>
  <c r="J944" i="1"/>
  <c r="I944" i="1"/>
  <c r="H944" i="1"/>
  <c r="G944" i="1"/>
  <c r="F944" i="1"/>
  <c r="E944" i="1"/>
  <c r="D944" i="1"/>
  <c r="C944" i="1"/>
  <c r="B944" i="1"/>
  <c r="A944" i="1"/>
  <c r="R943" i="1"/>
  <c r="J943" i="1"/>
  <c r="I943" i="1"/>
  <c r="G943" i="1"/>
  <c r="F943" i="1"/>
  <c r="E943" i="1"/>
  <c r="D943" i="1"/>
  <c r="C943" i="1"/>
  <c r="B943" i="1"/>
  <c r="A943" i="1"/>
  <c r="S942" i="1"/>
  <c r="O942" i="1"/>
  <c r="K942" i="1"/>
  <c r="J942" i="1"/>
  <c r="I942" i="1"/>
  <c r="H942" i="1"/>
  <c r="G942" i="1"/>
  <c r="F942" i="1"/>
  <c r="E942" i="1"/>
  <c r="D942" i="1"/>
  <c r="C942" i="1"/>
  <c r="B942" i="1"/>
  <c r="A942" i="1"/>
  <c r="R941" i="1"/>
  <c r="J941" i="1"/>
  <c r="I941" i="1"/>
  <c r="G941" i="1"/>
  <c r="F941" i="1"/>
  <c r="E941" i="1"/>
  <c r="D941" i="1"/>
  <c r="C941" i="1"/>
  <c r="B941" i="1"/>
  <c r="A941" i="1"/>
  <c r="S940" i="1"/>
  <c r="O940" i="1"/>
  <c r="K940" i="1"/>
  <c r="J940" i="1"/>
  <c r="I940" i="1"/>
  <c r="H940" i="1"/>
  <c r="G940" i="1"/>
  <c r="F940" i="1"/>
  <c r="E940" i="1"/>
  <c r="D940" i="1"/>
  <c r="C940" i="1"/>
  <c r="B940" i="1"/>
  <c r="A940" i="1"/>
  <c r="R939" i="1"/>
  <c r="J939" i="1"/>
  <c r="I939" i="1"/>
  <c r="G939" i="1"/>
  <c r="F939" i="1"/>
  <c r="E939" i="1"/>
  <c r="D939" i="1"/>
  <c r="C939" i="1"/>
  <c r="B939" i="1"/>
  <c r="A939" i="1"/>
  <c r="S938" i="1"/>
  <c r="O938" i="1"/>
  <c r="K938" i="1"/>
  <c r="J938" i="1"/>
  <c r="I938" i="1"/>
  <c r="H938" i="1"/>
  <c r="G938" i="1"/>
  <c r="F938" i="1"/>
  <c r="E938" i="1"/>
  <c r="D938" i="1"/>
  <c r="C938" i="1"/>
  <c r="B938" i="1"/>
  <c r="A938" i="1"/>
  <c r="R937" i="1"/>
  <c r="J937" i="1"/>
  <c r="I937" i="1"/>
  <c r="G937" i="1"/>
  <c r="F937" i="1"/>
  <c r="E937" i="1"/>
  <c r="D937" i="1"/>
  <c r="C937" i="1"/>
  <c r="B937" i="1"/>
  <c r="A937" i="1"/>
  <c r="S936" i="1"/>
  <c r="O936" i="1"/>
  <c r="K936" i="1"/>
  <c r="J936" i="1"/>
  <c r="I936" i="1"/>
  <c r="H936" i="1"/>
  <c r="G936" i="1"/>
  <c r="F936" i="1"/>
  <c r="E936" i="1"/>
  <c r="D936" i="1"/>
  <c r="C936" i="1"/>
  <c r="B936" i="1"/>
  <c r="A936" i="1"/>
  <c r="R935" i="1"/>
  <c r="J935" i="1"/>
  <c r="I935" i="1"/>
  <c r="G935" i="1"/>
  <c r="F935" i="1"/>
  <c r="E935" i="1"/>
  <c r="D935" i="1"/>
  <c r="C935" i="1"/>
  <c r="B935" i="1"/>
  <c r="A935" i="1"/>
  <c r="S934" i="1"/>
  <c r="O934" i="1"/>
  <c r="K934" i="1"/>
  <c r="J934" i="1"/>
  <c r="I934" i="1"/>
  <c r="H934" i="1"/>
  <c r="G934" i="1"/>
  <c r="F934" i="1"/>
  <c r="E934" i="1"/>
  <c r="D934" i="1"/>
  <c r="C934" i="1"/>
  <c r="B934" i="1"/>
  <c r="A934" i="1"/>
  <c r="R933" i="1"/>
  <c r="J933" i="1"/>
  <c r="I933" i="1"/>
  <c r="G933" i="1"/>
  <c r="F933" i="1"/>
  <c r="E933" i="1"/>
  <c r="D933" i="1"/>
  <c r="C933" i="1"/>
  <c r="B933" i="1"/>
  <c r="A933" i="1"/>
  <c r="S932" i="1"/>
  <c r="O932" i="1"/>
  <c r="K932" i="1"/>
  <c r="J932" i="1"/>
  <c r="I932" i="1"/>
  <c r="H932" i="1"/>
  <c r="G932" i="1"/>
  <c r="F932" i="1"/>
  <c r="E932" i="1"/>
  <c r="D932" i="1"/>
  <c r="C932" i="1"/>
  <c r="B932" i="1"/>
  <c r="A932" i="1"/>
  <c r="R931" i="1"/>
  <c r="J931" i="1"/>
  <c r="I931" i="1"/>
  <c r="G931" i="1"/>
  <c r="F931" i="1"/>
  <c r="E931" i="1"/>
  <c r="D931" i="1"/>
  <c r="C931" i="1"/>
  <c r="B931" i="1"/>
  <c r="A931" i="1"/>
  <c r="S930" i="1"/>
  <c r="O930" i="1"/>
  <c r="K930" i="1"/>
  <c r="J930" i="1"/>
  <c r="I930" i="1"/>
  <c r="H930" i="1"/>
  <c r="G930" i="1"/>
  <c r="F930" i="1"/>
  <c r="E930" i="1"/>
  <c r="D930" i="1"/>
  <c r="C930" i="1"/>
  <c r="B930" i="1"/>
  <c r="A930" i="1"/>
  <c r="R929" i="1"/>
  <c r="J929" i="1"/>
  <c r="I929" i="1"/>
  <c r="G929" i="1"/>
  <c r="F929" i="1"/>
  <c r="E929" i="1"/>
  <c r="D929" i="1"/>
  <c r="C929" i="1"/>
  <c r="B929" i="1"/>
  <c r="A929" i="1"/>
  <c r="S928" i="1"/>
  <c r="O928" i="1"/>
  <c r="K928" i="1"/>
  <c r="J928" i="1"/>
  <c r="I928" i="1"/>
  <c r="H928" i="1"/>
  <c r="G928" i="1"/>
  <c r="F928" i="1"/>
  <c r="E928" i="1"/>
  <c r="D928" i="1"/>
  <c r="C928" i="1"/>
  <c r="B928" i="1"/>
  <c r="A928" i="1"/>
  <c r="R927" i="1"/>
  <c r="J927" i="1"/>
  <c r="I927" i="1"/>
  <c r="G927" i="1"/>
  <c r="F927" i="1"/>
  <c r="E927" i="1"/>
  <c r="D927" i="1"/>
  <c r="C927" i="1"/>
  <c r="B927" i="1"/>
  <c r="A927" i="1"/>
  <c r="R926" i="1"/>
  <c r="J926" i="1"/>
  <c r="I926" i="1"/>
  <c r="G926" i="1"/>
  <c r="F926" i="1"/>
  <c r="E926" i="1"/>
  <c r="D926" i="1"/>
  <c r="C926" i="1"/>
  <c r="B926" i="1"/>
  <c r="A926" i="1"/>
  <c r="S925" i="1"/>
  <c r="O925" i="1"/>
  <c r="K925" i="1"/>
  <c r="J925" i="1"/>
  <c r="I925" i="1"/>
  <c r="H925" i="1"/>
  <c r="G925" i="1"/>
  <c r="F925" i="1"/>
  <c r="E925" i="1"/>
  <c r="D925" i="1"/>
  <c r="C925" i="1"/>
  <c r="B925" i="1"/>
  <c r="A925" i="1"/>
  <c r="R924" i="1"/>
  <c r="J924" i="1"/>
  <c r="I924" i="1"/>
  <c r="G924" i="1"/>
  <c r="F924" i="1"/>
  <c r="E924" i="1"/>
  <c r="D924" i="1"/>
  <c r="C924" i="1"/>
  <c r="B924" i="1"/>
  <c r="A924" i="1"/>
  <c r="S923" i="1"/>
  <c r="O923" i="1"/>
  <c r="K923" i="1"/>
  <c r="J923" i="1"/>
  <c r="I923" i="1"/>
  <c r="H923" i="1"/>
  <c r="G923" i="1"/>
  <c r="F923" i="1"/>
  <c r="E923" i="1"/>
  <c r="D923" i="1"/>
  <c r="C923" i="1"/>
  <c r="B923" i="1"/>
  <c r="A923" i="1"/>
  <c r="R922" i="1"/>
  <c r="J922" i="1"/>
  <c r="I922" i="1"/>
  <c r="G922" i="1"/>
  <c r="F922" i="1"/>
  <c r="E922" i="1"/>
  <c r="D922" i="1"/>
  <c r="C922" i="1"/>
  <c r="B922" i="1"/>
  <c r="A922" i="1"/>
  <c r="S921" i="1"/>
  <c r="O921" i="1"/>
  <c r="K921" i="1"/>
  <c r="J921" i="1"/>
  <c r="I921" i="1"/>
  <c r="H921" i="1"/>
  <c r="G921" i="1"/>
  <c r="F921" i="1"/>
  <c r="E921" i="1"/>
  <c r="D921" i="1"/>
  <c r="C921" i="1"/>
  <c r="B921" i="1"/>
  <c r="A921" i="1"/>
  <c r="R920" i="1"/>
  <c r="J920" i="1"/>
  <c r="I920" i="1"/>
  <c r="G920" i="1"/>
  <c r="F920" i="1"/>
  <c r="E920" i="1"/>
  <c r="D920" i="1"/>
  <c r="C920" i="1"/>
  <c r="B920" i="1"/>
  <c r="A920" i="1"/>
  <c r="S919" i="1"/>
  <c r="O919" i="1"/>
  <c r="K919" i="1"/>
  <c r="J919" i="1"/>
  <c r="I919" i="1"/>
  <c r="H919" i="1"/>
  <c r="G919" i="1"/>
  <c r="F919" i="1"/>
  <c r="E919" i="1"/>
  <c r="D919" i="1"/>
  <c r="C919" i="1"/>
  <c r="B919" i="1"/>
  <c r="A919" i="1"/>
  <c r="R918" i="1"/>
  <c r="J918" i="1"/>
  <c r="I918" i="1"/>
  <c r="G918" i="1"/>
  <c r="F918" i="1"/>
  <c r="E918" i="1"/>
  <c r="D918" i="1"/>
  <c r="C918" i="1"/>
  <c r="B918" i="1"/>
  <c r="A918" i="1"/>
  <c r="S917" i="1"/>
  <c r="O917" i="1"/>
  <c r="K917" i="1"/>
  <c r="J917" i="1"/>
  <c r="I917" i="1"/>
  <c r="H917" i="1"/>
  <c r="G917" i="1"/>
  <c r="F917" i="1"/>
  <c r="E917" i="1"/>
  <c r="D917" i="1"/>
  <c r="C917" i="1"/>
  <c r="B917" i="1"/>
  <c r="A917" i="1"/>
  <c r="R916" i="1"/>
  <c r="J916" i="1"/>
  <c r="I916" i="1"/>
  <c r="G916" i="1"/>
  <c r="F916" i="1"/>
  <c r="E916" i="1"/>
  <c r="D916" i="1"/>
  <c r="C916" i="1"/>
  <c r="B916" i="1"/>
  <c r="A916" i="1"/>
  <c r="S915" i="1"/>
  <c r="O915" i="1"/>
  <c r="K915" i="1"/>
  <c r="J915" i="1"/>
  <c r="I915" i="1"/>
  <c r="H915" i="1"/>
  <c r="G915" i="1"/>
  <c r="F915" i="1"/>
  <c r="E915" i="1"/>
  <c r="D915" i="1"/>
  <c r="C915" i="1"/>
  <c r="B915" i="1"/>
  <c r="A915" i="1"/>
  <c r="R914" i="1"/>
  <c r="J914" i="1"/>
  <c r="I914" i="1"/>
  <c r="G914" i="1"/>
  <c r="F914" i="1"/>
  <c r="E914" i="1"/>
  <c r="D914" i="1"/>
  <c r="C914" i="1"/>
  <c r="B914" i="1"/>
  <c r="A914" i="1"/>
  <c r="S913" i="1"/>
  <c r="O913" i="1"/>
  <c r="K913" i="1"/>
  <c r="J913" i="1"/>
  <c r="I913" i="1"/>
  <c r="H913" i="1"/>
  <c r="G913" i="1"/>
  <c r="F913" i="1"/>
  <c r="E913" i="1"/>
  <c r="D913" i="1"/>
  <c r="C913" i="1"/>
  <c r="B913" i="1"/>
  <c r="A913" i="1"/>
  <c r="R912" i="1"/>
  <c r="J912" i="1"/>
  <c r="I912" i="1"/>
  <c r="G912" i="1"/>
  <c r="F912" i="1"/>
  <c r="E912" i="1"/>
  <c r="D912" i="1"/>
  <c r="C912" i="1"/>
  <c r="B912" i="1"/>
  <c r="A912" i="1"/>
  <c r="S911" i="1"/>
  <c r="O911" i="1"/>
  <c r="K911" i="1"/>
  <c r="J911" i="1"/>
  <c r="I911" i="1"/>
  <c r="H911" i="1"/>
  <c r="G911" i="1"/>
  <c r="F911" i="1"/>
  <c r="E911" i="1"/>
  <c r="D911" i="1"/>
  <c r="C911" i="1"/>
  <c r="B911" i="1"/>
  <c r="A911" i="1"/>
  <c r="R910" i="1"/>
  <c r="J910" i="1"/>
  <c r="I910" i="1"/>
  <c r="G910" i="1"/>
  <c r="F910" i="1"/>
  <c r="E910" i="1"/>
  <c r="D910" i="1"/>
  <c r="C910" i="1"/>
  <c r="B910" i="1"/>
  <c r="A910" i="1"/>
  <c r="R909" i="1"/>
  <c r="J909" i="1"/>
  <c r="I909" i="1"/>
  <c r="G909" i="1"/>
  <c r="F909" i="1"/>
  <c r="E909" i="1"/>
  <c r="D909" i="1"/>
  <c r="C909" i="1"/>
  <c r="B909" i="1"/>
  <c r="A909" i="1"/>
  <c r="S908" i="1"/>
  <c r="O908" i="1"/>
  <c r="K908" i="1"/>
  <c r="J908" i="1"/>
  <c r="I908" i="1"/>
  <c r="H908" i="1"/>
  <c r="G908" i="1"/>
  <c r="F908" i="1"/>
  <c r="E908" i="1"/>
  <c r="D908" i="1"/>
  <c r="C908" i="1"/>
  <c r="B908" i="1"/>
  <c r="A908" i="1"/>
  <c r="R907" i="1"/>
  <c r="J907" i="1"/>
  <c r="I907" i="1"/>
  <c r="G907" i="1"/>
  <c r="F907" i="1"/>
  <c r="E907" i="1"/>
  <c r="D907" i="1"/>
  <c r="C907" i="1"/>
  <c r="B907" i="1"/>
  <c r="A907" i="1"/>
  <c r="S906" i="1"/>
  <c r="O906" i="1"/>
  <c r="K906" i="1"/>
  <c r="J906" i="1"/>
  <c r="I906" i="1"/>
  <c r="H906" i="1"/>
  <c r="G906" i="1"/>
  <c r="F906" i="1"/>
  <c r="E906" i="1"/>
  <c r="D906" i="1"/>
  <c r="C906" i="1"/>
  <c r="B906" i="1"/>
  <c r="A906" i="1"/>
  <c r="R905" i="1"/>
  <c r="J905" i="1"/>
  <c r="I905" i="1"/>
  <c r="G905" i="1"/>
  <c r="F905" i="1"/>
  <c r="E905" i="1"/>
  <c r="D905" i="1"/>
  <c r="C905" i="1"/>
  <c r="B905" i="1"/>
  <c r="A905" i="1"/>
  <c r="S904" i="1"/>
  <c r="O904" i="1"/>
  <c r="K904" i="1"/>
  <c r="J904" i="1"/>
  <c r="I904" i="1"/>
  <c r="H904" i="1"/>
  <c r="G904" i="1"/>
  <c r="F904" i="1"/>
  <c r="E904" i="1"/>
  <c r="D904" i="1"/>
  <c r="C904" i="1"/>
  <c r="B904" i="1"/>
  <c r="A904" i="1"/>
  <c r="R903" i="1"/>
  <c r="J903" i="1"/>
  <c r="I903" i="1"/>
  <c r="G903" i="1"/>
  <c r="F903" i="1"/>
  <c r="E903" i="1"/>
  <c r="D903" i="1"/>
  <c r="C903" i="1"/>
  <c r="B903" i="1"/>
  <c r="A903" i="1"/>
  <c r="S902" i="1"/>
  <c r="O902" i="1"/>
  <c r="K902" i="1"/>
  <c r="J902" i="1"/>
  <c r="I902" i="1"/>
  <c r="H902" i="1"/>
  <c r="G902" i="1"/>
  <c r="F902" i="1"/>
  <c r="E902" i="1"/>
  <c r="D902" i="1"/>
  <c r="C902" i="1"/>
  <c r="B902" i="1"/>
  <c r="A902" i="1"/>
  <c r="R901" i="1"/>
  <c r="J901" i="1"/>
  <c r="I901" i="1"/>
  <c r="G901" i="1"/>
  <c r="F901" i="1"/>
  <c r="E901" i="1"/>
  <c r="D901" i="1"/>
  <c r="C901" i="1"/>
  <c r="B901" i="1"/>
  <c r="A901" i="1"/>
  <c r="S900" i="1"/>
  <c r="O900" i="1"/>
  <c r="K900" i="1"/>
  <c r="J900" i="1"/>
  <c r="I900" i="1"/>
  <c r="H900" i="1"/>
  <c r="G900" i="1"/>
  <c r="F900" i="1"/>
  <c r="E900" i="1"/>
  <c r="D900" i="1"/>
  <c r="C900" i="1"/>
  <c r="B900" i="1"/>
  <c r="A900" i="1"/>
  <c r="R899" i="1"/>
  <c r="J899" i="1"/>
  <c r="I899" i="1"/>
  <c r="G899" i="1"/>
  <c r="F899" i="1"/>
  <c r="E899" i="1"/>
  <c r="D899" i="1"/>
  <c r="C899" i="1"/>
  <c r="B899" i="1"/>
  <c r="A899" i="1"/>
  <c r="R898" i="1"/>
  <c r="J898" i="1"/>
  <c r="I898" i="1"/>
  <c r="G898" i="1"/>
  <c r="F898" i="1"/>
  <c r="E898" i="1"/>
  <c r="D898" i="1"/>
  <c r="C898" i="1"/>
  <c r="B898" i="1"/>
  <c r="A898" i="1"/>
  <c r="R897" i="1"/>
  <c r="J897" i="1"/>
  <c r="I897" i="1"/>
  <c r="G897" i="1"/>
  <c r="F897" i="1"/>
  <c r="E897" i="1"/>
  <c r="D897" i="1"/>
  <c r="C897" i="1"/>
  <c r="B897" i="1"/>
  <c r="A897" i="1"/>
  <c r="R896" i="1"/>
  <c r="J896" i="1"/>
  <c r="I896" i="1"/>
  <c r="G896" i="1"/>
  <c r="F896" i="1"/>
  <c r="E896" i="1"/>
  <c r="D896" i="1"/>
  <c r="C896" i="1"/>
  <c r="B896" i="1"/>
  <c r="A896" i="1"/>
  <c r="R895" i="1"/>
  <c r="J895" i="1"/>
  <c r="I895" i="1"/>
  <c r="G895" i="1"/>
  <c r="F895" i="1"/>
  <c r="E895" i="1"/>
  <c r="D895" i="1"/>
  <c r="C895" i="1"/>
  <c r="B895" i="1"/>
  <c r="A895" i="1"/>
  <c r="R894" i="1"/>
  <c r="J894" i="1"/>
  <c r="I894" i="1"/>
  <c r="G894" i="1"/>
  <c r="F894" i="1"/>
  <c r="E894" i="1"/>
  <c r="D894" i="1"/>
  <c r="C894" i="1"/>
  <c r="B894" i="1"/>
  <c r="A894" i="1"/>
  <c r="R893" i="1"/>
  <c r="J893" i="1"/>
  <c r="I893" i="1"/>
  <c r="G893" i="1"/>
  <c r="F893" i="1"/>
  <c r="E893" i="1"/>
  <c r="D893" i="1"/>
  <c r="C893" i="1"/>
  <c r="B893" i="1"/>
  <c r="A893" i="1"/>
  <c r="R892" i="1"/>
  <c r="J892" i="1"/>
  <c r="I892" i="1"/>
  <c r="G892" i="1"/>
  <c r="F892" i="1"/>
  <c r="E892" i="1"/>
  <c r="D892" i="1"/>
  <c r="C892" i="1"/>
  <c r="B892" i="1"/>
  <c r="A892" i="1"/>
  <c r="R891" i="1"/>
  <c r="J891" i="1"/>
  <c r="I891" i="1"/>
  <c r="G891" i="1"/>
  <c r="F891" i="1"/>
  <c r="E891" i="1"/>
  <c r="D891" i="1"/>
  <c r="C891" i="1"/>
  <c r="B891" i="1"/>
  <c r="A891" i="1"/>
  <c r="R890" i="1"/>
  <c r="J890" i="1"/>
  <c r="I890" i="1"/>
  <c r="G890" i="1"/>
  <c r="F890" i="1"/>
  <c r="E890" i="1"/>
  <c r="D890" i="1"/>
  <c r="C890" i="1"/>
  <c r="B890" i="1"/>
  <c r="A890" i="1"/>
  <c r="R889" i="1"/>
  <c r="J889" i="1"/>
  <c r="I889" i="1"/>
  <c r="G889" i="1"/>
  <c r="F889" i="1"/>
  <c r="E889" i="1"/>
  <c r="D889" i="1"/>
  <c r="C889" i="1"/>
  <c r="B889" i="1"/>
  <c r="A889" i="1"/>
  <c r="R888" i="1"/>
  <c r="J888" i="1"/>
  <c r="I888" i="1"/>
  <c r="G888" i="1"/>
  <c r="F888" i="1"/>
  <c r="E888" i="1"/>
  <c r="D888" i="1"/>
  <c r="C888" i="1"/>
  <c r="B888" i="1"/>
  <c r="A888" i="1"/>
  <c r="R887" i="1"/>
  <c r="J887" i="1"/>
  <c r="I887" i="1"/>
  <c r="G887" i="1"/>
  <c r="F887" i="1"/>
  <c r="E887" i="1"/>
  <c r="D887" i="1"/>
  <c r="C887" i="1"/>
  <c r="B887" i="1"/>
  <c r="A887" i="1"/>
  <c r="R886" i="1"/>
  <c r="J886" i="1"/>
  <c r="I886" i="1"/>
  <c r="G886" i="1"/>
  <c r="F886" i="1"/>
  <c r="E886" i="1"/>
  <c r="D886" i="1"/>
  <c r="C886" i="1"/>
  <c r="B886" i="1"/>
  <c r="A886" i="1"/>
  <c r="R885" i="1"/>
  <c r="J885" i="1"/>
  <c r="I885" i="1"/>
  <c r="G885" i="1"/>
  <c r="F885" i="1"/>
  <c r="E885" i="1"/>
  <c r="D885" i="1"/>
  <c r="C885" i="1"/>
  <c r="B885" i="1"/>
  <c r="A885" i="1"/>
  <c r="R884" i="1"/>
  <c r="J884" i="1"/>
  <c r="I884" i="1"/>
  <c r="G884" i="1"/>
  <c r="F884" i="1"/>
  <c r="E884" i="1"/>
  <c r="D884" i="1"/>
  <c r="C884" i="1"/>
  <c r="B884" i="1"/>
  <c r="A884" i="1"/>
  <c r="R883" i="1"/>
  <c r="J883" i="1"/>
  <c r="I883" i="1"/>
  <c r="G883" i="1"/>
  <c r="F883" i="1"/>
  <c r="E883" i="1"/>
  <c r="D883" i="1"/>
  <c r="C883" i="1"/>
  <c r="B883" i="1"/>
  <c r="A883" i="1"/>
  <c r="R882" i="1"/>
  <c r="J882" i="1"/>
  <c r="I882" i="1"/>
  <c r="G882" i="1"/>
  <c r="F882" i="1"/>
  <c r="E882" i="1"/>
  <c r="D882" i="1"/>
  <c r="C882" i="1"/>
  <c r="B882" i="1"/>
  <c r="A882" i="1"/>
  <c r="R881" i="1"/>
  <c r="J881" i="1"/>
  <c r="I881" i="1"/>
  <c r="G881" i="1"/>
  <c r="F881" i="1"/>
  <c r="E881" i="1"/>
  <c r="D881" i="1"/>
  <c r="C881" i="1"/>
  <c r="B881" i="1"/>
  <c r="A881" i="1"/>
  <c r="R880" i="1"/>
  <c r="J880" i="1"/>
  <c r="I880" i="1"/>
  <c r="G880" i="1"/>
  <c r="F880" i="1"/>
  <c r="E880" i="1"/>
  <c r="D880" i="1"/>
  <c r="C880" i="1"/>
  <c r="B880" i="1"/>
  <c r="A880" i="1"/>
  <c r="R879" i="1"/>
  <c r="J879" i="1"/>
  <c r="I879" i="1"/>
  <c r="G879" i="1"/>
  <c r="F879" i="1"/>
  <c r="E879" i="1"/>
  <c r="D879" i="1"/>
  <c r="C879" i="1"/>
  <c r="B879" i="1"/>
  <c r="A879" i="1"/>
  <c r="R878" i="1"/>
  <c r="J878" i="1"/>
  <c r="I878" i="1"/>
  <c r="G878" i="1"/>
  <c r="F878" i="1"/>
  <c r="E878" i="1"/>
  <c r="D878" i="1"/>
  <c r="C878" i="1"/>
  <c r="B878" i="1"/>
  <c r="A878" i="1"/>
  <c r="R877" i="1"/>
  <c r="J877" i="1"/>
  <c r="I877" i="1"/>
  <c r="G877" i="1"/>
  <c r="F877" i="1"/>
  <c r="E877" i="1"/>
  <c r="D877" i="1"/>
  <c r="C877" i="1"/>
  <c r="B877" i="1"/>
  <c r="A877" i="1"/>
  <c r="R876" i="1"/>
  <c r="J876" i="1"/>
  <c r="I876" i="1"/>
  <c r="G876" i="1"/>
  <c r="F876" i="1"/>
  <c r="E876" i="1"/>
  <c r="D876" i="1"/>
  <c r="C876" i="1"/>
  <c r="B876" i="1"/>
  <c r="A876" i="1"/>
  <c r="R875" i="1"/>
  <c r="J875" i="1"/>
  <c r="I875" i="1"/>
  <c r="G875" i="1"/>
  <c r="F875" i="1"/>
  <c r="E875" i="1"/>
  <c r="D875" i="1"/>
  <c r="C875" i="1"/>
  <c r="B875" i="1"/>
  <c r="A875" i="1"/>
  <c r="R874" i="1"/>
  <c r="J874" i="1"/>
  <c r="I874" i="1"/>
  <c r="G874" i="1"/>
  <c r="F874" i="1"/>
  <c r="E874" i="1"/>
  <c r="D874" i="1"/>
  <c r="C874" i="1"/>
  <c r="B874" i="1"/>
  <c r="A874" i="1"/>
  <c r="R873" i="1"/>
  <c r="J873" i="1"/>
  <c r="I873" i="1"/>
  <c r="G873" i="1"/>
  <c r="F873" i="1"/>
  <c r="E873" i="1"/>
  <c r="D873" i="1"/>
  <c r="C873" i="1"/>
  <c r="B873" i="1"/>
  <c r="A873" i="1"/>
  <c r="R872" i="1"/>
  <c r="J872" i="1"/>
  <c r="I872" i="1"/>
  <c r="G872" i="1"/>
  <c r="F872" i="1"/>
  <c r="E872" i="1"/>
  <c r="D872" i="1"/>
  <c r="C872" i="1"/>
  <c r="B872" i="1"/>
  <c r="A872" i="1"/>
  <c r="R871" i="1"/>
  <c r="J871" i="1"/>
  <c r="I871" i="1"/>
  <c r="G871" i="1"/>
  <c r="F871" i="1"/>
  <c r="E871" i="1"/>
  <c r="D871" i="1"/>
  <c r="C871" i="1"/>
  <c r="B871" i="1"/>
  <c r="A871" i="1"/>
  <c r="R870" i="1"/>
  <c r="J870" i="1"/>
  <c r="I870" i="1"/>
  <c r="G870" i="1"/>
  <c r="F870" i="1"/>
  <c r="E870" i="1"/>
  <c r="D870" i="1"/>
  <c r="C870" i="1"/>
  <c r="B870" i="1"/>
  <c r="A870" i="1"/>
  <c r="R869" i="1"/>
  <c r="J869" i="1"/>
  <c r="I869" i="1"/>
  <c r="G869" i="1"/>
  <c r="F869" i="1"/>
  <c r="E869" i="1"/>
  <c r="D869" i="1"/>
  <c r="C869" i="1"/>
  <c r="B869" i="1"/>
  <c r="A869" i="1"/>
  <c r="R868" i="1"/>
  <c r="J868" i="1"/>
  <c r="I868" i="1"/>
  <c r="G868" i="1"/>
  <c r="F868" i="1"/>
  <c r="E868" i="1"/>
  <c r="D868" i="1"/>
  <c r="C868" i="1"/>
  <c r="B868" i="1"/>
  <c r="A868" i="1"/>
  <c r="R867" i="1"/>
  <c r="J867" i="1"/>
  <c r="I867" i="1"/>
  <c r="G867" i="1"/>
  <c r="F867" i="1"/>
  <c r="E867" i="1"/>
  <c r="D867" i="1"/>
  <c r="C867" i="1"/>
  <c r="B867" i="1"/>
  <c r="A867" i="1"/>
  <c r="R866" i="1"/>
  <c r="J866" i="1"/>
  <c r="I866" i="1"/>
  <c r="G866" i="1"/>
  <c r="F866" i="1"/>
  <c r="E866" i="1"/>
  <c r="D866" i="1"/>
  <c r="C866" i="1"/>
  <c r="B866" i="1"/>
  <c r="A866" i="1"/>
  <c r="R865" i="1"/>
  <c r="J865" i="1"/>
  <c r="I865" i="1"/>
  <c r="G865" i="1"/>
  <c r="F865" i="1"/>
  <c r="E865" i="1"/>
  <c r="D865" i="1"/>
  <c r="C865" i="1"/>
  <c r="B865" i="1"/>
  <c r="A865" i="1"/>
  <c r="R864" i="1"/>
  <c r="J864" i="1"/>
  <c r="I864" i="1"/>
  <c r="G864" i="1"/>
  <c r="F864" i="1"/>
  <c r="E864" i="1"/>
  <c r="D864" i="1"/>
  <c r="C864" i="1"/>
  <c r="B864" i="1"/>
  <c r="A864" i="1"/>
  <c r="R863" i="1"/>
  <c r="J863" i="1"/>
  <c r="I863" i="1"/>
  <c r="G863" i="1"/>
  <c r="F863" i="1"/>
  <c r="E863" i="1"/>
  <c r="D863" i="1"/>
  <c r="C863" i="1"/>
  <c r="B863" i="1"/>
  <c r="A863" i="1"/>
  <c r="R862" i="1"/>
  <c r="J862" i="1"/>
  <c r="I862" i="1"/>
  <c r="G862" i="1"/>
  <c r="F862" i="1"/>
  <c r="E862" i="1"/>
  <c r="D862" i="1"/>
  <c r="C862" i="1"/>
  <c r="B862" i="1"/>
  <c r="A862" i="1"/>
  <c r="R861" i="1"/>
  <c r="J861" i="1"/>
  <c r="I861" i="1"/>
  <c r="G861" i="1"/>
  <c r="F861" i="1"/>
  <c r="E861" i="1"/>
  <c r="D861" i="1"/>
  <c r="C861" i="1"/>
  <c r="B861" i="1"/>
  <c r="A861" i="1"/>
  <c r="R860" i="1"/>
  <c r="J860" i="1"/>
  <c r="I860" i="1"/>
  <c r="G860" i="1"/>
  <c r="F860" i="1"/>
  <c r="E860" i="1"/>
  <c r="D860" i="1"/>
  <c r="C860" i="1"/>
  <c r="B860" i="1"/>
  <c r="A860" i="1"/>
  <c r="R859" i="1"/>
  <c r="J859" i="1"/>
  <c r="I859" i="1"/>
  <c r="G859" i="1"/>
  <c r="F859" i="1"/>
  <c r="E859" i="1"/>
  <c r="D859" i="1"/>
  <c r="C859" i="1"/>
  <c r="B859" i="1"/>
  <c r="A859" i="1"/>
  <c r="R858" i="1"/>
  <c r="J858" i="1"/>
  <c r="I858" i="1"/>
  <c r="G858" i="1"/>
  <c r="F858" i="1"/>
  <c r="E858" i="1"/>
  <c r="D858" i="1"/>
  <c r="C858" i="1"/>
  <c r="B858" i="1"/>
  <c r="A858" i="1"/>
  <c r="R857" i="1"/>
  <c r="J857" i="1"/>
  <c r="I857" i="1"/>
  <c r="G857" i="1"/>
  <c r="F857" i="1"/>
  <c r="E857" i="1"/>
  <c r="D857" i="1"/>
  <c r="C857" i="1"/>
  <c r="B857" i="1"/>
  <c r="A857" i="1"/>
  <c r="R856" i="1"/>
  <c r="J856" i="1"/>
  <c r="I856" i="1"/>
  <c r="G856" i="1"/>
  <c r="F856" i="1"/>
  <c r="E856" i="1"/>
  <c r="D856" i="1"/>
  <c r="C856" i="1"/>
  <c r="B856" i="1"/>
  <c r="A856" i="1"/>
  <c r="R855" i="1"/>
  <c r="J855" i="1"/>
  <c r="I855" i="1"/>
  <c r="G855" i="1"/>
  <c r="F855" i="1"/>
  <c r="E855" i="1"/>
  <c r="D855" i="1"/>
  <c r="C855" i="1"/>
  <c r="B855" i="1"/>
  <c r="A855" i="1"/>
  <c r="R854" i="1"/>
  <c r="J854" i="1"/>
  <c r="I854" i="1"/>
  <c r="G854" i="1"/>
  <c r="F854" i="1"/>
  <c r="E854" i="1"/>
  <c r="D854" i="1"/>
  <c r="C854" i="1"/>
  <c r="B854" i="1"/>
  <c r="A854" i="1"/>
  <c r="R853" i="1"/>
  <c r="J853" i="1"/>
  <c r="I853" i="1"/>
  <c r="G853" i="1"/>
  <c r="F853" i="1"/>
  <c r="E853" i="1"/>
  <c r="D853" i="1"/>
  <c r="C853" i="1"/>
  <c r="B853" i="1"/>
  <c r="A853" i="1"/>
  <c r="S852" i="1"/>
  <c r="O852" i="1"/>
  <c r="K852" i="1"/>
  <c r="J852" i="1"/>
  <c r="I852" i="1"/>
  <c r="H852" i="1"/>
  <c r="G852" i="1"/>
  <c r="F852" i="1"/>
  <c r="E852" i="1"/>
  <c r="D852" i="1"/>
  <c r="C852" i="1"/>
  <c r="B852" i="1"/>
  <c r="A852" i="1"/>
  <c r="R851" i="1"/>
  <c r="J851" i="1"/>
  <c r="I851" i="1"/>
  <c r="G851" i="1"/>
  <c r="F851" i="1"/>
  <c r="E851" i="1"/>
  <c r="D851" i="1"/>
  <c r="C851" i="1"/>
  <c r="B851" i="1"/>
  <c r="A851" i="1"/>
  <c r="R850" i="1"/>
  <c r="J850" i="1"/>
  <c r="I850" i="1"/>
  <c r="G850" i="1"/>
  <c r="F850" i="1"/>
  <c r="E850" i="1"/>
  <c r="D850" i="1"/>
  <c r="C850" i="1"/>
  <c r="B850" i="1"/>
  <c r="A850" i="1"/>
  <c r="S849" i="1"/>
  <c r="O849" i="1"/>
  <c r="K849" i="1"/>
  <c r="J849" i="1"/>
  <c r="I849" i="1"/>
  <c r="H849" i="1"/>
  <c r="G849" i="1"/>
  <c r="F849" i="1"/>
  <c r="E849" i="1"/>
  <c r="D849" i="1"/>
  <c r="C849" i="1"/>
  <c r="B849" i="1"/>
  <c r="A849" i="1"/>
  <c r="R848" i="1"/>
  <c r="J848" i="1"/>
  <c r="I848" i="1"/>
  <c r="G848" i="1"/>
  <c r="F848" i="1"/>
  <c r="E848" i="1"/>
  <c r="D848" i="1"/>
  <c r="C848" i="1"/>
  <c r="B848" i="1"/>
  <c r="A848" i="1"/>
  <c r="S847" i="1"/>
  <c r="O847" i="1"/>
  <c r="K847" i="1"/>
  <c r="J847" i="1"/>
  <c r="I847" i="1"/>
  <c r="H847" i="1"/>
  <c r="G847" i="1"/>
  <c r="F847" i="1"/>
  <c r="E847" i="1"/>
  <c r="D847" i="1"/>
  <c r="C847" i="1"/>
  <c r="B847" i="1"/>
  <c r="A847" i="1"/>
  <c r="R846" i="1"/>
  <c r="J846" i="1"/>
  <c r="I846" i="1"/>
  <c r="G846" i="1"/>
  <c r="F846" i="1"/>
  <c r="E846" i="1"/>
  <c r="D846" i="1"/>
  <c r="C846" i="1"/>
  <c r="B846" i="1"/>
  <c r="A846" i="1"/>
  <c r="S845" i="1"/>
  <c r="O845" i="1"/>
  <c r="K845" i="1"/>
  <c r="J845" i="1"/>
  <c r="I845" i="1"/>
  <c r="H845" i="1"/>
  <c r="G845" i="1"/>
  <c r="F845" i="1"/>
  <c r="E845" i="1"/>
  <c r="D845" i="1"/>
  <c r="C845" i="1"/>
  <c r="B845" i="1"/>
  <c r="A845" i="1"/>
  <c r="R844" i="1"/>
  <c r="J844" i="1"/>
  <c r="I844" i="1"/>
  <c r="G844" i="1"/>
  <c r="F844" i="1"/>
  <c r="E844" i="1"/>
  <c r="D844" i="1"/>
  <c r="C844" i="1"/>
  <c r="B844" i="1"/>
  <c r="A844" i="1"/>
  <c r="S843" i="1"/>
  <c r="O843" i="1"/>
  <c r="K843" i="1"/>
  <c r="J843" i="1"/>
  <c r="I843" i="1"/>
  <c r="H843" i="1"/>
  <c r="G843" i="1"/>
  <c r="F843" i="1"/>
  <c r="E843" i="1"/>
  <c r="D843" i="1"/>
  <c r="C843" i="1"/>
  <c r="B843" i="1"/>
  <c r="A843" i="1"/>
  <c r="R842" i="1"/>
  <c r="J842" i="1"/>
  <c r="I842" i="1"/>
  <c r="G842" i="1"/>
  <c r="F842" i="1"/>
  <c r="E842" i="1"/>
  <c r="D842" i="1"/>
  <c r="C842" i="1"/>
  <c r="B842" i="1"/>
  <c r="A842" i="1"/>
  <c r="R841" i="1"/>
  <c r="J841" i="1"/>
  <c r="I841" i="1"/>
  <c r="G841" i="1"/>
  <c r="F841" i="1"/>
  <c r="E841" i="1"/>
  <c r="D841" i="1"/>
  <c r="C841" i="1"/>
  <c r="B841" i="1"/>
  <c r="A841" i="1"/>
  <c r="R840" i="1"/>
  <c r="J840" i="1"/>
  <c r="I840" i="1"/>
  <c r="G840" i="1"/>
  <c r="F840" i="1"/>
  <c r="E840" i="1"/>
  <c r="D840" i="1"/>
  <c r="C840" i="1"/>
  <c r="B840" i="1"/>
  <c r="A840" i="1"/>
  <c r="R839" i="1"/>
  <c r="J839" i="1"/>
  <c r="I839" i="1"/>
  <c r="G839" i="1"/>
  <c r="F839" i="1"/>
  <c r="E839" i="1"/>
  <c r="D839" i="1"/>
  <c r="C839" i="1"/>
  <c r="B839" i="1"/>
  <c r="A839" i="1"/>
  <c r="R838" i="1"/>
  <c r="J838" i="1"/>
  <c r="I838" i="1"/>
  <c r="G838" i="1"/>
  <c r="F838" i="1"/>
  <c r="E838" i="1"/>
  <c r="D838" i="1"/>
  <c r="C838" i="1"/>
  <c r="B838" i="1"/>
  <c r="A838" i="1"/>
  <c r="S837" i="1"/>
  <c r="O837" i="1"/>
  <c r="K837" i="1"/>
  <c r="J837" i="1"/>
  <c r="I837" i="1"/>
  <c r="H837" i="1"/>
  <c r="G837" i="1"/>
  <c r="F837" i="1"/>
  <c r="E837" i="1"/>
  <c r="D837" i="1"/>
  <c r="C837" i="1"/>
  <c r="B837" i="1"/>
  <c r="A837" i="1"/>
  <c r="R836" i="1"/>
  <c r="J836" i="1"/>
  <c r="I836" i="1"/>
  <c r="G836" i="1"/>
  <c r="F836" i="1"/>
  <c r="E836" i="1"/>
  <c r="D836" i="1"/>
  <c r="C836" i="1"/>
  <c r="B836" i="1"/>
  <c r="A836" i="1"/>
  <c r="S835" i="1"/>
  <c r="O835" i="1"/>
  <c r="K835" i="1"/>
  <c r="J835" i="1"/>
  <c r="I835" i="1"/>
  <c r="H835" i="1"/>
  <c r="G835" i="1"/>
  <c r="F835" i="1"/>
  <c r="E835" i="1"/>
  <c r="D835" i="1"/>
  <c r="C835" i="1"/>
  <c r="B835" i="1"/>
  <c r="A835" i="1"/>
  <c r="R834" i="1"/>
  <c r="J834" i="1"/>
  <c r="I834" i="1"/>
  <c r="G834" i="1"/>
  <c r="F834" i="1"/>
  <c r="E834" i="1"/>
  <c r="D834" i="1"/>
  <c r="C834" i="1"/>
  <c r="B834" i="1"/>
  <c r="A834" i="1"/>
  <c r="R833" i="1"/>
  <c r="J833" i="1"/>
  <c r="I833" i="1"/>
  <c r="G833" i="1"/>
  <c r="F833" i="1"/>
  <c r="E833" i="1"/>
  <c r="D833" i="1"/>
  <c r="C833" i="1"/>
  <c r="B833" i="1"/>
  <c r="A833" i="1"/>
  <c r="R832" i="1"/>
  <c r="J832" i="1"/>
  <c r="I832" i="1"/>
  <c r="G832" i="1"/>
  <c r="F832" i="1"/>
  <c r="E832" i="1"/>
  <c r="D832" i="1"/>
  <c r="C832" i="1"/>
  <c r="B832" i="1"/>
  <c r="A832" i="1"/>
  <c r="R831" i="1"/>
  <c r="J831" i="1"/>
  <c r="I831" i="1"/>
  <c r="G831" i="1"/>
  <c r="F831" i="1"/>
  <c r="E831" i="1"/>
  <c r="D831" i="1"/>
  <c r="C831" i="1"/>
  <c r="B831" i="1"/>
  <c r="A831" i="1"/>
  <c r="R830" i="1"/>
  <c r="J830" i="1"/>
  <c r="I830" i="1"/>
  <c r="G830" i="1"/>
  <c r="F830" i="1"/>
  <c r="E830" i="1"/>
  <c r="D830" i="1"/>
  <c r="C830" i="1"/>
  <c r="B830" i="1"/>
  <c r="A830" i="1"/>
  <c r="S829" i="1"/>
  <c r="O829" i="1"/>
  <c r="K829" i="1"/>
  <c r="J829" i="1"/>
  <c r="I829" i="1"/>
  <c r="H829" i="1"/>
  <c r="G829" i="1"/>
  <c r="F829" i="1"/>
  <c r="E829" i="1"/>
  <c r="D829" i="1"/>
  <c r="C829" i="1"/>
  <c r="B829" i="1"/>
  <c r="A829" i="1"/>
  <c r="R828" i="1"/>
  <c r="J828" i="1"/>
  <c r="I828" i="1"/>
  <c r="G828" i="1"/>
  <c r="F828" i="1"/>
  <c r="E828" i="1"/>
  <c r="D828" i="1"/>
  <c r="C828" i="1"/>
  <c r="B828" i="1"/>
  <c r="A828" i="1"/>
  <c r="S827" i="1"/>
  <c r="O827" i="1"/>
  <c r="K827" i="1"/>
  <c r="J827" i="1"/>
  <c r="I827" i="1"/>
  <c r="H827" i="1"/>
  <c r="G827" i="1"/>
  <c r="F827" i="1"/>
  <c r="E827" i="1"/>
  <c r="D827" i="1"/>
  <c r="C827" i="1"/>
  <c r="B827" i="1"/>
  <c r="A827" i="1"/>
  <c r="R826" i="1"/>
  <c r="J826" i="1"/>
  <c r="I826" i="1"/>
  <c r="G826" i="1"/>
  <c r="F826" i="1"/>
  <c r="E826" i="1"/>
  <c r="D826" i="1"/>
  <c r="C826" i="1"/>
  <c r="B826" i="1"/>
  <c r="A826" i="1"/>
  <c r="S825" i="1"/>
  <c r="O825" i="1"/>
  <c r="K825" i="1"/>
  <c r="J825" i="1"/>
  <c r="I825" i="1"/>
  <c r="H825" i="1"/>
  <c r="G825" i="1"/>
  <c r="F825" i="1"/>
  <c r="E825" i="1"/>
  <c r="D825" i="1"/>
  <c r="C825" i="1"/>
  <c r="B825" i="1"/>
  <c r="A825" i="1"/>
  <c r="R824" i="1"/>
  <c r="J824" i="1"/>
  <c r="I824" i="1"/>
  <c r="G824" i="1"/>
  <c r="F824" i="1"/>
  <c r="E824" i="1"/>
  <c r="D824" i="1"/>
  <c r="C824" i="1"/>
  <c r="B824" i="1"/>
  <c r="A824" i="1"/>
  <c r="S823" i="1"/>
  <c r="O823" i="1"/>
  <c r="K823" i="1"/>
  <c r="J823" i="1"/>
  <c r="I823" i="1"/>
  <c r="H823" i="1"/>
  <c r="G823" i="1"/>
  <c r="F823" i="1"/>
  <c r="E823" i="1"/>
  <c r="D823" i="1"/>
  <c r="C823" i="1"/>
  <c r="B823" i="1"/>
  <c r="A823" i="1"/>
  <c r="R822" i="1"/>
  <c r="J822" i="1"/>
  <c r="I822" i="1"/>
  <c r="G822" i="1"/>
  <c r="F822" i="1"/>
  <c r="E822" i="1"/>
  <c r="D822" i="1"/>
  <c r="C822" i="1"/>
  <c r="B822" i="1"/>
  <c r="A822" i="1"/>
  <c r="R821" i="1"/>
  <c r="J821" i="1"/>
  <c r="I821" i="1"/>
  <c r="G821" i="1"/>
  <c r="F821" i="1"/>
  <c r="E821" i="1"/>
  <c r="D821" i="1"/>
  <c r="C821" i="1"/>
  <c r="B821" i="1"/>
  <c r="A821" i="1"/>
  <c r="R820" i="1"/>
  <c r="J820" i="1"/>
  <c r="I820" i="1"/>
  <c r="G820" i="1"/>
  <c r="F820" i="1"/>
  <c r="E820" i="1"/>
  <c r="D820" i="1"/>
  <c r="C820" i="1"/>
  <c r="B820" i="1"/>
  <c r="A820" i="1"/>
  <c r="R819" i="1"/>
  <c r="J819" i="1"/>
  <c r="I819" i="1"/>
  <c r="G819" i="1"/>
  <c r="F819" i="1"/>
  <c r="E819" i="1"/>
  <c r="D819" i="1"/>
  <c r="C819" i="1"/>
  <c r="B819" i="1"/>
  <c r="A819" i="1"/>
  <c r="S818" i="1"/>
  <c r="O818" i="1"/>
  <c r="K818" i="1"/>
  <c r="J818" i="1"/>
  <c r="I818" i="1"/>
  <c r="H818" i="1"/>
  <c r="G818" i="1"/>
  <c r="F818" i="1"/>
  <c r="E818" i="1"/>
  <c r="D818" i="1"/>
  <c r="C818" i="1"/>
  <c r="B818" i="1"/>
  <c r="A818" i="1"/>
  <c r="R817" i="1"/>
  <c r="J817" i="1"/>
  <c r="I817" i="1"/>
  <c r="G817" i="1"/>
  <c r="F817" i="1"/>
  <c r="E817" i="1"/>
  <c r="D817" i="1"/>
  <c r="C817" i="1"/>
  <c r="B817" i="1"/>
  <c r="A817" i="1"/>
  <c r="S816" i="1"/>
  <c r="O816" i="1"/>
  <c r="K816" i="1"/>
  <c r="J816" i="1"/>
  <c r="I816" i="1"/>
  <c r="H816" i="1"/>
  <c r="G816" i="1"/>
  <c r="F816" i="1"/>
  <c r="E816" i="1"/>
  <c r="D816" i="1"/>
  <c r="C816" i="1"/>
  <c r="B816" i="1"/>
  <c r="A816" i="1"/>
  <c r="R815" i="1"/>
  <c r="J815" i="1"/>
  <c r="I815" i="1"/>
  <c r="G815" i="1"/>
  <c r="F815" i="1"/>
  <c r="E815" i="1"/>
  <c r="D815" i="1"/>
  <c r="C815" i="1"/>
  <c r="B815" i="1"/>
  <c r="A815" i="1"/>
  <c r="S814" i="1"/>
  <c r="O814" i="1"/>
  <c r="K814" i="1"/>
  <c r="J814" i="1"/>
  <c r="I814" i="1"/>
  <c r="H814" i="1"/>
  <c r="G814" i="1"/>
  <c r="F814" i="1"/>
  <c r="E814" i="1"/>
  <c r="D814" i="1"/>
  <c r="C814" i="1"/>
  <c r="B814" i="1"/>
  <c r="A814" i="1"/>
  <c r="R813" i="1"/>
  <c r="J813" i="1"/>
  <c r="I813" i="1"/>
  <c r="G813" i="1"/>
  <c r="F813" i="1"/>
  <c r="E813" i="1"/>
  <c r="D813" i="1"/>
  <c r="C813" i="1"/>
  <c r="B813" i="1"/>
  <c r="A813" i="1"/>
  <c r="S812" i="1"/>
  <c r="O812" i="1"/>
  <c r="K812" i="1"/>
  <c r="J812" i="1"/>
  <c r="I812" i="1"/>
  <c r="H812" i="1"/>
  <c r="G812" i="1"/>
  <c r="F812" i="1"/>
  <c r="E812" i="1"/>
  <c r="D812" i="1"/>
  <c r="C812" i="1"/>
  <c r="B812" i="1"/>
  <c r="A812" i="1"/>
  <c r="R811" i="1"/>
  <c r="J811" i="1"/>
  <c r="I811" i="1"/>
  <c r="G811" i="1"/>
  <c r="F811" i="1"/>
  <c r="E811" i="1"/>
  <c r="D811" i="1"/>
  <c r="C811" i="1"/>
  <c r="B811" i="1"/>
  <c r="A811" i="1"/>
  <c r="S810" i="1"/>
  <c r="O810" i="1"/>
  <c r="K810" i="1"/>
  <c r="J810" i="1"/>
  <c r="I810" i="1"/>
  <c r="H810" i="1"/>
  <c r="G810" i="1"/>
  <c r="F810" i="1"/>
  <c r="E810" i="1"/>
  <c r="D810" i="1"/>
  <c r="C810" i="1"/>
  <c r="B810" i="1"/>
  <c r="A810" i="1"/>
  <c r="R809" i="1"/>
  <c r="J809" i="1"/>
  <c r="I809" i="1"/>
  <c r="G809" i="1"/>
  <c r="F809" i="1"/>
  <c r="E809" i="1"/>
  <c r="D809" i="1"/>
  <c r="C809" i="1"/>
  <c r="B809" i="1"/>
  <c r="A809" i="1"/>
  <c r="S808" i="1"/>
  <c r="O808" i="1"/>
  <c r="K808" i="1"/>
  <c r="J808" i="1"/>
  <c r="I808" i="1"/>
  <c r="H808" i="1"/>
  <c r="G808" i="1"/>
  <c r="F808" i="1"/>
  <c r="E808" i="1"/>
  <c r="D808" i="1"/>
  <c r="C808" i="1"/>
  <c r="B808" i="1"/>
  <c r="A808" i="1"/>
  <c r="R807" i="1"/>
  <c r="J807" i="1"/>
  <c r="I807" i="1"/>
  <c r="G807" i="1"/>
  <c r="F807" i="1"/>
  <c r="E807" i="1"/>
  <c r="D807" i="1"/>
  <c r="C807" i="1"/>
  <c r="B807" i="1"/>
  <c r="A807" i="1"/>
  <c r="R806" i="1"/>
  <c r="J806" i="1"/>
  <c r="I806" i="1"/>
  <c r="G806" i="1"/>
  <c r="F806" i="1"/>
  <c r="E806" i="1"/>
  <c r="D806" i="1"/>
  <c r="C806" i="1"/>
  <c r="B806" i="1"/>
  <c r="A806" i="1"/>
  <c r="S805" i="1"/>
  <c r="O805" i="1"/>
  <c r="K805" i="1"/>
  <c r="J805" i="1"/>
  <c r="I805" i="1"/>
  <c r="H805" i="1"/>
  <c r="G805" i="1"/>
  <c r="F805" i="1"/>
  <c r="E805" i="1"/>
  <c r="D805" i="1"/>
  <c r="C805" i="1"/>
  <c r="B805" i="1"/>
  <c r="A805" i="1"/>
  <c r="R804" i="1"/>
  <c r="J804" i="1"/>
  <c r="I804" i="1"/>
  <c r="G804" i="1"/>
  <c r="F804" i="1"/>
  <c r="E804" i="1"/>
  <c r="D804" i="1"/>
  <c r="C804" i="1"/>
  <c r="B804" i="1"/>
  <c r="A804" i="1"/>
  <c r="R803" i="1"/>
  <c r="J803" i="1"/>
  <c r="I803" i="1"/>
  <c r="G803" i="1"/>
  <c r="F803" i="1"/>
  <c r="E803" i="1"/>
  <c r="D803" i="1"/>
  <c r="C803" i="1"/>
  <c r="B803" i="1"/>
  <c r="A803" i="1"/>
  <c r="R802" i="1"/>
  <c r="J802" i="1"/>
  <c r="I802" i="1"/>
  <c r="G802" i="1"/>
  <c r="F802" i="1"/>
  <c r="E802" i="1"/>
  <c r="D802" i="1"/>
  <c r="C802" i="1"/>
  <c r="B802" i="1"/>
  <c r="A802" i="1"/>
  <c r="R801" i="1"/>
  <c r="J801" i="1"/>
  <c r="I801" i="1"/>
  <c r="G801" i="1"/>
  <c r="F801" i="1"/>
  <c r="E801" i="1"/>
  <c r="D801" i="1"/>
  <c r="C801" i="1"/>
  <c r="B801" i="1"/>
  <c r="A801" i="1"/>
  <c r="S800" i="1"/>
  <c r="O800" i="1"/>
  <c r="K800" i="1"/>
  <c r="J800" i="1"/>
  <c r="I800" i="1"/>
  <c r="H800" i="1"/>
  <c r="G800" i="1"/>
  <c r="F800" i="1"/>
  <c r="E800" i="1"/>
  <c r="D800" i="1"/>
  <c r="C800" i="1"/>
  <c r="B800" i="1"/>
  <c r="A800" i="1"/>
  <c r="R799" i="1"/>
  <c r="J799" i="1"/>
  <c r="I799" i="1"/>
  <c r="G799" i="1"/>
  <c r="F799" i="1"/>
  <c r="E799" i="1"/>
  <c r="D799" i="1"/>
  <c r="C799" i="1"/>
  <c r="B799" i="1"/>
  <c r="A799" i="1"/>
  <c r="R798" i="1"/>
  <c r="J798" i="1"/>
  <c r="I798" i="1"/>
  <c r="G798" i="1"/>
  <c r="F798" i="1"/>
  <c r="E798" i="1"/>
  <c r="D798" i="1"/>
  <c r="C798" i="1"/>
  <c r="B798" i="1"/>
  <c r="A798" i="1"/>
  <c r="R797" i="1"/>
  <c r="J797" i="1"/>
  <c r="I797" i="1"/>
  <c r="G797" i="1"/>
  <c r="F797" i="1"/>
  <c r="E797" i="1"/>
  <c r="D797" i="1"/>
  <c r="C797" i="1"/>
  <c r="B797" i="1"/>
  <c r="A797" i="1"/>
  <c r="R796" i="1"/>
  <c r="J796" i="1"/>
  <c r="I796" i="1"/>
  <c r="G796" i="1"/>
  <c r="F796" i="1"/>
  <c r="E796" i="1"/>
  <c r="D796" i="1"/>
  <c r="C796" i="1"/>
  <c r="B796" i="1"/>
  <c r="A796" i="1"/>
  <c r="R795" i="1"/>
  <c r="J795" i="1"/>
  <c r="I795" i="1"/>
  <c r="G795" i="1"/>
  <c r="F795" i="1"/>
  <c r="E795" i="1"/>
  <c r="D795" i="1"/>
  <c r="C795" i="1"/>
  <c r="B795" i="1"/>
  <c r="A795" i="1"/>
  <c r="R794" i="1"/>
  <c r="J794" i="1"/>
  <c r="I794" i="1"/>
  <c r="G794" i="1"/>
  <c r="F794" i="1"/>
  <c r="E794" i="1"/>
  <c r="D794" i="1"/>
  <c r="C794" i="1"/>
  <c r="B794" i="1"/>
  <c r="A794" i="1"/>
  <c r="S793" i="1"/>
  <c r="O793" i="1"/>
  <c r="K793" i="1"/>
  <c r="J793" i="1"/>
  <c r="I793" i="1"/>
  <c r="H793" i="1"/>
  <c r="G793" i="1"/>
  <c r="F793" i="1"/>
  <c r="E793" i="1"/>
  <c r="D793" i="1"/>
  <c r="C793" i="1"/>
  <c r="B793" i="1"/>
  <c r="A793" i="1"/>
  <c r="R792" i="1"/>
  <c r="J792" i="1"/>
  <c r="I792" i="1"/>
  <c r="G792" i="1"/>
  <c r="F792" i="1"/>
  <c r="E792" i="1"/>
  <c r="D792" i="1"/>
  <c r="C792" i="1"/>
  <c r="B792" i="1"/>
  <c r="A792" i="1"/>
  <c r="S791" i="1"/>
  <c r="O791" i="1"/>
  <c r="K791" i="1"/>
  <c r="J791" i="1"/>
  <c r="I791" i="1"/>
  <c r="H791" i="1"/>
  <c r="G791" i="1"/>
  <c r="F791" i="1"/>
  <c r="E791" i="1"/>
  <c r="D791" i="1"/>
  <c r="C791" i="1"/>
  <c r="B791" i="1"/>
  <c r="A791" i="1"/>
  <c r="R790" i="1"/>
  <c r="J790" i="1"/>
  <c r="I790" i="1"/>
  <c r="G790" i="1"/>
  <c r="F790" i="1"/>
  <c r="E790" i="1"/>
  <c r="D790" i="1"/>
  <c r="C790" i="1"/>
  <c r="B790" i="1"/>
  <c r="A790" i="1"/>
  <c r="R789" i="1"/>
  <c r="J789" i="1"/>
  <c r="I789" i="1"/>
  <c r="G789" i="1"/>
  <c r="F789" i="1"/>
  <c r="E789" i="1"/>
  <c r="D789" i="1"/>
  <c r="C789" i="1"/>
  <c r="B789" i="1"/>
  <c r="A789" i="1"/>
  <c r="R788" i="1"/>
  <c r="J788" i="1"/>
  <c r="I788" i="1"/>
  <c r="G788" i="1"/>
  <c r="F788" i="1"/>
  <c r="E788" i="1"/>
  <c r="D788" i="1"/>
  <c r="C788" i="1"/>
  <c r="B788" i="1"/>
  <c r="A788" i="1"/>
  <c r="R787" i="1"/>
  <c r="J787" i="1"/>
  <c r="I787" i="1"/>
  <c r="G787" i="1"/>
  <c r="F787" i="1"/>
  <c r="E787" i="1"/>
  <c r="D787" i="1"/>
  <c r="C787" i="1"/>
  <c r="B787" i="1"/>
  <c r="A787" i="1"/>
  <c r="S786" i="1"/>
  <c r="O786" i="1"/>
  <c r="K786" i="1"/>
  <c r="J786" i="1"/>
  <c r="I786" i="1"/>
  <c r="H786" i="1"/>
  <c r="G786" i="1"/>
  <c r="F786" i="1"/>
  <c r="E786" i="1"/>
  <c r="D786" i="1"/>
  <c r="C786" i="1"/>
  <c r="B786" i="1"/>
  <c r="A786" i="1"/>
  <c r="R785" i="1"/>
  <c r="J785" i="1"/>
  <c r="I785" i="1"/>
  <c r="G785" i="1"/>
  <c r="F785" i="1"/>
  <c r="E785" i="1"/>
  <c r="D785" i="1"/>
  <c r="C785" i="1"/>
  <c r="B785" i="1"/>
  <c r="A785" i="1"/>
  <c r="R784" i="1"/>
  <c r="J784" i="1"/>
  <c r="I784" i="1"/>
  <c r="G784" i="1"/>
  <c r="F784" i="1"/>
  <c r="E784" i="1"/>
  <c r="D784" i="1"/>
  <c r="C784" i="1"/>
  <c r="B784" i="1"/>
  <c r="A784" i="1"/>
  <c r="R783" i="1"/>
  <c r="J783" i="1"/>
  <c r="I783" i="1"/>
  <c r="G783" i="1"/>
  <c r="F783" i="1"/>
  <c r="E783" i="1"/>
  <c r="D783" i="1"/>
  <c r="C783" i="1"/>
  <c r="B783" i="1"/>
  <c r="A783" i="1"/>
  <c r="S782" i="1"/>
  <c r="O782" i="1"/>
  <c r="K782" i="1"/>
  <c r="J782" i="1"/>
  <c r="I782" i="1"/>
  <c r="H782" i="1"/>
  <c r="G782" i="1"/>
  <c r="F782" i="1"/>
  <c r="E782" i="1"/>
  <c r="D782" i="1"/>
  <c r="C782" i="1"/>
  <c r="B782" i="1"/>
  <c r="A782" i="1"/>
  <c r="R781" i="1"/>
  <c r="J781" i="1"/>
  <c r="I781" i="1"/>
  <c r="G781" i="1"/>
  <c r="F781" i="1"/>
  <c r="E781" i="1"/>
  <c r="D781" i="1"/>
  <c r="C781" i="1"/>
  <c r="B781" i="1"/>
  <c r="A781" i="1"/>
  <c r="S780" i="1"/>
  <c r="O780" i="1"/>
  <c r="K780" i="1"/>
  <c r="J780" i="1"/>
  <c r="I780" i="1"/>
  <c r="H780" i="1"/>
  <c r="G780" i="1"/>
  <c r="F780" i="1"/>
  <c r="E780" i="1"/>
  <c r="D780" i="1"/>
  <c r="C780" i="1"/>
  <c r="B780" i="1"/>
  <c r="A780" i="1"/>
  <c r="R779" i="1"/>
  <c r="J779" i="1"/>
  <c r="I779" i="1"/>
  <c r="G779" i="1"/>
  <c r="F779" i="1"/>
  <c r="E779" i="1"/>
  <c r="D779" i="1"/>
  <c r="C779" i="1"/>
  <c r="B779" i="1"/>
  <c r="A779" i="1"/>
  <c r="R778" i="1"/>
  <c r="J778" i="1"/>
  <c r="I778" i="1"/>
  <c r="G778" i="1"/>
  <c r="F778" i="1"/>
  <c r="E778" i="1"/>
  <c r="D778" i="1"/>
  <c r="C778" i="1"/>
  <c r="B778" i="1"/>
  <c r="A778" i="1"/>
  <c r="S777" i="1"/>
  <c r="O777" i="1"/>
  <c r="K777" i="1"/>
  <c r="J777" i="1"/>
  <c r="I777" i="1"/>
  <c r="H777" i="1"/>
  <c r="G777" i="1"/>
  <c r="F777" i="1"/>
  <c r="E777" i="1"/>
  <c r="D777" i="1"/>
  <c r="C777" i="1"/>
  <c r="B777" i="1"/>
  <c r="A777" i="1"/>
  <c r="R776" i="1"/>
  <c r="J776" i="1"/>
  <c r="I776" i="1"/>
  <c r="G776" i="1"/>
  <c r="F776" i="1"/>
  <c r="E776" i="1"/>
  <c r="D776" i="1"/>
  <c r="C776" i="1"/>
  <c r="B776" i="1"/>
  <c r="A776" i="1"/>
  <c r="R775" i="1"/>
  <c r="J775" i="1"/>
  <c r="I775" i="1"/>
  <c r="G775" i="1"/>
  <c r="F775" i="1"/>
  <c r="E775" i="1"/>
  <c r="D775" i="1"/>
  <c r="C775" i="1"/>
  <c r="B775" i="1"/>
  <c r="A775" i="1"/>
  <c r="R774" i="1"/>
  <c r="J774" i="1"/>
  <c r="I774" i="1"/>
  <c r="G774" i="1"/>
  <c r="F774" i="1"/>
  <c r="E774" i="1"/>
  <c r="D774" i="1"/>
  <c r="C774" i="1"/>
  <c r="B774" i="1"/>
  <c r="A774" i="1"/>
  <c r="R773" i="1"/>
  <c r="J773" i="1"/>
  <c r="I773" i="1"/>
  <c r="G773" i="1"/>
  <c r="F773" i="1"/>
  <c r="E773" i="1"/>
  <c r="D773" i="1"/>
  <c r="C773" i="1"/>
  <c r="B773" i="1"/>
  <c r="A773" i="1"/>
  <c r="R772" i="1"/>
  <c r="J772" i="1"/>
  <c r="I772" i="1"/>
  <c r="G772" i="1"/>
  <c r="F772" i="1"/>
  <c r="E772" i="1"/>
  <c r="D772" i="1"/>
  <c r="C772" i="1"/>
  <c r="B772" i="1"/>
  <c r="A772" i="1"/>
  <c r="S771" i="1"/>
  <c r="O771" i="1"/>
  <c r="K771" i="1"/>
  <c r="J771" i="1"/>
  <c r="I771" i="1"/>
  <c r="H771" i="1"/>
  <c r="G771" i="1"/>
  <c r="F771" i="1"/>
  <c r="E771" i="1"/>
  <c r="D771" i="1"/>
  <c r="C771" i="1"/>
  <c r="B771" i="1"/>
  <c r="A771" i="1"/>
  <c r="R770" i="1"/>
  <c r="J770" i="1"/>
  <c r="I770" i="1"/>
  <c r="G770" i="1"/>
  <c r="F770" i="1"/>
  <c r="E770" i="1"/>
  <c r="D770" i="1"/>
  <c r="C770" i="1"/>
  <c r="B770" i="1"/>
  <c r="A770" i="1"/>
  <c r="R769" i="1"/>
  <c r="J769" i="1"/>
  <c r="I769" i="1"/>
  <c r="G769" i="1"/>
  <c r="F769" i="1"/>
  <c r="E769" i="1"/>
  <c r="D769" i="1"/>
  <c r="C769" i="1"/>
  <c r="B769" i="1"/>
  <c r="A769" i="1"/>
  <c r="R768" i="1"/>
  <c r="J768" i="1"/>
  <c r="I768" i="1"/>
  <c r="G768" i="1"/>
  <c r="F768" i="1"/>
  <c r="E768" i="1"/>
  <c r="D768" i="1"/>
  <c r="C768" i="1"/>
  <c r="B768" i="1"/>
  <c r="A768" i="1"/>
  <c r="S767" i="1"/>
  <c r="O767" i="1"/>
  <c r="K767" i="1"/>
  <c r="J767" i="1"/>
  <c r="I767" i="1"/>
  <c r="H767" i="1"/>
  <c r="G767" i="1"/>
  <c r="F767" i="1"/>
  <c r="E767" i="1"/>
  <c r="D767" i="1"/>
  <c r="C767" i="1"/>
  <c r="B767" i="1"/>
  <c r="A767" i="1"/>
  <c r="R766" i="1"/>
  <c r="J766" i="1"/>
  <c r="I766" i="1"/>
  <c r="G766" i="1"/>
  <c r="F766" i="1"/>
  <c r="E766" i="1"/>
  <c r="D766" i="1"/>
  <c r="C766" i="1"/>
  <c r="B766" i="1"/>
  <c r="A766" i="1"/>
  <c r="R765" i="1"/>
  <c r="J765" i="1"/>
  <c r="I765" i="1"/>
  <c r="G765" i="1"/>
  <c r="F765" i="1"/>
  <c r="E765" i="1"/>
  <c r="D765" i="1"/>
  <c r="C765" i="1"/>
  <c r="B765" i="1"/>
  <c r="A765" i="1"/>
  <c r="R764" i="1"/>
  <c r="J764" i="1"/>
  <c r="I764" i="1"/>
  <c r="G764" i="1"/>
  <c r="F764" i="1"/>
  <c r="E764" i="1"/>
  <c r="D764" i="1"/>
  <c r="C764" i="1"/>
  <c r="B764" i="1"/>
  <c r="A764" i="1"/>
  <c r="R763" i="1"/>
  <c r="J763" i="1"/>
  <c r="I763" i="1"/>
  <c r="G763" i="1"/>
  <c r="F763" i="1"/>
  <c r="E763" i="1"/>
  <c r="D763" i="1"/>
  <c r="C763" i="1"/>
  <c r="B763" i="1"/>
  <c r="A763" i="1"/>
  <c r="R762" i="1"/>
  <c r="J762" i="1"/>
  <c r="I762" i="1"/>
  <c r="G762" i="1"/>
  <c r="F762" i="1"/>
  <c r="E762" i="1"/>
  <c r="D762" i="1"/>
  <c r="C762" i="1"/>
  <c r="B762" i="1"/>
  <c r="A762" i="1"/>
  <c r="R761" i="1"/>
  <c r="J761" i="1"/>
  <c r="I761" i="1"/>
  <c r="G761" i="1"/>
  <c r="F761" i="1"/>
  <c r="E761" i="1"/>
  <c r="D761" i="1"/>
  <c r="C761" i="1"/>
  <c r="B761" i="1"/>
  <c r="A761" i="1"/>
  <c r="R760" i="1"/>
  <c r="J760" i="1"/>
  <c r="I760" i="1"/>
  <c r="G760" i="1"/>
  <c r="F760" i="1"/>
  <c r="E760" i="1"/>
  <c r="D760" i="1"/>
  <c r="C760" i="1"/>
  <c r="B760" i="1"/>
  <c r="A760" i="1"/>
  <c r="R759" i="1"/>
  <c r="J759" i="1"/>
  <c r="I759" i="1"/>
  <c r="G759" i="1"/>
  <c r="F759" i="1"/>
  <c r="E759" i="1"/>
  <c r="D759" i="1"/>
  <c r="C759" i="1"/>
  <c r="B759" i="1"/>
  <c r="A759" i="1"/>
  <c r="R758" i="1"/>
  <c r="J758" i="1"/>
  <c r="I758" i="1"/>
  <c r="G758" i="1"/>
  <c r="F758" i="1"/>
  <c r="E758" i="1"/>
  <c r="D758" i="1"/>
  <c r="C758" i="1"/>
  <c r="B758" i="1"/>
  <c r="A758" i="1"/>
  <c r="R757" i="1"/>
  <c r="J757" i="1"/>
  <c r="I757" i="1"/>
  <c r="G757" i="1"/>
  <c r="F757" i="1"/>
  <c r="E757" i="1"/>
  <c r="D757" i="1"/>
  <c r="C757" i="1"/>
  <c r="B757" i="1"/>
  <c r="A757" i="1"/>
  <c r="S756" i="1"/>
  <c r="O756" i="1"/>
  <c r="K756" i="1"/>
  <c r="J756" i="1"/>
  <c r="I756" i="1"/>
  <c r="H756" i="1"/>
  <c r="G756" i="1"/>
  <c r="F756" i="1"/>
  <c r="E756" i="1"/>
  <c r="D756" i="1"/>
  <c r="C756" i="1"/>
  <c r="B756" i="1"/>
  <c r="A756" i="1"/>
  <c r="R755" i="1"/>
  <c r="J755" i="1"/>
  <c r="I755" i="1"/>
  <c r="G755" i="1"/>
  <c r="F755" i="1"/>
  <c r="E755" i="1"/>
  <c r="D755" i="1"/>
  <c r="C755" i="1"/>
  <c r="B755" i="1"/>
  <c r="A755" i="1"/>
  <c r="R754" i="1"/>
  <c r="J754" i="1"/>
  <c r="I754" i="1"/>
  <c r="G754" i="1"/>
  <c r="F754" i="1"/>
  <c r="E754" i="1"/>
  <c r="D754" i="1"/>
  <c r="C754" i="1"/>
  <c r="B754" i="1"/>
  <c r="A754" i="1"/>
  <c r="R753" i="1"/>
  <c r="J753" i="1"/>
  <c r="I753" i="1"/>
  <c r="G753" i="1"/>
  <c r="F753" i="1"/>
  <c r="E753" i="1"/>
  <c r="D753" i="1"/>
  <c r="C753" i="1"/>
  <c r="B753" i="1"/>
  <c r="A753" i="1"/>
  <c r="R752" i="1"/>
  <c r="J752" i="1"/>
  <c r="I752" i="1"/>
  <c r="G752" i="1"/>
  <c r="F752" i="1"/>
  <c r="E752" i="1"/>
  <c r="D752" i="1"/>
  <c r="C752" i="1"/>
  <c r="B752" i="1"/>
  <c r="A752" i="1"/>
  <c r="R751" i="1"/>
  <c r="J751" i="1"/>
  <c r="I751" i="1"/>
  <c r="G751" i="1"/>
  <c r="F751" i="1"/>
  <c r="E751" i="1"/>
  <c r="D751" i="1"/>
  <c r="C751" i="1"/>
  <c r="B751" i="1"/>
  <c r="A751" i="1"/>
  <c r="R750" i="1"/>
  <c r="J750" i="1"/>
  <c r="I750" i="1"/>
  <c r="G750" i="1"/>
  <c r="F750" i="1"/>
  <c r="E750" i="1"/>
  <c r="D750" i="1"/>
  <c r="C750" i="1"/>
  <c r="B750" i="1"/>
  <c r="A750" i="1"/>
  <c r="R749" i="1"/>
  <c r="J749" i="1"/>
  <c r="I749" i="1"/>
  <c r="G749" i="1"/>
  <c r="F749" i="1"/>
  <c r="E749" i="1"/>
  <c r="D749" i="1"/>
  <c r="C749" i="1"/>
  <c r="B749" i="1"/>
  <c r="A749" i="1"/>
  <c r="R748" i="1"/>
  <c r="J748" i="1"/>
  <c r="I748" i="1"/>
  <c r="G748" i="1"/>
  <c r="F748" i="1"/>
  <c r="E748" i="1"/>
  <c r="D748" i="1"/>
  <c r="C748" i="1"/>
  <c r="B748" i="1"/>
  <c r="A748" i="1"/>
  <c r="R747" i="1"/>
  <c r="J747" i="1"/>
  <c r="I747" i="1"/>
  <c r="G747" i="1"/>
  <c r="F747" i="1"/>
  <c r="E747" i="1"/>
  <c r="D747" i="1"/>
  <c r="C747" i="1"/>
  <c r="B747" i="1"/>
  <c r="A747" i="1"/>
  <c r="R746" i="1"/>
  <c r="J746" i="1"/>
  <c r="I746" i="1"/>
  <c r="G746" i="1"/>
  <c r="F746" i="1"/>
  <c r="E746" i="1"/>
  <c r="D746" i="1"/>
  <c r="C746" i="1"/>
  <c r="B746" i="1"/>
  <c r="A746" i="1"/>
  <c r="R745" i="1"/>
  <c r="J745" i="1"/>
  <c r="I745" i="1"/>
  <c r="G745" i="1"/>
  <c r="F745" i="1"/>
  <c r="E745" i="1"/>
  <c r="D745" i="1"/>
  <c r="C745" i="1"/>
  <c r="B745" i="1"/>
  <c r="A745" i="1"/>
  <c r="R744" i="1"/>
  <c r="J744" i="1"/>
  <c r="I744" i="1"/>
  <c r="G744" i="1"/>
  <c r="F744" i="1"/>
  <c r="E744" i="1"/>
  <c r="D744" i="1"/>
  <c r="C744" i="1"/>
  <c r="B744" i="1"/>
  <c r="A744" i="1"/>
  <c r="R743" i="1"/>
  <c r="J743" i="1"/>
  <c r="I743" i="1"/>
  <c r="G743" i="1"/>
  <c r="F743" i="1"/>
  <c r="E743" i="1"/>
  <c r="D743" i="1"/>
  <c r="C743" i="1"/>
  <c r="B743" i="1"/>
  <c r="A743" i="1"/>
  <c r="R742" i="1"/>
  <c r="J742" i="1"/>
  <c r="I742" i="1"/>
  <c r="G742" i="1"/>
  <c r="F742" i="1"/>
  <c r="E742" i="1"/>
  <c r="D742" i="1"/>
  <c r="C742" i="1"/>
  <c r="B742" i="1"/>
  <c r="A742" i="1"/>
  <c r="R741" i="1"/>
  <c r="J741" i="1"/>
  <c r="I741" i="1"/>
  <c r="G741" i="1"/>
  <c r="F741" i="1"/>
  <c r="E741" i="1"/>
  <c r="D741" i="1"/>
  <c r="C741" i="1"/>
  <c r="B741" i="1"/>
  <c r="A741" i="1"/>
  <c r="R740" i="1"/>
  <c r="J740" i="1"/>
  <c r="I740" i="1"/>
  <c r="G740" i="1"/>
  <c r="F740" i="1"/>
  <c r="E740" i="1"/>
  <c r="D740" i="1"/>
  <c r="C740" i="1"/>
  <c r="B740" i="1"/>
  <c r="A740" i="1"/>
  <c r="S739" i="1"/>
  <c r="O739" i="1"/>
  <c r="K739" i="1"/>
  <c r="J739" i="1"/>
  <c r="I739" i="1"/>
  <c r="H739" i="1"/>
  <c r="G739" i="1"/>
  <c r="F739" i="1"/>
  <c r="E739" i="1"/>
  <c r="D739" i="1"/>
  <c r="C739" i="1"/>
  <c r="B739" i="1"/>
  <c r="A739" i="1"/>
  <c r="R738" i="1"/>
  <c r="J738" i="1"/>
  <c r="I738" i="1"/>
  <c r="G738" i="1"/>
  <c r="F738" i="1"/>
  <c r="E738" i="1"/>
  <c r="D738" i="1"/>
  <c r="C738" i="1"/>
  <c r="B738" i="1"/>
  <c r="A738" i="1"/>
  <c r="S737" i="1"/>
  <c r="O737" i="1"/>
  <c r="K737" i="1"/>
  <c r="J737" i="1"/>
  <c r="I737" i="1"/>
  <c r="H737" i="1"/>
  <c r="G737" i="1"/>
  <c r="F737" i="1"/>
  <c r="E737" i="1"/>
  <c r="D737" i="1"/>
  <c r="C737" i="1"/>
  <c r="B737" i="1"/>
  <c r="A737" i="1"/>
  <c r="R736" i="1"/>
  <c r="J736" i="1"/>
  <c r="I736" i="1"/>
  <c r="G736" i="1"/>
  <c r="F736" i="1"/>
  <c r="E736" i="1"/>
  <c r="D736" i="1"/>
  <c r="C736" i="1"/>
  <c r="B736" i="1"/>
  <c r="A736" i="1"/>
  <c r="S735" i="1"/>
  <c r="O735" i="1"/>
  <c r="K735" i="1"/>
  <c r="J735" i="1"/>
  <c r="I735" i="1"/>
  <c r="H735" i="1"/>
  <c r="G735" i="1"/>
  <c r="F735" i="1"/>
  <c r="E735" i="1"/>
  <c r="D735" i="1"/>
  <c r="C735" i="1"/>
  <c r="B735" i="1"/>
  <c r="A735" i="1"/>
  <c r="S734" i="1"/>
  <c r="O734" i="1"/>
  <c r="K734" i="1"/>
  <c r="J734" i="1"/>
  <c r="I734" i="1"/>
  <c r="H734" i="1"/>
  <c r="G734" i="1"/>
  <c r="F734" i="1"/>
  <c r="D734" i="1"/>
  <c r="C734" i="1"/>
  <c r="B734" i="1"/>
  <c r="A734" i="1"/>
  <c r="S733" i="1"/>
  <c r="O733" i="1"/>
  <c r="K733" i="1"/>
  <c r="J733" i="1"/>
  <c r="I733" i="1"/>
  <c r="H733" i="1"/>
  <c r="G733" i="1"/>
  <c r="F733" i="1"/>
  <c r="D733" i="1"/>
  <c r="C733" i="1"/>
  <c r="B733" i="1"/>
  <c r="A733" i="1"/>
  <c r="R732" i="1"/>
  <c r="J732" i="1"/>
  <c r="I732" i="1"/>
  <c r="G732" i="1"/>
  <c r="F732" i="1"/>
  <c r="E732" i="1"/>
  <c r="D732" i="1"/>
  <c r="C732" i="1"/>
  <c r="B732" i="1"/>
  <c r="A732" i="1"/>
  <c r="S731" i="1"/>
  <c r="O731" i="1"/>
  <c r="K731" i="1"/>
  <c r="J731" i="1"/>
  <c r="I731" i="1"/>
  <c r="H731" i="1"/>
  <c r="G731" i="1"/>
  <c r="F731" i="1"/>
  <c r="E731" i="1"/>
  <c r="D731" i="1"/>
  <c r="C731" i="1"/>
  <c r="B731" i="1"/>
  <c r="A731" i="1"/>
  <c r="R730" i="1"/>
  <c r="J730" i="1"/>
  <c r="I730" i="1"/>
  <c r="G730" i="1"/>
  <c r="F730" i="1"/>
  <c r="E730" i="1"/>
  <c r="D730" i="1"/>
  <c r="C730" i="1"/>
  <c r="B730" i="1"/>
  <c r="A730" i="1"/>
  <c r="S729" i="1"/>
  <c r="O729" i="1"/>
  <c r="K729" i="1"/>
  <c r="J729" i="1"/>
  <c r="I729" i="1"/>
  <c r="H729" i="1"/>
  <c r="G729" i="1"/>
  <c r="F729" i="1"/>
  <c r="E729" i="1"/>
  <c r="D729" i="1"/>
  <c r="C729" i="1"/>
  <c r="B729" i="1"/>
  <c r="A729" i="1"/>
  <c r="R728" i="1"/>
  <c r="J728" i="1"/>
  <c r="I728" i="1"/>
  <c r="G728" i="1"/>
  <c r="F728" i="1"/>
  <c r="E728" i="1"/>
  <c r="D728" i="1"/>
  <c r="C728" i="1"/>
  <c r="B728" i="1"/>
  <c r="A728" i="1"/>
  <c r="S727" i="1"/>
  <c r="O727" i="1"/>
  <c r="K727" i="1"/>
  <c r="J727" i="1"/>
  <c r="I727" i="1"/>
  <c r="H727" i="1"/>
  <c r="G727" i="1"/>
  <c r="F727" i="1"/>
  <c r="E727" i="1"/>
  <c r="D727" i="1"/>
  <c r="C727" i="1"/>
  <c r="B727" i="1"/>
  <c r="A727" i="1"/>
  <c r="R726" i="1"/>
  <c r="J726" i="1"/>
  <c r="I726" i="1"/>
  <c r="G726" i="1"/>
  <c r="F726" i="1"/>
  <c r="E726" i="1"/>
  <c r="D726" i="1"/>
  <c r="C726" i="1"/>
  <c r="B726" i="1"/>
  <c r="A726" i="1"/>
  <c r="S725" i="1"/>
  <c r="O725" i="1"/>
  <c r="K725" i="1"/>
  <c r="J725" i="1"/>
  <c r="I725" i="1"/>
  <c r="H725" i="1"/>
  <c r="G725" i="1"/>
  <c r="F725" i="1"/>
  <c r="E725" i="1"/>
  <c r="D725" i="1"/>
  <c r="C725" i="1"/>
  <c r="B725" i="1"/>
  <c r="A725" i="1"/>
  <c r="R724" i="1"/>
  <c r="J724" i="1"/>
  <c r="I724" i="1"/>
  <c r="G724" i="1"/>
  <c r="F724" i="1"/>
  <c r="E724" i="1"/>
  <c r="D724" i="1"/>
  <c r="C724" i="1"/>
  <c r="B724" i="1"/>
  <c r="A724" i="1"/>
  <c r="S723" i="1"/>
  <c r="O723" i="1"/>
  <c r="K723" i="1"/>
  <c r="J723" i="1"/>
  <c r="I723" i="1"/>
  <c r="H723" i="1"/>
  <c r="G723" i="1"/>
  <c r="F723" i="1"/>
  <c r="E723" i="1"/>
  <c r="D723" i="1"/>
  <c r="C723" i="1"/>
  <c r="B723" i="1"/>
  <c r="A723" i="1"/>
  <c r="R722" i="1"/>
  <c r="J722" i="1"/>
  <c r="I722" i="1"/>
  <c r="G722" i="1"/>
  <c r="F722" i="1"/>
  <c r="E722" i="1"/>
  <c r="D722" i="1"/>
  <c r="C722" i="1"/>
  <c r="B722" i="1"/>
  <c r="A722" i="1"/>
  <c r="S721" i="1"/>
  <c r="O721" i="1"/>
  <c r="K721" i="1"/>
  <c r="J721" i="1"/>
  <c r="I721" i="1"/>
  <c r="H721" i="1"/>
  <c r="G721" i="1"/>
  <c r="F721" i="1"/>
  <c r="E721" i="1"/>
  <c r="D721" i="1"/>
  <c r="C721" i="1"/>
  <c r="B721" i="1"/>
  <c r="A721" i="1"/>
  <c r="R720" i="1"/>
  <c r="J720" i="1"/>
  <c r="I720" i="1"/>
  <c r="G720" i="1"/>
  <c r="F720" i="1"/>
  <c r="E720" i="1"/>
  <c r="D720" i="1"/>
  <c r="C720" i="1"/>
  <c r="B720" i="1"/>
  <c r="A720" i="1"/>
  <c r="S719" i="1"/>
  <c r="O719" i="1"/>
  <c r="K719" i="1"/>
  <c r="J719" i="1"/>
  <c r="I719" i="1"/>
  <c r="H719" i="1"/>
  <c r="G719" i="1"/>
  <c r="F719" i="1"/>
  <c r="E719" i="1"/>
  <c r="D719" i="1"/>
  <c r="C719" i="1"/>
  <c r="B719" i="1"/>
  <c r="A719" i="1"/>
  <c r="R718" i="1"/>
  <c r="J718" i="1"/>
  <c r="I718" i="1"/>
  <c r="G718" i="1"/>
  <c r="F718" i="1"/>
  <c r="E718" i="1"/>
  <c r="D718" i="1"/>
  <c r="C718" i="1"/>
  <c r="B718" i="1"/>
  <c r="A718" i="1"/>
  <c r="S717" i="1"/>
  <c r="O717" i="1"/>
  <c r="K717" i="1"/>
  <c r="J717" i="1"/>
  <c r="I717" i="1"/>
  <c r="H717" i="1"/>
  <c r="G717" i="1"/>
  <c r="F717" i="1"/>
  <c r="E717" i="1"/>
  <c r="D717" i="1"/>
  <c r="C717" i="1"/>
  <c r="B717" i="1"/>
  <c r="A717" i="1"/>
  <c r="R716" i="1"/>
  <c r="J716" i="1"/>
  <c r="I716" i="1"/>
  <c r="G716" i="1"/>
  <c r="F716" i="1"/>
  <c r="E716" i="1"/>
  <c r="D716" i="1"/>
  <c r="C716" i="1"/>
  <c r="B716" i="1"/>
  <c r="A716" i="1"/>
  <c r="S715" i="1"/>
  <c r="O715" i="1"/>
  <c r="K715" i="1"/>
  <c r="J715" i="1"/>
  <c r="I715" i="1"/>
  <c r="H715" i="1"/>
  <c r="G715" i="1"/>
  <c r="F715" i="1"/>
  <c r="E715" i="1"/>
  <c r="D715" i="1"/>
  <c r="C715" i="1"/>
  <c r="B715" i="1"/>
  <c r="A715" i="1"/>
  <c r="R714" i="1"/>
  <c r="J714" i="1"/>
  <c r="I714" i="1"/>
  <c r="G714" i="1"/>
  <c r="F714" i="1"/>
  <c r="E714" i="1"/>
  <c r="D714" i="1"/>
  <c r="C714" i="1"/>
  <c r="B714" i="1"/>
  <c r="A714" i="1"/>
  <c r="S713" i="1"/>
  <c r="O713" i="1"/>
  <c r="K713" i="1"/>
  <c r="J713" i="1"/>
  <c r="I713" i="1"/>
  <c r="H713" i="1"/>
  <c r="G713" i="1"/>
  <c r="F713" i="1"/>
  <c r="E713" i="1"/>
  <c r="D713" i="1"/>
  <c r="C713" i="1"/>
  <c r="B713" i="1"/>
  <c r="A713" i="1"/>
  <c r="R712" i="1"/>
  <c r="J712" i="1"/>
  <c r="I712" i="1"/>
  <c r="G712" i="1"/>
  <c r="F712" i="1"/>
  <c r="E712" i="1"/>
  <c r="D712" i="1"/>
  <c r="C712" i="1"/>
  <c r="B712" i="1"/>
  <c r="A712" i="1"/>
  <c r="S711" i="1"/>
  <c r="O711" i="1"/>
  <c r="K711" i="1"/>
  <c r="J711" i="1"/>
  <c r="I711" i="1"/>
  <c r="H711" i="1"/>
  <c r="G711" i="1"/>
  <c r="F711" i="1"/>
  <c r="E711" i="1"/>
  <c r="D711" i="1"/>
  <c r="C711" i="1"/>
  <c r="B711" i="1"/>
  <c r="A711" i="1"/>
  <c r="R710" i="1"/>
  <c r="J710" i="1"/>
  <c r="I710" i="1"/>
  <c r="G710" i="1"/>
  <c r="F710" i="1"/>
  <c r="E710" i="1"/>
  <c r="D710" i="1"/>
  <c r="C710" i="1"/>
  <c r="B710" i="1"/>
  <c r="A710" i="1"/>
  <c r="S709" i="1"/>
  <c r="O709" i="1"/>
  <c r="K709" i="1"/>
  <c r="J709" i="1"/>
  <c r="I709" i="1"/>
  <c r="H709" i="1"/>
  <c r="G709" i="1"/>
  <c r="F709" i="1"/>
  <c r="E709" i="1"/>
  <c r="D709" i="1"/>
  <c r="C709" i="1"/>
  <c r="B709" i="1"/>
  <c r="A709" i="1"/>
  <c r="R708" i="1"/>
  <c r="J708" i="1"/>
  <c r="I708" i="1"/>
  <c r="G708" i="1"/>
  <c r="F708" i="1"/>
  <c r="E708" i="1"/>
  <c r="D708" i="1"/>
  <c r="C708" i="1"/>
  <c r="B708" i="1"/>
  <c r="A708" i="1"/>
  <c r="S707" i="1"/>
  <c r="O707" i="1"/>
  <c r="K707" i="1"/>
  <c r="J707" i="1"/>
  <c r="I707" i="1"/>
  <c r="H707" i="1"/>
  <c r="G707" i="1"/>
  <c r="F707" i="1"/>
  <c r="E707" i="1"/>
  <c r="D707" i="1"/>
  <c r="C707" i="1"/>
  <c r="B707" i="1"/>
  <c r="A707" i="1"/>
  <c r="R706" i="1"/>
  <c r="J706" i="1"/>
  <c r="I706" i="1"/>
  <c r="G706" i="1"/>
  <c r="F706" i="1"/>
  <c r="E706" i="1"/>
  <c r="D706" i="1"/>
  <c r="C706" i="1"/>
  <c r="B706" i="1"/>
  <c r="A706" i="1"/>
  <c r="S705" i="1"/>
  <c r="O705" i="1"/>
  <c r="K705" i="1"/>
  <c r="J705" i="1"/>
  <c r="I705" i="1"/>
  <c r="H705" i="1"/>
  <c r="G705" i="1"/>
  <c r="F705" i="1"/>
  <c r="E705" i="1"/>
  <c r="D705" i="1"/>
  <c r="C705" i="1"/>
  <c r="B705" i="1"/>
  <c r="A705" i="1"/>
  <c r="S704" i="1"/>
  <c r="O704" i="1"/>
  <c r="K704" i="1"/>
  <c r="J704" i="1"/>
  <c r="I704" i="1"/>
  <c r="H704" i="1"/>
  <c r="G704" i="1"/>
  <c r="F704" i="1"/>
  <c r="D704" i="1"/>
  <c r="C704" i="1"/>
  <c r="B704" i="1"/>
  <c r="A704" i="1"/>
  <c r="S703" i="1"/>
  <c r="O703" i="1"/>
  <c r="K703" i="1"/>
  <c r="J703" i="1"/>
  <c r="I703" i="1"/>
  <c r="H703" i="1"/>
  <c r="G703" i="1"/>
  <c r="F703" i="1"/>
  <c r="D703" i="1"/>
  <c r="C703" i="1"/>
  <c r="B703" i="1"/>
  <c r="A703" i="1"/>
  <c r="S702" i="1"/>
  <c r="O702" i="1"/>
  <c r="K702" i="1"/>
  <c r="J702" i="1"/>
  <c r="I702" i="1"/>
  <c r="H702" i="1"/>
  <c r="G702" i="1"/>
  <c r="F702" i="1"/>
  <c r="D702" i="1"/>
  <c r="C702" i="1"/>
  <c r="B702" i="1"/>
  <c r="A702" i="1"/>
  <c r="S701" i="1"/>
  <c r="O701" i="1"/>
  <c r="K701" i="1"/>
  <c r="J701" i="1"/>
  <c r="I701" i="1"/>
  <c r="H701" i="1"/>
  <c r="G701" i="1"/>
  <c r="F701" i="1"/>
  <c r="D701" i="1"/>
  <c r="C701" i="1"/>
  <c r="B701" i="1"/>
  <c r="A701" i="1"/>
  <c r="R700" i="1"/>
  <c r="J700" i="1"/>
  <c r="I700" i="1"/>
  <c r="G700" i="1"/>
  <c r="F700" i="1"/>
  <c r="E700" i="1"/>
  <c r="D700" i="1"/>
  <c r="C700" i="1"/>
  <c r="B700" i="1"/>
  <c r="A700" i="1"/>
  <c r="S699" i="1"/>
  <c r="O699" i="1"/>
  <c r="K699" i="1"/>
  <c r="J699" i="1"/>
  <c r="I699" i="1"/>
  <c r="H699" i="1"/>
  <c r="G699" i="1"/>
  <c r="F699" i="1"/>
  <c r="E699" i="1"/>
  <c r="D699" i="1"/>
  <c r="C699" i="1"/>
  <c r="B699" i="1"/>
  <c r="A699" i="1"/>
  <c r="R698" i="1"/>
  <c r="J698" i="1"/>
  <c r="I698" i="1"/>
  <c r="G698" i="1"/>
  <c r="F698" i="1"/>
  <c r="E698" i="1"/>
  <c r="D698" i="1"/>
  <c r="C698" i="1"/>
  <c r="B698" i="1"/>
  <c r="A698" i="1"/>
  <c r="S697" i="1"/>
  <c r="O697" i="1"/>
  <c r="K697" i="1"/>
  <c r="J697" i="1"/>
  <c r="I697" i="1"/>
  <c r="H697" i="1"/>
  <c r="G697" i="1"/>
  <c r="F697" i="1"/>
  <c r="E697" i="1"/>
  <c r="D697" i="1"/>
  <c r="C697" i="1"/>
  <c r="B697" i="1"/>
  <c r="A697" i="1"/>
  <c r="R696" i="1"/>
  <c r="J696" i="1"/>
  <c r="I696" i="1"/>
  <c r="G696" i="1"/>
  <c r="F696" i="1"/>
  <c r="E696" i="1"/>
  <c r="D696" i="1"/>
  <c r="C696" i="1"/>
  <c r="B696" i="1"/>
  <c r="A696" i="1"/>
  <c r="S695" i="1"/>
  <c r="O695" i="1"/>
  <c r="K695" i="1"/>
  <c r="J695" i="1"/>
  <c r="I695" i="1"/>
  <c r="H695" i="1"/>
  <c r="G695" i="1"/>
  <c r="F695" i="1"/>
  <c r="E695" i="1"/>
  <c r="D695" i="1"/>
  <c r="C695" i="1"/>
  <c r="B695" i="1"/>
  <c r="A695" i="1"/>
  <c r="R694" i="1"/>
  <c r="J694" i="1"/>
  <c r="I694" i="1"/>
  <c r="G694" i="1"/>
  <c r="F694" i="1"/>
  <c r="E694" i="1"/>
  <c r="D694" i="1"/>
  <c r="C694" i="1"/>
  <c r="B694" i="1"/>
  <c r="A694" i="1"/>
  <c r="S693" i="1"/>
  <c r="O693" i="1"/>
  <c r="K693" i="1"/>
  <c r="J693" i="1"/>
  <c r="I693" i="1"/>
  <c r="H693" i="1"/>
  <c r="G693" i="1"/>
  <c r="F693" i="1"/>
  <c r="E693" i="1"/>
  <c r="D693" i="1"/>
  <c r="C693" i="1"/>
  <c r="B693" i="1"/>
  <c r="A693" i="1"/>
  <c r="S692" i="1"/>
  <c r="O692" i="1"/>
  <c r="K692" i="1"/>
  <c r="J692" i="1"/>
  <c r="I692" i="1"/>
  <c r="H692" i="1"/>
  <c r="G692" i="1"/>
  <c r="F692" i="1"/>
  <c r="D692" i="1"/>
  <c r="C692" i="1"/>
  <c r="B692" i="1"/>
  <c r="A692" i="1"/>
  <c r="S691" i="1"/>
  <c r="O691" i="1"/>
  <c r="K691" i="1"/>
  <c r="J691" i="1"/>
  <c r="I691" i="1"/>
  <c r="H691" i="1"/>
  <c r="G691" i="1"/>
  <c r="F691" i="1"/>
  <c r="D691" i="1"/>
  <c r="C691" i="1"/>
  <c r="B691" i="1"/>
  <c r="A691" i="1"/>
  <c r="S690" i="1"/>
  <c r="O690" i="1"/>
  <c r="K690" i="1"/>
  <c r="J690" i="1"/>
  <c r="I690" i="1"/>
  <c r="H690" i="1"/>
  <c r="G690" i="1"/>
  <c r="F690" i="1"/>
  <c r="D690" i="1"/>
  <c r="C690" i="1"/>
  <c r="B690" i="1"/>
  <c r="A690" i="1"/>
  <c r="S689" i="1"/>
  <c r="O689" i="1"/>
  <c r="K689" i="1"/>
  <c r="J689" i="1"/>
  <c r="I689" i="1"/>
  <c r="H689" i="1"/>
  <c r="G689" i="1"/>
  <c r="F689" i="1"/>
  <c r="D689" i="1"/>
  <c r="C689" i="1"/>
  <c r="B689" i="1"/>
  <c r="A689" i="1"/>
  <c r="R688" i="1"/>
  <c r="J688" i="1"/>
  <c r="I688" i="1"/>
  <c r="G688" i="1"/>
  <c r="F688" i="1"/>
  <c r="E688" i="1"/>
  <c r="D688" i="1"/>
  <c r="C688" i="1"/>
  <c r="B688" i="1"/>
  <c r="A688" i="1"/>
  <c r="S687" i="1"/>
  <c r="O687" i="1"/>
  <c r="K687" i="1"/>
  <c r="J687" i="1"/>
  <c r="I687" i="1"/>
  <c r="H687" i="1"/>
  <c r="G687" i="1"/>
  <c r="F687" i="1"/>
  <c r="E687" i="1"/>
  <c r="D687" i="1"/>
  <c r="C687" i="1"/>
  <c r="B687" i="1"/>
  <c r="A687" i="1"/>
  <c r="R686" i="1"/>
  <c r="J686" i="1"/>
  <c r="I686" i="1"/>
  <c r="G686" i="1"/>
  <c r="F686" i="1"/>
  <c r="E686" i="1"/>
  <c r="D686" i="1"/>
  <c r="C686" i="1"/>
  <c r="B686" i="1"/>
  <c r="A686" i="1"/>
  <c r="S685" i="1"/>
  <c r="O685" i="1"/>
  <c r="K685" i="1"/>
  <c r="J685" i="1"/>
  <c r="I685" i="1"/>
  <c r="H685" i="1"/>
  <c r="G685" i="1"/>
  <c r="F685" i="1"/>
  <c r="E685" i="1"/>
  <c r="D685" i="1"/>
  <c r="C685" i="1"/>
  <c r="B685" i="1"/>
  <c r="A685" i="1"/>
  <c r="R684" i="1"/>
  <c r="J684" i="1"/>
  <c r="I684" i="1"/>
  <c r="G684" i="1"/>
  <c r="F684" i="1"/>
  <c r="E684" i="1"/>
  <c r="D684" i="1"/>
  <c r="C684" i="1"/>
  <c r="B684" i="1"/>
  <c r="A684" i="1"/>
  <c r="S683" i="1"/>
  <c r="O683" i="1"/>
  <c r="K683" i="1"/>
  <c r="J683" i="1"/>
  <c r="I683" i="1"/>
  <c r="H683" i="1"/>
  <c r="G683" i="1"/>
  <c r="F683" i="1"/>
  <c r="E683" i="1"/>
  <c r="D683" i="1"/>
  <c r="C683" i="1"/>
  <c r="B683" i="1"/>
  <c r="A683" i="1"/>
  <c r="R682" i="1"/>
  <c r="J682" i="1"/>
  <c r="I682" i="1"/>
  <c r="G682" i="1"/>
  <c r="F682" i="1"/>
  <c r="E682" i="1"/>
  <c r="D682" i="1"/>
  <c r="C682" i="1"/>
  <c r="B682" i="1"/>
  <c r="A682" i="1"/>
  <c r="S681" i="1"/>
  <c r="O681" i="1"/>
  <c r="K681" i="1"/>
  <c r="J681" i="1"/>
  <c r="I681" i="1"/>
  <c r="H681" i="1"/>
  <c r="G681" i="1"/>
  <c r="F681" i="1"/>
  <c r="E681" i="1"/>
  <c r="D681" i="1"/>
  <c r="C681" i="1"/>
  <c r="B681" i="1"/>
  <c r="A681" i="1"/>
  <c r="R680" i="1"/>
  <c r="J680" i="1"/>
  <c r="I680" i="1"/>
  <c r="G680" i="1"/>
  <c r="F680" i="1"/>
  <c r="E680" i="1"/>
  <c r="D680" i="1"/>
  <c r="C680" i="1"/>
  <c r="B680" i="1"/>
  <c r="A680" i="1"/>
  <c r="R679" i="1"/>
  <c r="J679" i="1"/>
  <c r="I679" i="1"/>
  <c r="G679" i="1"/>
  <c r="F679" i="1"/>
  <c r="E679" i="1"/>
  <c r="D679" i="1"/>
  <c r="C679" i="1"/>
  <c r="B679" i="1"/>
  <c r="A679" i="1"/>
  <c r="R678" i="1"/>
  <c r="J678" i="1"/>
  <c r="I678" i="1"/>
  <c r="G678" i="1"/>
  <c r="F678" i="1"/>
  <c r="E678" i="1"/>
  <c r="D678" i="1"/>
  <c r="C678" i="1"/>
  <c r="B678" i="1"/>
  <c r="A678" i="1"/>
  <c r="R677" i="1"/>
  <c r="J677" i="1"/>
  <c r="I677" i="1"/>
  <c r="G677" i="1"/>
  <c r="F677" i="1"/>
  <c r="E677" i="1"/>
  <c r="D677" i="1"/>
  <c r="C677" i="1"/>
  <c r="B677" i="1"/>
  <c r="A677" i="1"/>
  <c r="S676" i="1"/>
  <c r="O676" i="1"/>
  <c r="K676" i="1"/>
  <c r="J676" i="1"/>
  <c r="I676" i="1"/>
  <c r="H676" i="1"/>
  <c r="G676" i="1"/>
  <c r="F676" i="1"/>
  <c r="E676" i="1"/>
  <c r="D676" i="1"/>
  <c r="C676" i="1"/>
  <c r="B676" i="1"/>
  <c r="A676" i="1"/>
  <c r="R675" i="1"/>
  <c r="J675" i="1"/>
  <c r="I675" i="1"/>
  <c r="G675" i="1"/>
  <c r="F675" i="1"/>
  <c r="E675" i="1"/>
  <c r="D675" i="1"/>
  <c r="C675" i="1"/>
  <c r="B675" i="1"/>
  <c r="A675" i="1"/>
  <c r="S674" i="1"/>
  <c r="O674" i="1"/>
  <c r="K674" i="1"/>
  <c r="J674" i="1"/>
  <c r="I674" i="1"/>
  <c r="H674" i="1"/>
  <c r="G674" i="1"/>
  <c r="F674" i="1"/>
  <c r="E674" i="1"/>
  <c r="D674" i="1"/>
  <c r="C674" i="1"/>
  <c r="B674" i="1"/>
  <c r="A674" i="1"/>
  <c r="R673" i="1"/>
  <c r="J673" i="1"/>
  <c r="I673" i="1"/>
  <c r="G673" i="1"/>
  <c r="F673" i="1"/>
  <c r="E673" i="1"/>
  <c r="D673" i="1"/>
  <c r="C673" i="1"/>
  <c r="B673" i="1"/>
  <c r="A673" i="1"/>
  <c r="S672" i="1"/>
  <c r="O672" i="1"/>
  <c r="K672" i="1"/>
  <c r="J672" i="1"/>
  <c r="I672" i="1"/>
  <c r="H672" i="1"/>
  <c r="G672" i="1"/>
  <c r="F672" i="1"/>
  <c r="E672" i="1"/>
  <c r="D672" i="1"/>
  <c r="C672" i="1"/>
  <c r="B672" i="1"/>
  <c r="A672" i="1"/>
  <c r="R671" i="1"/>
  <c r="J671" i="1"/>
  <c r="I671" i="1"/>
  <c r="G671" i="1"/>
  <c r="F671" i="1"/>
  <c r="E671" i="1"/>
  <c r="D671" i="1"/>
  <c r="C671" i="1"/>
  <c r="B671" i="1"/>
  <c r="A671" i="1"/>
  <c r="S670" i="1"/>
  <c r="O670" i="1"/>
  <c r="K670" i="1"/>
  <c r="J670" i="1"/>
  <c r="I670" i="1"/>
  <c r="H670" i="1"/>
  <c r="G670" i="1"/>
  <c r="F670" i="1"/>
  <c r="E670" i="1"/>
  <c r="D670" i="1"/>
  <c r="C670" i="1"/>
  <c r="B670" i="1"/>
  <c r="A670" i="1"/>
  <c r="R669" i="1"/>
  <c r="J669" i="1"/>
  <c r="I669" i="1"/>
  <c r="G669" i="1"/>
  <c r="F669" i="1"/>
  <c r="E669" i="1"/>
  <c r="D669" i="1"/>
  <c r="C669" i="1"/>
  <c r="B669" i="1"/>
  <c r="A669" i="1"/>
  <c r="R668" i="1"/>
  <c r="J668" i="1"/>
  <c r="I668" i="1"/>
  <c r="G668" i="1"/>
  <c r="F668" i="1"/>
  <c r="E668" i="1"/>
  <c r="D668" i="1"/>
  <c r="C668" i="1"/>
  <c r="B668" i="1"/>
  <c r="A668" i="1"/>
  <c r="S667" i="1"/>
  <c r="O667" i="1"/>
  <c r="K667" i="1"/>
  <c r="J667" i="1"/>
  <c r="I667" i="1"/>
  <c r="H667" i="1"/>
  <c r="G667" i="1"/>
  <c r="F667" i="1"/>
  <c r="E667" i="1"/>
  <c r="D667" i="1"/>
  <c r="C667" i="1"/>
  <c r="B667" i="1"/>
  <c r="A667" i="1"/>
  <c r="R666" i="1"/>
  <c r="J666" i="1"/>
  <c r="I666" i="1"/>
  <c r="G666" i="1"/>
  <c r="F666" i="1"/>
  <c r="E666" i="1"/>
  <c r="D666" i="1"/>
  <c r="C666" i="1"/>
  <c r="B666" i="1"/>
  <c r="A666" i="1"/>
  <c r="S665" i="1"/>
  <c r="O665" i="1"/>
  <c r="K665" i="1"/>
  <c r="J665" i="1"/>
  <c r="I665" i="1"/>
  <c r="H665" i="1"/>
  <c r="G665" i="1"/>
  <c r="F665" i="1"/>
  <c r="E665" i="1"/>
  <c r="D665" i="1"/>
  <c r="C665" i="1"/>
  <c r="B665" i="1"/>
  <c r="A665" i="1"/>
  <c r="R664" i="1"/>
  <c r="J664" i="1"/>
  <c r="I664" i="1"/>
  <c r="G664" i="1"/>
  <c r="F664" i="1"/>
  <c r="E664" i="1"/>
  <c r="D664" i="1"/>
  <c r="C664" i="1"/>
  <c r="B664" i="1"/>
  <c r="A664" i="1"/>
  <c r="S663" i="1"/>
  <c r="O663" i="1"/>
  <c r="K663" i="1"/>
  <c r="J663" i="1"/>
  <c r="I663" i="1"/>
  <c r="H663" i="1"/>
  <c r="G663" i="1"/>
  <c r="F663" i="1"/>
  <c r="E663" i="1"/>
  <c r="D663" i="1"/>
  <c r="C663" i="1"/>
  <c r="B663" i="1"/>
  <c r="A663" i="1"/>
  <c r="R662" i="1"/>
  <c r="J662" i="1"/>
  <c r="I662" i="1"/>
  <c r="G662" i="1"/>
  <c r="F662" i="1"/>
  <c r="E662" i="1"/>
  <c r="D662" i="1"/>
  <c r="C662" i="1"/>
  <c r="B662" i="1"/>
  <c r="A662" i="1"/>
  <c r="S661" i="1"/>
  <c r="O661" i="1"/>
  <c r="K661" i="1"/>
  <c r="J661" i="1"/>
  <c r="I661" i="1"/>
  <c r="H661" i="1"/>
  <c r="G661" i="1"/>
  <c r="F661" i="1"/>
  <c r="E661" i="1"/>
  <c r="D661" i="1"/>
  <c r="C661" i="1"/>
  <c r="B661" i="1"/>
  <c r="A661" i="1"/>
  <c r="R660" i="1"/>
  <c r="J660" i="1"/>
  <c r="I660" i="1"/>
  <c r="G660" i="1"/>
  <c r="F660" i="1"/>
  <c r="E660" i="1"/>
  <c r="D660" i="1"/>
  <c r="C660" i="1"/>
  <c r="B660" i="1"/>
  <c r="A660" i="1"/>
  <c r="S659" i="1"/>
  <c r="O659" i="1"/>
  <c r="K659" i="1"/>
  <c r="J659" i="1"/>
  <c r="I659" i="1"/>
  <c r="H659" i="1"/>
  <c r="G659" i="1"/>
  <c r="F659" i="1"/>
  <c r="E659" i="1"/>
  <c r="D659" i="1"/>
  <c r="C659" i="1"/>
  <c r="B659" i="1"/>
  <c r="A659" i="1"/>
  <c r="R658" i="1"/>
  <c r="J658" i="1"/>
  <c r="I658" i="1"/>
  <c r="G658" i="1"/>
  <c r="F658" i="1"/>
  <c r="E658" i="1"/>
  <c r="D658" i="1"/>
  <c r="C658" i="1"/>
  <c r="B658" i="1"/>
  <c r="A658" i="1"/>
  <c r="S657" i="1"/>
  <c r="O657" i="1"/>
  <c r="K657" i="1"/>
  <c r="J657" i="1"/>
  <c r="I657" i="1"/>
  <c r="H657" i="1"/>
  <c r="G657" i="1"/>
  <c r="F657" i="1"/>
  <c r="E657" i="1"/>
  <c r="D657" i="1"/>
  <c r="C657" i="1"/>
  <c r="B657" i="1"/>
  <c r="A657" i="1"/>
  <c r="R656" i="1"/>
  <c r="J656" i="1"/>
  <c r="I656" i="1"/>
  <c r="G656" i="1"/>
  <c r="F656" i="1"/>
  <c r="E656" i="1"/>
  <c r="D656" i="1"/>
  <c r="C656" i="1"/>
  <c r="B656" i="1"/>
  <c r="A656" i="1"/>
  <c r="S655" i="1"/>
  <c r="O655" i="1"/>
  <c r="K655" i="1"/>
  <c r="J655" i="1"/>
  <c r="I655" i="1"/>
  <c r="H655" i="1"/>
  <c r="G655" i="1"/>
  <c r="F655" i="1"/>
  <c r="E655" i="1"/>
  <c r="D655" i="1"/>
  <c r="C655" i="1"/>
  <c r="B655" i="1"/>
  <c r="A655" i="1"/>
  <c r="R654" i="1"/>
  <c r="J654" i="1"/>
  <c r="I654" i="1"/>
  <c r="G654" i="1"/>
  <c r="F654" i="1"/>
  <c r="E654" i="1"/>
  <c r="D654" i="1"/>
  <c r="C654" i="1"/>
  <c r="B654" i="1"/>
  <c r="A654" i="1"/>
  <c r="R653" i="1"/>
  <c r="J653" i="1"/>
  <c r="I653" i="1"/>
  <c r="G653" i="1"/>
  <c r="F653" i="1"/>
  <c r="E653" i="1"/>
  <c r="D653" i="1"/>
  <c r="C653" i="1"/>
  <c r="B653" i="1"/>
  <c r="A653" i="1"/>
  <c r="R652" i="1"/>
  <c r="J652" i="1"/>
  <c r="I652" i="1"/>
  <c r="G652" i="1"/>
  <c r="F652" i="1"/>
  <c r="E652" i="1"/>
  <c r="D652" i="1"/>
  <c r="C652" i="1"/>
  <c r="B652" i="1"/>
  <c r="A652" i="1"/>
  <c r="R651" i="1"/>
  <c r="J651" i="1"/>
  <c r="I651" i="1"/>
  <c r="G651" i="1"/>
  <c r="F651" i="1"/>
  <c r="E651" i="1"/>
  <c r="D651" i="1"/>
  <c r="C651" i="1"/>
  <c r="B651" i="1"/>
  <c r="A651" i="1"/>
  <c r="R650" i="1"/>
  <c r="J650" i="1"/>
  <c r="I650" i="1"/>
  <c r="G650" i="1"/>
  <c r="F650" i="1"/>
  <c r="E650" i="1"/>
  <c r="D650" i="1"/>
  <c r="C650" i="1"/>
  <c r="B650" i="1"/>
  <c r="A650" i="1"/>
  <c r="S649" i="1"/>
  <c r="O649" i="1"/>
  <c r="K649" i="1"/>
  <c r="J649" i="1"/>
  <c r="I649" i="1"/>
  <c r="H649" i="1"/>
  <c r="G649" i="1"/>
  <c r="F649" i="1"/>
  <c r="E649" i="1"/>
  <c r="D649" i="1"/>
  <c r="C649" i="1"/>
  <c r="B649" i="1"/>
  <c r="A649" i="1"/>
  <c r="R648" i="1"/>
  <c r="J648" i="1"/>
  <c r="I648" i="1"/>
  <c r="G648" i="1"/>
  <c r="F648" i="1"/>
  <c r="E648" i="1"/>
  <c r="D648" i="1"/>
  <c r="C648" i="1"/>
  <c r="B648" i="1"/>
  <c r="A648" i="1"/>
  <c r="R647" i="1"/>
  <c r="J647" i="1"/>
  <c r="I647" i="1"/>
  <c r="G647" i="1"/>
  <c r="F647" i="1"/>
  <c r="E647" i="1"/>
  <c r="D647" i="1"/>
  <c r="C647" i="1"/>
  <c r="B647" i="1"/>
  <c r="A647" i="1"/>
  <c r="R646" i="1"/>
  <c r="J646" i="1"/>
  <c r="I646" i="1"/>
  <c r="G646" i="1"/>
  <c r="F646" i="1"/>
  <c r="E646" i="1"/>
  <c r="D646" i="1"/>
  <c r="C646" i="1"/>
  <c r="B646" i="1"/>
  <c r="A646" i="1"/>
  <c r="R645" i="1"/>
  <c r="J645" i="1"/>
  <c r="I645" i="1"/>
  <c r="G645" i="1"/>
  <c r="F645" i="1"/>
  <c r="E645" i="1"/>
  <c r="D645" i="1"/>
  <c r="C645" i="1"/>
  <c r="B645" i="1"/>
  <c r="A645" i="1"/>
  <c r="R644" i="1"/>
  <c r="J644" i="1"/>
  <c r="I644" i="1"/>
  <c r="G644" i="1"/>
  <c r="F644" i="1"/>
  <c r="E644" i="1"/>
  <c r="D644" i="1"/>
  <c r="C644" i="1"/>
  <c r="B644" i="1"/>
  <c r="A644" i="1"/>
  <c r="S643" i="1"/>
  <c r="O643" i="1"/>
  <c r="K643" i="1"/>
  <c r="J643" i="1"/>
  <c r="I643" i="1"/>
  <c r="H643" i="1"/>
  <c r="G643" i="1"/>
  <c r="F643" i="1"/>
  <c r="E643" i="1"/>
  <c r="D643" i="1"/>
  <c r="C643" i="1"/>
  <c r="B643" i="1"/>
  <c r="A643" i="1"/>
  <c r="R642" i="1"/>
  <c r="J642" i="1"/>
  <c r="I642" i="1"/>
  <c r="G642" i="1"/>
  <c r="F642" i="1"/>
  <c r="E642" i="1"/>
  <c r="D642" i="1"/>
  <c r="C642" i="1"/>
  <c r="B642" i="1"/>
  <c r="A642" i="1"/>
  <c r="S641" i="1"/>
  <c r="O641" i="1"/>
  <c r="K641" i="1"/>
  <c r="J641" i="1"/>
  <c r="I641" i="1"/>
  <c r="H641" i="1"/>
  <c r="G641" i="1"/>
  <c r="F641" i="1"/>
  <c r="E641" i="1"/>
  <c r="D641" i="1"/>
  <c r="C641" i="1"/>
  <c r="B641" i="1"/>
  <c r="A641" i="1"/>
  <c r="R640" i="1"/>
  <c r="J640" i="1"/>
  <c r="I640" i="1"/>
  <c r="G640" i="1"/>
  <c r="F640" i="1"/>
  <c r="E640" i="1"/>
  <c r="D640" i="1"/>
  <c r="C640" i="1"/>
  <c r="B640" i="1"/>
  <c r="A640" i="1"/>
  <c r="S639" i="1"/>
  <c r="O639" i="1"/>
  <c r="K639" i="1"/>
  <c r="J639" i="1"/>
  <c r="I639" i="1"/>
  <c r="H639" i="1"/>
  <c r="G639" i="1"/>
  <c r="F639" i="1"/>
  <c r="E639" i="1"/>
  <c r="D639" i="1"/>
  <c r="C639" i="1"/>
  <c r="B639" i="1"/>
  <c r="A639" i="1"/>
  <c r="R638" i="1"/>
  <c r="J638" i="1"/>
  <c r="I638" i="1"/>
  <c r="G638" i="1"/>
  <c r="F638" i="1"/>
  <c r="E638" i="1"/>
  <c r="D638" i="1"/>
  <c r="C638" i="1"/>
  <c r="B638" i="1"/>
  <c r="A638" i="1"/>
  <c r="R637" i="1"/>
  <c r="J637" i="1"/>
  <c r="I637" i="1"/>
  <c r="G637" i="1"/>
  <c r="F637" i="1"/>
  <c r="E637" i="1"/>
  <c r="D637" i="1"/>
  <c r="C637" i="1"/>
  <c r="B637" i="1"/>
  <c r="A637" i="1"/>
  <c r="R636" i="1"/>
  <c r="J636" i="1"/>
  <c r="I636" i="1"/>
  <c r="G636" i="1"/>
  <c r="F636" i="1"/>
  <c r="E636" i="1"/>
  <c r="D636" i="1"/>
  <c r="C636" i="1"/>
  <c r="B636" i="1"/>
  <c r="A636" i="1"/>
  <c r="S635" i="1"/>
  <c r="O635" i="1"/>
  <c r="K635" i="1"/>
  <c r="J635" i="1"/>
  <c r="I635" i="1"/>
  <c r="H635" i="1"/>
  <c r="G635" i="1"/>
  <c r="F635" i="1"/>
  <c r="E635" i="1"/>
  <c r="D635" i="1"/>
  <c r="C635" i="1"/>
  <c r="B635" i="1"/>
  <c r="A635" i="1"/>
  <c r="R634" i="1"/>
  <c r="J634" i="1"/>
  <c r="I634" i="1"/>
  <c r="G634" i="1"/>
  <c r="F634" i="1"/>
  <c r="E634" i="1"/>
  <c r="D634" i="1"/>
  <c r="C634" i="1"/>
  <c r="B634" i="1"/>
  <c r="A634" i="1"/>
  <c r="S633" i="1"/>
  <c r="O633" i="1"/>
  <c r="K633" i="1"/>
  <c r="J633" i="1"/>
  <c r="I633" i="1"/>
  <c r="H633" i="1"/>
  <c r="G633" i="1"/>
  <c r="F633" i="1"/>
  <c r="E633" i="1"/>
  <c r="D633" i="1"/>
  <c r="C633" i="1"/>
  <c r="B633" i="1"/>
  <c r="A633" i="1"/>
  <c r="R632" i="1"/>
  <c r="J632" i="1"/>
  <c r="I632" i="1"/>
  <c r="G632" i="1"/>
  <c r="F632" i="1"/>
  <c r="E632" i="1"/>
  <c r="D632" i="1"/>
  <c r="C632" i="1"/>
  <c r="B632" i="1"/>
  <c r="A632" i="1"/>
  <c r="S631" i="1"/>
  <c r="O631" i="1"/>
  <c r="K631" i="1"/>
  <c r="J631" i="1"/>
  <c r="I631" i="1"/>
  <c r="H631" i="1"/>
  <c r="G631" i="1"/>
  <c r="F631" i="1"/>
  <c r="E631" i="1"/>
  <c r="D631" i="1"/>
  <c r="C631" i="1"/>
  <c r="B631" i="1"/>
  <c r="A631" i="1"/>
  <c r="R630" i="1"/>
  <c r="J630" i="1"/>
  <c r="I630" i="1"/>
  <c r="G630" i="1"/>
  <c r="F630" i="1"/>
  <c r="E630" i="1"/>
  <c r="D630" i="1"/>
  <c r="C630" i="1"/>
  <c r="B630" i="1"/>
  <c r="A630" i="1"/>
  <c r="R629" i="1"/>
  <c r="J629" i="1"/>
  <c r="I629" i="1"/>
  <c r="G629" i="1"/>
  <c r="F629" i="1"/>
  <c r="E629" i="1"/>
  <c r="D629" i="1"/>
  <c r="C629" i="1"/>
  <c r="B629" i="1"/>
  <c r="A629" i="1"/>
  <c r="R628" i="1"/>
  <c r="J628" i="1"/>
  <c r="I628" i="1"/>
  <c r="G628" i="1"/>
  <c r="F628" i="1"/>
  <c r="E628" i="1"/>
  <c r="D628" i="1"/>
  <c r="C628" i="1"/>
  <c r="B628" i="1"/>
  <c r="A628" i="1"/>
  <c r="S627" i="1"/>
  <c r="O627" i="1"/>
  <c r="K627" i="1"/>
  <c r="J627" i="1"/>
  <c r="I627" i="1"/>
  <c r="H627" i="1"/>
  <c r="G627" i="1"/>
  <c r="F627" i="1"/>
  <c r="E627" i="1"/>
  <c r="D627" i="1"/>
  <c r="C627" i="1"/>
  <c r="B627" i="1"/>
  <c r="A627" i="1"/>
  <c r="R626" i="1"/>
  <c r="J626" i="1"/>
  <c r="I626" i="1"/>
  <c r="G626" i="1"/>
  <c r="F626" i="1"/>
  <c r="E626" i="1"/>
  <c r="D626" i="1"/>
  <c r="C626" i="1"/>
  <c r="B626" i="1"/>
  <c r="A626" i="1"/>
  <c r="R625" i="1"/>
  <c r="J625" i="1"/>
  <c r="I625" i="1"/>
  <c r="G625" i="1"/>
  <c r="F625" i="1"/>
  <c r="E625" i="1"/>
  <c r="D625" i="1"/>
  <c r="C625" i="1"/>
  <c r="B625" i="1"/>
  <c r="A625" i="1"/>
  <c r="R624" i="1"/>
  <c r="J624" i="1"/>
  <c r="I624" i="1"/>
  <c r="G624" i="1"/>
  <c r="F624" i="1"/>
  <c r="E624" i="1"/>
  <c r="D624" i="1"/>
  <c r="C624" i="1"/>
  <c r="B624" i="1"/>
  <c r="A624" i="1"/>
  <c r="R623" i="1"/>
  <c r="J623" i="1"/>
  <c r="I623" i="1"/>
  <c r="G623" i="1"/>
  <c r="F623" i="1"/>
  <c r="E623" i="1"/>
  <c r="D623" i="1"/>
  <c r="C623" i="1"/>
  <c r="B623" i="1"/>
  <c r="A623" i="1"/>
  <c r="R622" i="1"/>
  <c r="J622" i="1"/>
  <c r="I622" i="1"/>
  <c r="G622" i="1"/>
  <c r="F622" i="1"/>
  <c r="E622" i="1"/>
  <c r="D622" i="1"/>
  <c r="C622" i="1"/>
  <c r="B622" i="1"/>
  <c r="A622" i="1"/>
  <c r="R621" i="1"/>
  <c r="J621" i="1"/>
  <c r="I621" i="1"/>
  <c r="G621" i="1"/>
  <c r="F621" i="1"/>
  <c r="E621" i="1"/>
  <c r="D621" i="1"/>
  <c r="C621" i="1"/>
  <c r="B621" i="1"/>
  <c r="A621" i="1"/>
  <c r="S620" i="1"/>
  <c r="O620" i="1"/>
  <c r="K620" i="1"/>
  <c r="J620" i="1"/>
  <c r="I620" i="1"/>
  <c r="H620" i="1"/>
  <c r="G620" i="1"/>
  <c r="F620" i="1"/>
  <c r="E620" i="1"/>
  <c r="D620" i="1"/>
  <c r="C620" i="1"/>
  <c r="B620" i="1"/>
  <c r="A620" i="1"/>
  <c r="R619" i="1"/>
  <c r="J619" i="1"/>
  <c r="I619" i="1"/>
  <c r="G619" i="1"/>
  <c r="F619" i="1"/>
  <c r="E619" i="1"/>
  <c r="D619" i="1"/>
  <c r="C619" i="1"/>
  <c r="B619" i="1"/>
  <c r="A619" i="1"/>
  <c r="R618" i="1"/>
  <c r="J618" i="1"/>
  <c r="I618" i="1"/>
  <c r="G618" i="1"/>
  <c r="F618" i="1"/>
  <c r="E618" i="1"/>
  <c r="D618" i="1"/>
  <c r="C618" i="1"/>
  <c r="B618" i="1"/>
  <c r="A618" i="1"/>
  <c r="S617" i="1"/>
  <c r="O617" i="1"/>
  <c r="K617" i="1"/>
  <c r="J617" i="1"/>
  <c r="I617" i="1"/>
  <c r="H617" i="1"/>
  <c r="G617" i="1"/>
  <c r="F617" i="1"/>
  <c r="E617" i="1"/>
  <c r="D617" i="1"/>
  <c r="C617" i="1"/>
  <c r="B617" i="1"/>
  <c r="A617" i="1"/>
  <c r="R616" i="1"/>
  <c r="J616" i="1"/>
  <c r="I616" i="1"/>
  <c r="G616" i="1"/>
  <c r="F616" i="1"/>
  <c r="E616" i="1"/>
  <c r="D616" i="1"/>
  <c r="C616" i="1"/>
  <c r="B616" i="1"/>
  <c r="A616" i="1"/>
  <c r="R615" i="1"/>
  <c r="J615" i="1"/>
  <c r="I615" i="1"/>
  <c r="G615" i="1"/>
  <c r="F615" i="1"/>
  <c r="E615" i="1"/>
  <c r="D615" i="1"/>
  <c r="C615" i="1"/>
  <c r="B615" i="1"/>
  <c r="A615" i="1"/>
  <c r="R614" i="1"/>
  <c r="J614" i="1"/>
  <c r="I614" i="1"/>
  <c r="G614" i="1"/>
  <c r="F614" i="1"/>
  <c r="E614" i="1"/>
  <c r="D614" i="1"/>
  <c r="C614" i="1"/>
  <c r="B614" i="1"/>
  <c r="A614" i="1"/>
  <c r="R613" i="1"/>
  <c r="J613" i="1"/>
  <c r="I613" i="1"/>
  <c r="G613" i="1"/>
  <c r="F613" i="1"/>
  <c r="E613" i="1"/>
  <c r="D613" i="1"/>
  <c r="C613" i="1"/>
  <c r="B613" i="1"/>
  <c r="A613" i="1"/>
  <c r="S612" i="1"/>
  <c r="O612" i="1"/>
  <c r="K612" i="1"/>
  <c r="J612" i="1"/>
  <c r="I612" i="1"/>
  <c r="H612" i="1"/>
  <c r="G612" i="1"/>
  <c r="F612" i="1"/>
  <c r="E612" i="1"/>
  <c r="D612" i="1"/>
  <c r="C612" i="1"/>
  <c r="B612" i="1"/>
  <c r="A612" i="1"/>
  <c r="R611" i="1"/>
  <c r="J611" i="1"/>
  <c r="I611" i="1"/>
  <c r="G611" i="1"/>
  <c r="F611" i="1"/>
  <c r="E611" i="1"/>
  <c r="D611" i="1"/>
  <c r="C611" i="1"/>
  <c r="B611" i="1"/>
  <c r="A611" i="1"/>
  <c r="S610" i="1"/>
  <c r="O610" i="1"/>
  <c r="K610" i="1"/>
  <c r="J610" i="1"/>
  <c r="I610" i="1"/>
  <c r="H610" i="1"/>
  <c r="G610" i="1"/>
  <c r="F610" i="1"/>
  <c r="E610" i="1"/>
  <c r="D610" i="1"/>
  <c r="C610" i="1"/>
  <c r="B610" i="1"/>
  <c r="A610" i="1"/>
  <c r="R609" i="1"/>
  <c r="J609" i="1"/>
  <c r="I609" i="1"/>
  <c r="G609" i="1"/>
  <c r="F609" i="1"/>
  <c r="E609" i="1"/>
  <c r="D609" i="1"/>
  <c r="C609" i="1"/>
  <c r="B609" i="1"/>
  <c r="A609" i="1"/>
  <c r="S608" i="1"/>
  <c r="O608" i="1"/>
  <c r="K608" i="1"/>
  <c r="J608" i="1"/>
  <c r="I608" i="1"/>
  <c r="H608" i="1"/>
  <c r="G608" i="1"/>
  <c r="F608" i="1"/>
  <c r="E608" i="1"/>
  <c r="D608" i="1"/>
  <c r="C608" i="1"/>
  <c r="B608" i="1"/>
  <c r="A608" i="1"/>
  <c r="R607" i="1"/>
  <c r="J607" i="1"/>
  <c r="I607" i="1"/>
  <c r="G607" i="1"/>
  <c r="F607" i="1"/>
  <c r="E607" i="1"/>
  <c r="D607" i="1"/>
  <c r="C607" i="1"/>
  <c r="B607" i="1"/>
  <c r="A607" i="1"/>
  <c r="S606" i="1"/>
  <c r="O606" i="1"/>
  <c r="K606" i="1"/>
  <c r="J606" i="1"/>
  <c r="I606" i="1"/>
  <c r="H606" i="1"/>
  <c r="G606" i="1"/>
  <c r="F606" i="1"/>
  <c r="E606" i="1"/>
  <c r="D606" i="1"/>
  <c r="C606" i="1"/>
  <c r="B606" i="1"/>
  <c r="A606" i="1"/>
  <c r="R605" i="1"/>
  <c r="J605" i="1"/>
  <c r="I605" i="1"/>
  <c r="G605" i="1"/>
  <c r="F605" i="1"/>
  <c r="E605" i="1"/>
  <c r="D605" i="1"/>
  <c r="C605" i="1"/>
  <c r="B605" i="1"/>
  <c r="A605" i="1"/>
  <c r="R604" i="1"/>
  <c r="J604" i="1"/>
  <c r="I604" i="1"/>
  <c r="G604" i="1"/>
  <c r="F604" i="1"/>
  <c r="E604" i="1"/>
  <c r="D604" i="1"/>
  <c r="C604" i="1"/>
  <c r="B604" i="1"/>
  <c r="A604" i="1"/>
  <c r="R603" i="1"/>
  <c r="J603" i="1"/>
  <c r="I603" i="1"/>
  <c r="G603" i="1"/>
  <c r="F603" i="1"/>
  <c r="E603" i="1"/>
  <c r="D603" i="1"/>
  <c r="C603" i="1"/>
  <c r="B603" i="1"/>
  <c r="A603" i="1"/>
  <c r="R602" i="1"/>
  <c r="J602" i="1"/>
  <c r="I602" i="1"/>
  <c r="G602" i="1"/>
  <c r="F602" i="1"/>
  <c r="E602" i="1"/>
  <c r="D602" i="1"/>
  <c r="C602" i="1"/>
  <c r="B602" i="1"/>
  <c r="A602" i="1"/>
  <c r="S601" i="1"/>
  <c r="O601" i="1"/>
  <c r="K601" i="1"/>
  <c r="J601" i="1"/>
  <c r="I601" i="1"/>
  <c r="H601" i="1"/>
  <c r="G601" i="1"/>
  <c r="F601" i="1"/>
  <c r="E601" i="1"/>
  <c r="D601" i="1"/>
  <c r="C601" i="1"/>
  <c r="B601" i="1"/>
  <c r="A601" i="1"/>
  <c r="R600" i="1"/>
  <c r="J600" i="1"/>
  <c r="I600" i="1"/>
  <c r="G600" i="1"/>
  <c r="F600" i="1"/>
  <c r="E600" i="1"/>
  <c r="D600" i="1"/>
  <c r="C600" i="1"/>
  <c r="B600" i="1"/>
  <c r="A600" i="1"/>
  <c r="S599" i="1"/>
  <c r="O599" i="1"/>
  <c r="K599" i="1"/>
  <c r="J599" i="1"/>
  <c r="I599" i="1"/>
  <c r="H599" i="1"/>
  <c r="G599" i="1"/>
  <c r="F599" i="1"/>
  <c r="E599" i="1"/>
  <c r="D599" i="1"/>
  <c r="C599" i="1"/>
  <c r="B599" i="1"/>
  <c r="A599" i="1"/>
  <c r="R598" i="1"/>
  <c r="J598" i="1"/>
  <c r="I598" i="1"/>
  <c r="G598" i="1"/>
  <c r="F598" i="1"/>
  <c r="E598" i="1"/>
  <c r="D598" i="1"/>
  <c r="C598" i="1"/>
  <c r="B598" i="1"/>
  <c r="A598" i="1"/>
  <c r="S597" i="1"/>
  <c r="O597" i="1"/>
  <c r="K597" i="1"/>
  <c r="J597" i="1"/>
  <c r="I597" i="1"/>
  <c r="H597" i="1"/>
  <c r="G597" i="1"/>
  <c r="F597" i="1"/>
  <c r="E597" i="1"/>
  <c r="D597" i="1"/>
  <c r="C597" i="1"/>
  <c r="B597" i="1"/>
  <c r="A597" i="1"/>
  <c r="R596" i="1"/>
  <c r="J596" i="1"/>
  <c r="I596" i="1"/>
  <c r="G596" i="1"/>
  <c r="F596" i="1"/>
  <c r="E596" i="1"/>
  <c r="D596" i="1"/>
  <c r="C596" i="1"/>
  <c r="B596" i="1"/>
  <c r="A596" i="1"/>
  <c r="R595" i="1"/>
  <c r="J595" i="1"/>
  <c r="I595" i="1"/>
  <c r="G595" i="1"/>
  <c r="F595" i="1"/>
  <c r="E595" i="1"/>
  <c r="D595" i="1"/>
  <c r="C595" i="1"/>
  <c r="B595" i="1"/>
  <c r="A595" i="1"/>
  <c r="S594" i="1"/>
  <c r="O594" i="1"/>
  <c r="K594" i="1"/>
  <c r="J594" i="1"/>
  <c r="I594" i="1"/>
  <c r="H594" i="1"/>
  <c r="G594" i="1"/>
  <c r="F594" i="1"/>
  <c r="E594" i="1"/>
  <c r="D594" i="1"/>
  <c r="C594" i="1"/>
  <c r="B594" i="1"/>
  <c r="A594" i="1"/>
  <c r="R593" i="1"/>
  <c r="J593" i="1"/>
  <c r="I593" i="1"/>
  <c r="G593" i="1"/>
  <c r="F593" i="1"/>
  <c r="E593" i="1"/>
  <c r="D593" i="1"/>
  <c r="C593" i="1"/>
  <c r="B593" i="1"/>
  <c r="A593" i="1"/>
  <c r="R592" i="1"/>
  <c r="J592" i="1"/>
  <c r="I592" i="1"/>
  <c r="G592" i="1"/>
  <c r="F592" i="1"/>
  <c r="E592" i="1"/>
  <c r="D592" i="1"/>
  <c r="C592" i="1"/>
  <c r="B592" i="1"/>
  <c r="A592" i="1"/>
  <c r="R591" i="1"/>
  <c r="J591" i="1"/>
  <c r="I591" i="1"/>
  <c r="G591" i="1"/>
  <c r="F591" i="1"/>
  <c r="E591" i="1"/>
  <c r="D591" i="1"/>
  <c r="C591" i="1"/>
  <c r="B591" i="1"/>
  <c r="A591" i="1"/>
  <c r="R590" i="1"/>
  <c r="J590" i="1"/>
  <c r="I590" i="1"/>
  <c r="G590" i="1"/>
  <c r="F590" i="1"/>
  <c r="E590" i="1"/>
  <c r="D590" i="1"/>
  <c r="C590" i="1"/>
  <c r="B590" i="1"/>
  <c r="A590" i="1"/>
  <c r="S589" i="1"/>
  <c r="O589" i="1"/>
  <c r="K589" i="1"/>
  <c r="J589" i="1"/>
  <c r="I589" i="1"/>
  <c r="H589" i="1"/>
  <c r="G589" i="1"/>
  <c r="F589" i="1"/>
  <c r="E589" i="1"/>
  <c r="D589" i="1"/>
  <c r="C589" i="1"/>
  <c r="B589" i="1"/>
  <c r="A589" i="1"/>
  <c r="R588" i="1"/>
  <c r="J588" i="1"/>
  <c r="I588" i="1"/>
  <c r="G588" i="1"/>
  <c r="F588" i="1"/>
  <c r="E588" i="1"/>
  <c r="D588" i="1"/>
  <c r="C588" i="1"/>
  <c r="B588" i="1"/>
  <c r="A588" i="1"/>
  <c r="S587" i="1"/>
  <c r="O587" i="1"/>
  <c r="K587" i="1"/>
  <c r="J587" i="1"/>
  <c r="I587" i="1"/>
  <c r="H587" i="1"/>
  <c r="G587" i="1"/>
  <c r="F587" i="1"/>
  <c r="E587" i="1"/>
  <c r="D587" i="1"/>
  <c r="C587" i="1"/>
  <c r="B587" i="1"/>
  <c r="A587" i="1"/>
  <c r="R586" i="1"/>
  <c r="J586" i="1"/>
  <c r="I586" i="1"/>
  <c r="G586" i="1"/>
  <c r="F586" i="1"/>
  <c r="E586" i="1"/>
  <c r="D586" i="1"/>
  <c r="C586" i="1"/>
  <c r="B586" i="1"/>
  <c r="A586" i="1"/>
  <c r="R585" i="1"/>
  <c r="J585" i="1"/>
  <c r="I585" i="1"/>
  <c r="G585" i="1"/>
  <c r="F585" i="1"/>
  <c r="E585" i="1"/>
  <c r="D585" i="1"/>
  <c r="C585" i="1"/>
  <c r="B585" i="1"/>
  <c r="A585" i="1"/>
  <c r="S584" i="1"/>
  <c r="O584" i="1"/>
  <c r="K584" i="1"/>
  <c r="J584" i="1"/>
  <c r="I584" i="1"/>
  <c r="H584" i="1"/>
  <c r="G584" i="1"/>
  <c r="F584" i="1"/>
  <c r="E584" i="1"/>
  <c r="D584" i="1"/>
  <c r="C584" i="1"/>
  <c r="B584" i="1"/>
  <c r="A584" i="1"/>
  <c r="R583" i="1"/>
  <c r="J583" i="1"/>
  <c r="I583" i="1"/>
  <c r="G583" i="1"/>
  <c r="F583" i="1"/>
  <c r="E583" i="1"/>
  <c r="D583" i="1"/>
  <c r="C583" i="1"/>
  <c r="B583" i="1"/>
  <c r="A583" i="1"/>
  <c r="R582" i="1"/>
  <c r="J582" i="1"/>
  <c r="I582" i="1"/>
  <c r="G582" i="1"/>
  <c r="F582" i="1"/>
  <c r="E582" i="1"/>
  <c r="D582" i="1"/>
  <c r="C582" i="1"/>
  <c r="B582" i="1"/>
  <c r="A582" i="1"/>
  <c r="S581" i="1"/>
  <c r="O581" i="1"/>
  <c r="K581" i="1"/>
  <c r="J581" i="1"/>
  <c r="I581" i="1"/>
  <c r="H581" i="1"/>
  <c r="G581" i="1"/>
  <c r="F581" i="1"/>
  <c r="E581" i="1"/>
  <c r="D581" i="1"/>
  <c r="C581" i="1"/>
  <c r="B581" i="1"/>
  <c r="A581" i="1"/>
  <c r="R580" i="1"/>
  <c r="J580" i="1"/>
  <c r="I580" i="1"/>
  <c r="G580" i="1"/>
  <c r="F580" i="1"/>
  <c r="E580" i="1"/>
  <c r="D580" i="1"/>
  <c r="C580" i="1"/>
  <c r="B580" i="1"/>
  <c r="A580" i="1"/>
  <c r="S579" i="1"/>
  <c r="O579" i="1"/>
  <c r="K579" i="1"/>
  <c r="J579" i="1"/>
  <c r="I579" i="1"/>
  <c r="H579" i="1"/>
  <c r="G579" i="1"/>
  <c r="F579" i="1"/>
  <c r="E579" i="1"/>
  <c r="D579" i="1"/>
  <c r="C579" i="1"/>
  <c r="B579" i="1"/>
  <c r="A579" i="1"/>
  <c r="R578" i="1"/>
  <c r="J578" i="1"/>
  <c r="I578" i="1"/>
  <c r="G578" i="1"/>
  <c r="F578" i="1"/>
  <c r="E578" i="1"/>
  <c r="D578" i="1"/>
  <c r="C578" i="1"/>
  <c r="B578" i="1"/>
  <c r="A578" i="1"/>
  <c r="S577" i="1"/>
  <c r="O577" i="1"/>
  <c r="K577" i="1"/>
  <c r="J577" i="1"/>
  <c r="I577" i="1"/>
  <c r="H577" i="1"/>
  <c r="G577" i="1"/>
  <c r="F577" i="1"/>
  <c r="E577" i="1"/>
  <c r="D577" i="1"/>
  <c r="C577" i="1"/>
  <c r="B577" i="1"/>
  <c r="A577" i="1"/>
  <c r="R576" i="1"/>
  <c r="J576" i="1"/>
  <c r="I576" i="1"/>
  <c r="G576" i="1"/>
  <c r="F576" i="1"/>
  <c r="E576" i="1"/>
  <c r="D576" i="1"/>
  <c r="C576" i="1"/>
  <c r="B576" i="1"/>
  <c r="A576" i="1"/>
  <c r="S575" i="1"/>
  <c r="O575" i="1"/>
  <c r="K575" i="1"/>
  <c r="J575" i="1"/>
  <c r="I575" i="1"/>
  <c r="H575" i="1"/>
  <c r="G575" i="1"/>
  <c r="F575" i="1"/>
  <c r="E575" i="1"/>
  <c r="D575" i="1"/>
  <c r="C575" i="1"/>
  <c r="B575" i="1"/>
  <c r="A575" i="1"/>
  <c r="S574" i="1"/>
  <c r="O574" i="1"/>
  <c r="K574" i="1"/>
  <c r="J574" i="1"/>
  <c r="I574" i="1"/>
  <c r="H574" i="1"/>
  <c r="G574" i="1"/>
  <c r="F574" i="1"/>
  <c r="D574" i="1"/>
  <c r="C574" i="1"/>
  <c r="B574" i="1"/>
  <c r="A574" i="1"/>
  <c r="R573" i="1"/>
  <c r="J573" i="1"/>
  <c r="I573" i="1"/>
  <c r="G573" i="1"/>
  <c r="F573" i="1"/>
  <c r="E573" i="1"/>
  <c r="D573" i="1"/>
  <c r="C573" i="1"/>
  <c r="B573" i="1"/>
  <c r="A573" i="1"/>
  <c r="S572" i="1"/>
  <c r="O572" i="1"/>
  <c r="K572" i="1"/>
  <c r="J572" i="1"/>
  <c r="I572" i="1"/>
  <c r="H572" i="1"/>
  <c r="G572" i="1"/>
  <c r="F572" i="1"/>
  <c r="E572" i="1"/>
  <c r="D572" i="1"/>
  <c r="C572" i="1"/>
  <c r="B572" i="1"/>
  <c r="A572" i="1"/>
  <c r="R571" i="1"/>
  <c r="J571" i="1"/>
  <c r="I571" i="1"/>
  <c r="G571" i="1"/>
  <c r="F571" i="1"/>
  <c r="E571" i="1"/>
  <c r="D571" i="1"/>
  <c r="C571" i="1"/>
  <c r="B571" i="1"/>
  <c r="A571" i="1"/>
  <c r="S570" i="1"/>
  <c r="O570" i="1"/>
  <c r="K570" i="1"/>
  <c r="J570" i="1"/>
  <c r="I570" i="1"/>
  <c r="H570" i="1"/>
  <c r="G570" i="1"/>
  <c r="F570" i="1"/>
  <c r="E570" i="1"/>
  <c r="D570" i="1"/>
  <c r="C570" i="1"/>
  <c r="B570" i="1"/>
  <c r="A570" i="1"/>
  <c r="R569" i="1"/>
  <c r="J569" i="1"/>
  <c r="I569" i="1"/>
  <c r="G569" i="1"/>
  <c r="F569" i="1"/>
  <c r="E569" i="1"/>
  <c r="D569" i="1"/>
  <c r="C569" i="1"/>
  <c r="B569" i="1"/>
  <c r="A569" i="1"/>
  <c r="S568" i="1"/>
  <c r="O568" i="1"/>
  <c r="K568" i="1"/>
  <c r="J568" i="1"/>
  <c r="I568" i="1"/>
  <c r="H568" i="1"/>
  <c r="G568" i="1"/>
  <c r="F568" i="1"/>
  <c r="E568" i="1"/>
  <c r="D568" i="1"/>
  <c r="C568" i="1"/>
  <c r="B568" i="1"/>
  <c r="A568" i="1"/>
  <c r="R567" i="1"/>
  <c r="J567" i="1"/>
  <c r="I567" i="1"/>
  <c r="G567" i="1"/>
  <c r="F567" i="1"/>
  <c r="E567" i="1"/>
  <c r="D567" i="1"/>
  <c r="C567" i="1"/>
  <c r="B567" i="1"/>
  <c r="A567" i="1"/>
  <c r="S566" i="1"/>
  <c r="O566" i="1"/>
  <c r="K566" i="1"/>
  <c r="J566" i="1"/>
  <c r="I566" i="1"/>
  <c r="H566" i="1"/>
  <c r="G566" i="1"/>
  <c r="F566" i="1"/>
  <c r="E566" i="1"/>
  <c r="D566" i="1"/>
  <c r="C566" i="1"/>
  <c r="B566" i="1"/>
  <c r="A566" i="1"/>
  <c r="R565" i="1"/>
  <c r="J565" i="1"/>
  <c r="I565" i="1"/>
  <c r="G565" i="1"/>
  <c r="F565" i="1"/>
  <c r="E565" i="1"/>
  <c r="D565" i="1"/>
  <c r="C565" i="1"/>
  <c r="B565" i="1"/>
  <c r="A565" i="1"/>
  <c r="S564" i="1"/>
  <c r="O564" i="1"/>
  <c r="K564" i="1"/>
  <c r="J564" i="1"/>
  <c r="I564" i="1"/>
  <c r="H564" i="1"/>
  <c r="G564" i="1"/>
  <c r="F564" i="1"/>
  <c r="E564" i="1"/>
  <c r="D564" i="1"/>
  <c r="C564" i="1"/>
  <c r="B564" i="1"/>
  <c r="A564" i="1"/>
  <c r="R563" i="1"/>
  <c r="J563" i="1"/>
  <c r="I563" i="1"/>
  <c r="G563" i="1"/>
  <c r="F563" i="1"/>
  <c r="E563" i="1"/>
  <c r="D563" i="1"/>
  <c r="C563" i="1"/>
  <c r="B563" i="1"/>
  <c r="A563" i="1"/>
  <c r="R562" i="1"/>
  <c r="J562" i="1"/>
  <c r="I562" i="1"/>
  <c r="G562" i="1"/>
  <c r="F562" i="1"/>
  <c r="E562" i="1"/>
  <c r="D562" i="1"/>
  <c r="C562" i="1"/>
  <c r="B562" i="1"/>
  <c r="A562" i="1"/>
  <c r="R561" i="1"/>
  <c r="J561" i="1"/>
  <c r="I561" i="1"/>
  <c r="G561" i="1"/>
  <c r="F561" i="1"/>
  <c r="E561" i="1"/>
  <c r="D561" i="1"/>
  <c r="C561" i="1"/>
  <c r="B561" i="1"/>
  <c r="A561" i="1"/>
  <c r="R560" i="1"/>
  <c r="J560" i="1"/>
  <c r="I560" i="1"/>
  <c r="G560" i="1"/>
  <c r="F560" i="1"/>
  <c r="E560" i="1"/>
  <c r="D560" i="1"/>
  <c r="C560" i="1"/>
  <c r="B560" i="1"/>
  <c r="A560" i="1"/>
  <c r="R559" i="1"/>
  <c r="J559" i="1"/>
  <c r="I559" i="1"/>
  <c r="G559" i="1"/>
  <c r="F559" i="1"/>
  <c r="E559" i="1"/>
  <c r="D559" i="1"/>
  <c r="C559" i="1"/>
  <c r="B559" i="1"/>
  <c r="A559" i="1"/>
  <c r="R558" i="1"/>
  <c r="J558" i="1"/>
  <c r="I558" i="1"/>
  <c r="G558" i="1"/>
  <c r="F558" i="1"/>
  <c r="E558" i="1"/>
  <c r="D558" i="1"/>
  <c r="C558" i="1"/>
  <c r="B558" i="1"/>
  <c r="A558" i="1"/>
  <c r="R557" i="1"/>
  <c r="J557" i="1"/>
  <c r="I557" i="1"/>
  <c r="G557" i="1"/>
  <c r="F557" i="1"/>
  <c r="E557" i="1"/>
  <c r="D557" i="1"/>
  <c r="C557" i="1"/>
  <c r="B557" i="1"/>
  <c r="A557" i="1"/>
  <c r="R556" i="1"/>
  <c r="J556" i="1"/>
  <c r="I556" i="1"/>
  <c r="G556" i="1"/>
  <c r="F556" i="1"/>
  <c r="E556" i="1"/>
  <c r="D556" i="1"/>
  <c r="C556" i="1"/>
  <c r="B556" i="1"/>
  <c r="A556" i="1"/>
  <c r="R555" i="1"/>
  <c r="J555" i="1"/>
  <c r="I555" i="1"/>
  <c r="G555" i="1"/>
  <c r="F555" i="1"/>
  <c r="E555" i="1"/>
  <c r="D555" i="1"/>
  <c r="C555" i="1"/>
  <c r="B555" i="1"/>
  <c r="A555" i="1"/>
  <c r="R554" i="1"/>
  <c r="J554" i="1"/>
  <c r="I554" i="1"/>
  <c r="G554" i="1"/>
  <c r="F554" i="1"/>
  <c r="E554" i="1"/>
  <c r="D554" i="1"/>
  <c r="C554" i="1"/>
  <c r="B554" i="1"/>
  <c r="A554" i="1"/>
  <c r="R553" i="1"/>
  <c r="J553" i="1"/>
  <c r="I553" i="1"/>
  <c r="G553" i="1"/>
  <c r="F553" i="1"/>
  <c r="E553" i="1"/>
  <c r="D553" i="1"/>
  <c r="C553" i="1"/>
  <c r="B553" i="1"/>
  <c r="A553" i="1"/>
  <c r="R552" i="1"/>
  <c r="J552" i="1"/>
  <c r="I552" i="1"/>
  <c r="G552" i="1"/>
  <c r="F552" i="1"/>
  <c r="E552" i="1"/>
  <c r="D552" i="1"/>
  <c r="C552" i="1"/>
  <c r="B552" i="1"/>
  <c r="A552" i="1"/>
  <c r="R551" i="1"/>
  <c r="J551" i="1"/>
  <c r="I551" i="1"/>
  <c r="G551" i="1"/>
  <c r="F551" i="1"/>
  <c r="E551" i="1"/>
  <c r="D551" i="1"/>
  <c r="C551" i="1"/>
  <c r="B551" i="1"/>
  <c r="A551" i="1"/>
  <c r="R550" i="1"/>
  <c r="J550" i="1"/>
  <c r="I550" i="1"/>
  <c r="G550" i="1"/>
  <c r="F550" i="1"/>
  <c r="E550" i="1"/>
  <c r="D550" i="1"/>
  <c r="C550" i="1"/>
  <c r="B550" i="1"/>
  <c r="A550" i="1"/>
  <c r="R549" i="1"/>
  <c r="J549" i="1"/>
  <c r="I549" i="1"/>
  <c r="G549" i="1"/>
  <c r="F549" i="1"/>
  <c r="E549" i="1"/>
  <c r="D549" i="1"/>
  <c r="C549" i="1"/>
  <c r="B549" i="1"/>
  <c r="A549" i="1"/>
  <c r="R548" i="1"/>
  <c r="J548" i="1"/>
  <c r="I548" i="1"/>
  <c r="G548" i="1"/>
  <c r="F548" i="1"/>
  <c r="E548" i="1"/>
  <c r="D548" i="1"/>
  <c r="C548" i="1"/>
  <c r="B548" i="1"/>
  <c r="A548" i="1"/>
  <c r="S547" i="1"/>
  <c r="O547" i="1"/>
  <c r="K547" i="1"/>
  <c r="J547" i="1"/>
  <c r="I547" i="1"/>
  <c r="H547" i="1"/>
  <c r="G547" i="1"/>
  <c r="F547" i="1"/>
  <c r="E547" i="1"/>
  <c r="D547" i="1"/>
  <c r="C547" i="1"/>
  <c r="B547" i="1"/>
  <c r="A547" i="1"/>
  <c r="R546" i="1"/>
  <c r="J546" i="1"/>
  <c r="I546" i="1"/>
  <c r="G546" i="1"/>
  <c r="F546" i="1"/>
  <c r="E546" i="1"/>
  <c r="D546" i="1"/>
  <c r="C546" i="1"/>
  <c r="B546" i="1"/>
  <c r="A546" i="1"/>
  <c r="R545" i="1"/>
  <c r="J545" i="1"/>
  <c r="I545" i="1"/>
  <c r="G545" i="1"/>
  <c r="F545" i="1"/>
  <c r="E545" i="1"/>
  <c r="D545" i="1"/>
  <c r="C545" i="1"/>
  <c r="B545" i="1"/>
  <c r="A545" i="1"/>
  <c r="R544" i="1"/>
  <c r="J544" i="1"/>
  <c r="I544" i="1"/>
  <c r="G544" i="1"/>
  <c r="F544" i="1"/>
  <c r="E544" i="1"/>
  <c r="D544" i="1"/>
  <c r="C544" i="1"/>
  <c r="B544" i="1"/>
  <c r="A544" i="1"/>
  <c r="R543" i="1"/>
  <c r="J543" i="1"/>
  <c r="I543" i="1"/>
  <c r="G543" i="1"/>
  <c r="F543" i="1"/>
  <c r="E543" i="1"/>
  <c r="D543" i="1"/>
  <c r="C543" i="1"/>
  <c r="B543" i="1"/>
  <c r="A543" i="1"/>
  <c r="R542" i="1"/>
  <c r="J542" i="1"/>
  <c r="I542" i="1"/>
  <c r="G542" i="1"/>
  <c r="F542" i="1"/>
  <c r="E542" i="1"/>
  <c r="D542" i="1"/>
  <c r="C542" i="1"/>
  <c r="B542" i="1"/>
  <c r="A542" i="1"/>
  <c r="R541" i="1"/>
  <c r="J541" i="1"/>
  <c r="I541" i="1"/>
  <c r="G541" i="1"/>
  <c r="F541" i="1"/>
  <c r="E541" i="1"/>
  <c r="D541" i="1"/>
  <c r="C541" i="1"/>
  <c r="B541" i="1"/>
  <c r="A541" i="1"/>
  <c r="R540" i="1"/>
  <c r="J540" i="1"/>
  <c r="I540" i="1"/>
  <c r="G540" i="1"/>
  <c r="F540" i="1"/>
  <c r="E540" i="1"/>
  <c r="D540" i="1"/>
  <c r="C540" i="1"/>
  <c r="B540" i="1"/>
  <c r="A540" i="1"/>
  <c r="R539" i="1"/>
  <c r="J539" i="1"/>
  <c r="I539" i="1"/>
  <c r="G539" i="1"/>
  <c r="F539" i="1"/>
  <c r="E539" i="1"/>
  <c r="D539" i="1"/>
  <c r="C539" i="1"/>
  <c r="B539" i="1"/>
  <c r="A539" i="1"/>
  <c r="R538" i="1"/>
  <c r="J538" i="1"/>
  <c r="I538" i="1"/>
  <c r="G538" i="1"/>
  <c r="F538" i="1"/>
  <c r="E538" i="1"/>
  <c r="D538" i="1"/>
  <c r="C538" i="1"/>
  <c r="B538" i="1"/>
  <c r="A538" i="1"/>
  <c r="R537" i="1"/>
  <c r="J537" i="1"/>
  <c r="I537" i="1"/>
  <c r="G537" i="1"/>
  <c r="F537" i="1"/>
  <c r="E537" i="1"/>
  <c r="D537" i="1"/>
  <c r="C537" i="1"/>
  <c r="B537" i="1"/>
  <c r="A537" i="1"/>
  <c r="R536" i="1"/>
  <c r="J536" i="1"/>
  <c r="I536" i="1"/>
  <c r="G536" i="1"/>
  <c r="F536" i="1"/>
  <c r="E536" i="1"/>
  <c r="D536" i="1"/>
  <c r="C536" i="1"/>
  <c r="B536" i="1"/>
  <c r="A536" i="1"/>
  <c r="R535" i="1"/>
  <c r="J535" i="1"/>
  <c r="I535" i="1"/>
  <c r="G535" i="1"/>
  <c r="F535" i="1"/>
  <c r="E535" i="1"/>
  <c r="D535" i="1"/>
  <c r="C535" i="1"/>
  <c r="B535" i="1"/>
  <c r="A535" i="1"/>
  <c r="R534" i="1"/>
  <c r="J534" i="1"/>
  <c r="I534" i="1"/>
  <c r="G534" i="1"/>
  <c r="F534" i="1"/>
  <c r="E534" i="1"/>
  <c r="D534" i="1"/>
  <c r="C534" i="1"/>
  <c r="B534" i="1"/>
  <c r="A534" i="1"/>
  <c r="R533" i="1"/>
  <c r="J533" i="1"/>
  <c r="I533" i="1"/>
  <c r="G533" i="1"/>
  <c r="F533" i="1"/>
  <c r="E533" i="1"/>
  <c r="D533" i="1"/>
  <c r="C533" i="1"/>
  <c r="B533" i="1"/>
  <c r="A533" i="1"/>
  <c r="R532" i="1"/>
  <c r="J532" i="1"/>
  <c r="I532" i="1"/>
  <c r="G532" i="1"/>
  <c r="F532" i="1"/>
  <c r="E532" i="1"/>
  <c r="D532" i="1"/>
  <c r="C532" i="1"/>
  <c r="B532" i="1"/>
  <c r="A532" i="1"/>
  <c r="R531" i="1"/>
  <c r="J531" i="1"/>
  <c r="I531" i="1"/>
  <c r="G531" i="1"/>
  <c r="F531" i="1"/>
  <c r="E531" i="1"/>
  <c r="D531" i="1"/>
  <c r="C531" i="1"/>
  <c r="B531" i="1"/>
  <c r="A531" i="1"/>
  <c r="R530" i="1"/>
  <c r="J530" i="1"/>
  <c r="I530" i="1"/>
  <c r="G530" i="1"/>
  <c r="F530" i="1"/>
  <c r="E530" i="1"/>
  <c r="D530" i="1"/>
  <c r="C530" i="1"/>
  <c r="B530" i="1"/>
  <c r="A530" i="1"/>
  <c r="R529" i="1"/>
  <c r="J529" i="1"/>
  <c r="I529" i="1"/>
  <c r="G529" i="1"/>
  <c r="F529" i="1"/>
  <c r="E529" i="1"/>
  <c r="D529" i="1"/>
  <c r="C529" i="1"/>
  <c r="B529" i="1"/>
  <c r="A529" i="1"/>
  <c r="R528" i="1"/>
  <c r="J528" i="1"/>
  <c r="I528" i="1"/>
  <c r="G528" i="1"/>
  <c r="F528" i="1"/>
  <c r="E528" i="1"/>
  <c r="D528" i="1"/>
  <c r="C528" i="1"/>
  <c r="B528" i="1"/>
  <c r="A528" i="1"/>
  <c r="R527" i="1"/>
  <c r="J527" i="1"/>
  <c r="I527" i="1"/>
  <c r="G527" i="1"/>
  <c r="F527" i="1"/>
  <c r="E527" i="1"/>
  <c r="D527" i="1"/>
  <c r="C527" i="1"/>
  <c r="B527" i="1"/>
  <c r="A527" i="1"/>
  <c r="R526" i="1"/>
  <c r="J526" i="1"/>
  <c r="I526" i="1"/>
  <c r="G526" i="1"/>
  <c r="F526" i="1"/>
  <c r="E526" i="1"/>
  <c r="D526" i="1"/>
  <c r="C526" i="1"/>
  <c r="B526" i="1"/>
  <c r="A526" i="1"/>
  <c r="R525" i="1"/>
  <c r="J525" i="1"/>
  <c r="I525" i="1"/>
  <c r="G525" i="1"/>
  <c r="F525" i="1"/>
  <c r="E525" i="1"/>
  <c r="D525" i="1"/>
  <c r="C525" i="1"/>
  <c r="B525" i="1"/>
  <c r="A525" i="1"/>
  <c r="R524" i="1"/>
  <c r="J524" i="1"/>
  <c r="I524" i="1"/>
  <c r="G524" i="1"/>
  <c r="F524" i="1"/>
  <c r="E524" i="1"/>
  <c r="D524" i="1"/>
  <c r="C524" i="1"/>
  <c r="B524" i="1"/>
  <c r="A524" i="1"/>
  <c r="R523" i="1"/>
  <c r="J523" i="1"/>
  <c r="I523" i="1"/>
  <c r="G523" i="1"/>
  <c r="F523" i="1"/>
  <c r="E523" i="1"/>
  <c r="D523" i="1"/>
  <c r="C523" i="1"/>
  <c r="B523" i="1"/>
  <c r="A523" i="1"/>
  <c r="R522" i="1"/>
  <c r="J522" i="1"/>
  <c r="I522" i="1"/>
  <c r="G522" i="1"/>
  <c r="F522" i="1"/>
  <c r="E522" i="1"/>
  <c r="D522" i="1"/>
  <c r="C522" i="1"/>
  <c r="B522" i="1"/>
  <c r="A522" i="1"/>
  <c r="R521" i="1"/>
  <c r="J521" i="1"/>
  <c r="I521" i="1"/>
  <c r="G521" i="1"/>
  <c r="F521" i="1"/>
  <c r="E521" i="1"/>
  <c r="D521" i="1"/>
  <c r="C521" i="1"/>
  <c r="B521" i="1"/>
  <c r="A521" i="1"/>
  <c r="R520" i="1"/>
  <c r="J520" i="1"/>
  <c r="I520" i="1"/>
  <c r="G520" i="1"/>
  <c r="F520" i="1"/>
  <c r="E520" i="1"/>
  <c r="D520" i="1"/>
  <c r="C520" i="1"/>
  <c r="B520" i="1"/>
  <c r="A520" i="1"/>
  <c r="R519" i="1"/>
  <c r="J519" i="1"/>
  <c r="I519" i="1"/>
  <c r="G519" i="1"/>
  <c r="F519" i="1"/>
  <c r="E519" i="1"/>
  <c r="D519" i="1"/>
  <c r="C519" i="1"/>
  <c r="B519" i="1"/>
  <c r="A519" i="1"/>
  <c r="R518" i="1"/>
  <c r="J518" i="1"/>
  <c r="I518" i="1"/>
  <c r="G518" i="1"/>
  <c r="F518" i="1"/>
  <c r="E518" i="1"/>
  <c r="D518" i="1"/>
  <c r="C518" i="1"/>
  <c r="B518" i="1"/>
  <c r="A518" i="1"/>
  <c r="R517" i="1"/>
  <c r="J517" i="1"/>
  <c r="I517" i="1"/>
  <c r="G517" i="1"/>
  <c r="F517" i="1"/>
  <c r="E517" i="1"/>
  <c r="D517" i="1"/>
  <c r="C517" i="1"/>
  <c r="B517" i="1"/>
  <c r="A517" i="1"/>
  <c r="R516" i="1"/>
  <c r="J516" i="1"/>
  <c r="I516" i="1"/>
  <c r="G516" i="1"/>
  <c r="F516" i="1"/>
  <c r="E516" i="1"/>
  <c r="D516" i="1"/>
  <c r="C516" i="1"/>
  <c r="B516" i="1"/>
  <c r="A516" i="1"/>
  <c r="R515" i="1"/>
  <c r="J515" i="1"/>
  <c r="I515" i="1"/>
  <c r="G515" i="1"/>
  <c r="F515" i="1"/>
  <c r="E515" i="1"/>
  <c r="D515" i="1"/>
  <c r="C515" i="1"/>
  <c r="B515" i="1"/>
  <c r="A515" i="1"/>
  <c r="R514" i="1"/>
  <c r="J514" i="1"/>
  <c r="I514" i="1"/>
  <c r="G514" i="1"/>
  <c r="F514" i="1"/>
  <c r="E514" i="1"/>
  <c r="D514" i="1"/>
  <c r="C514" i="1"/>
  <c r="B514" i="1"/>
  <c r="A514" i="1"/>
  <c r="R513" i="1"/>
  <c r="J513" i="1"/>
  <c r="I513" i="1"/>
  <c r="G513" i="1"/>
  <c r="F513" i="1"/>
  <c r="E513" i="1"/>
  <c r="D513" i="1"/>
  <c r="C513" i="1"/>
  <c r="B513" i="1"/>
  <c r="A513" i="1"/>
  <c r="R512" i="1"/>
  <c r="J512" i="1"/>
  <c r="I512" i="1"/>
  <c r="G512" i="1"/>
  <c r="F512" i="1"/>
  <c r="E512" i="1"/>
  <c r="D512" i="1"/>
  <c r="C512" i="1"/>
  <c r="B512" i="1"/>
  <c r="A512" i="1"/>
  <c r="R511" i="1"/>
  <c r="J511" i="1"/>
  <c r="I511" i="1"/>
  <c r="G511" i="1"/>
  <c r="F511" i="1"/>
  <c r="E511" i="1"/>
  <c r="D511" i="1"/>
  <c r="C511" i="1"/>
  <c r="B511" i="1"/>
  <c r="A511" i="1"/>
  <c r="R510" i="1"/>
  <c r="J510" i="1"/>
  <c r="I510" i="1"/>
  <c r="G510" i="1"/>
  <c r="F510" i="1"/>
  <c r="E510" i="1"/>
  <c r="D510" i="1"/>
  <c r="C510" i="1"/>
  <c r="B510" i="1"/>
  <c r="A510" i="1"/>
  <c r="R509" i="1"/>
  <c r="J509" i="1"/>
  <c r="I509" i="1"/>
  <c r="G509" i="1"/>
  <c r="F509" i="1"/>
  <c r="E509" i="1"/>
  <c r="D509" i="1"/>
  <c r="C509" i="1"/>
  <c r="B509" i="1"/>
  <c r="A509" i="1"/>
  <c r="R508" i="1"/>
  <c r="J508" i="1"/>
  <c r="I508" i="1"/>
  <c r="G508" i="1"/>
  <c r="F508" i="1"/>
  <c r="E508" i="1"/>
  <c r="D508" i="1"/>
  <c r="C508" i="1"/>
  <c r="B508" i="1"/>
  <c r="A508" i="1"/>
  <c r="R507" i="1"/>
  <c r="J507" i="1"/>
  <c r="I507" i="1"/>
  <c r="G507" i="1"/>
  <c r="F507" i="1"/>
  <c r="E507" i="1"/>
  <c r="D507" i="1"/>
  <c r="C507" i="1"/>
  <c r="B507" i="1"/>
  <c r="A507" i="1"/>
  <c r="R506" i="1"/>
  <c r="J506" i="1"/>
  <c r="I506" i="1"/>
  <c r="G506" i="1"/>
  <c r="F506" i="1"/>
  <c r="E506" i="1"/>
  <c r="D506" i="1"/>
  <c r="C506" i="1"/>
  <c r="B506" i="1"/>
  <c r="A506" i="1"/>
  <c r="R505" i="1"/>
  <c r="J505" i="1"/>
  <c r="I505" i="1"/>
  <c r="G505" i="1"/>
  <c r="F505" i="1"/>
  <c r="E505" i="1"/>
  <c r="D505" i="1"/>
  <c r="C505" i="1"/>
  <c r="B505" i="1"/>
  <c r="A505" i="1"/>
  <c r="R504" i="1"/>
  <c r="J504" i="1"/>
  <c r="I504" i="1"/>
  <c r="G504" i="1"/>
  <c r="F504" i="1"/>
  <c r="E504" i="1"/>
  <c r="D504" i="1"/>
  <c r="C504" i="1"/>
  <c r="B504" i="1"/>
  <c r="A504" i="1"/>
  <c r="R503" i="1"/>
  <c r="J503" i="1"/>
  <c r="I503" i="1"/>
  <c r="G503" i="1"/>
  <c r="F503" i="1"/>
  <c r="E503" i="1"/>
  <c r="D503" i="1"/>
  <c r="C503" i="1"/>
  <c r="B503" i="1"/>
  <c r="A503" i="1"/>
  <c r="R502" i="1"/>
  <c r="J502" i="1"/>
  <c r="I502" i="1"/>
  <c r="G502" i="1"/>
  <c r="F502" i="1"/>
  <c r="E502" i="1"/>
  <c r="D502" i="1"/>
  <c r="C502" i="1"/>
  <c r="B502" i="1"/>
  <c r="A502" i="1"/>
  <c r="R501" i="1"/>
  <c r="J501" i="1"/>
  <c r="I501" i="1"/>
  <c r="G501" i="1"/>
  <c r="F501" i="1"/>
  <c r="E501" i="1"/>
  <c r="D501" i="1"/>
  <c r="C501" i="1"/>
  <c r="B501" i="1"/>
  <c r="A501" i="1"/>
  <c r="R500" i="1"/>
  <c r="J500" i="1"/>
  <c r="I500" i="1"/>
  <c r="G500" i="1"/>
  <c r="F500" i="1"/>
  <c r="E500" i="1"/>
  <c r="D500" i="1"/>
  <c r="C500" i="1"/>
  <c r="B500" i="1"/>
  <c r="A500" i="1"/>
  <c r="R499" i="1"/>
  <c r="J499" i="1"/>
  <c r="I499" i="1"/>
  <c r="G499" i="1"/>
  <c r="F499" i="1"/>
  <c r="E499" i="1"/>
  <c r="D499" i="1"/>
  <c r="C499" i="1"/>
  <c r="B499" i="1"/>
  <c r="A499" i="1"/>
  <c r="R498" i="1"/>
  <c r="J498" i="1"/>
  <c r="I498" i="1"/>
  <c r="G498" i="1"/>
  <c r="F498" i="1"/>
  <c r="E498" i="1"/>
  <c r="D498" i="1"/>
  <c r="C498" i="1"/>
  <c r="B498" i="1"/>
  <c r="A498" i="1"/>
  <c r="S497" i="1"/>
  <c r="O497" i="1"/>
  <c r="K497" i="1"/>
  <c r="J497" i="1"/>
  <c r="I497" i="1"/>
  <c r="H497" i="1"/>
  <c r="G497" i="1"/>
  <c r="F497" i="1"/>
  <c r="E497" i="1"/>
  <c r="D497" i="1"/>
  <c r="C497" i="1"/>
  <c r="B497" i="1"/>
  <c r="A497" i="1"/>
  <c r="R496" i="1"/>
  <c r="J496" i="1"/>
  <c r="I496" i="1"/>
  <c r="G496" i="1"/>
  <c r="F496" i="1"/>
  <c r="E496" i="1"/>
  <c r="D496" i="1"/>
  <c r="C496" i="1"/>
  <c r="B496" i="1"/>
  <c r="A496" i="1"/>
  <c r="R495" i="1"/>
  <c r="J495" i="1"/>
  <c r="I495" i="1"/>
  <c r="G495" i="1"/>
  <c r="F495" i="1"/>
  <c r="E495" i="1"/>
  <c r="D495" i="1"/>
  <c r="C495" i="1"/>
  <c r="B495" i="1"/>
  <c r="A495" i="1"/>
  <c r="R494" i="1"/>
  <c r="J494" i="1"/>
  <c r="I494" i="1"/>
  <c r="G494" i="1"/>
  <c r="F494" i="1"/>
  <c r="E494" i="1"/>
  <c r="D494" i="1"/>
  <c r="C494" i="1"/>
  <c r="B494" i="1"/>
  <c r="A494" i="1"/>
  <c r="R493" i="1"/>
  <c r="J493" i="1"/>
  <c r="I493" i="1"/>
  <c r="G493" i="1"/>
  <c r="F493" i="1"/>
  <c r="E493" i="1"/>
  <c r="D493" i="1"/>
  <c r="C493" i="1"/>
  <c r="B493" i="1"/>
  <c r="A493" i="1"/>
  <c r="R492" i="1"/>
  <c r="J492" i="1"/>
  <c r="I492" i="1"/>
  <c r="G492" i="1"/>
  <c r="F492" i="1"/>
  <c r="E492" i="1"/>
  <c r="D492" i="1"/>
  <c r="C492" i="1"/>
  <c r="B492" i="1"/>
  <c r="A492" i="1"/>
  <c r="R491" i="1"/>
  <c r="J491" i="1"/>
  <c r="I491" i="1"/>
  <c r="G491" i="1"/>
  <c r="F491" i="1"/>
  <c r="E491" i="1"/>
  <c r="D491" i="1"/>
  <c r="C491" i="1"/>
  <c r="B491" i="1"/>
  <c r="A491" i="1"/>
  <c r="R490" i="1"/>
  <c r="J490" i="1"/>
  <c r="I490" i="1"/>
  <c r="G490" i="1"/>
  <c r="F490" i="1"/>
  <c r="E490" i="1"/>
  <c r="D490" i="1"/>
  <c r="C490" i="1"/>
  <c r="B490" i="1"/>
  <c r="A490" i="1"/>
  <c r="R489" i="1"/>
  <c r="J489" i="1"/>
  <c r="I489" i="1"/>
  <c r="G489" i="1"/>
  <c r="F489" i="1"/>
  <c r="E489" i="1"/>
  <c r="D489" i="1"/>
  <c r="C489" i="1"/>
  <c r="B489" i="1"/>
  <c r="A489" i="1"/>
  <c r="R488" i="1"/>
  <c r="J488" i="1"/>
  <c r="I488" i="1"/>
  <c r="G488" i="1"/>
  <c r="F488" i="1"/>
  <c r="E488" i="1"/>
  <c r="D488" i="1"/>
  <c r="C488" i="1"/>
  <c r="B488" i="1"/>
  <c r="A488" i="1"/>
  <c r="R487" i="1"/>
  <c r="J487" i="1"/>
  <c r="I487" i="1"/>
  <c r="G487" i="1"/>
  <c r="F487" i="1"/>
  <c r="E487" i="1"/>
  <c r="D487" i="1"/>
  <c r="C487" i="1"/>
  <c r="B487" i="1"/>
  <c r="A487" i="1"/>
  <c r="S486" i="1"/>
  <c r="O486" i="1"/>
  <c r="K486" i="1"/>
  <c r="J486" i="1"/>
  <c r="I486" i="1"/>
  <c r="H486" i="1"/>
  <c r="G486" i="1"/>
  <c r="F486" i="1"/>
  <c r="E486" i="1"/>
  <c r="D486" i="1"/>
  <c r="C486" i="1"/>
  <c r="B486" i="1"/>
  <c r="A486" i="1"/>
  <c r="S485" i="1"/>
  <c r="O485" i="1"/>
  <c r="K485" i="1"/>
  <c r="J485" i="1"/>
  <c r="I485" i="1"/>
  <c r="H485" i="1"/>
  <c r="G485" i="1"/>
  <c r="F485" i="1"/>
  <c r="D485" i="1"/>
  <c r="C485" i="1"/>
  <c r="B485" i="1"/>
  <c r="A485" i="1"/>
  <c r="S484" i="1"/>
  <c r="O484" i="1"/>
  <c r="K484" i="1"/>
  <c r="J484" i="1"/>
  <c r="I484" i="1"/>
  <c r="H484" i="1"/>
  <c r="G484" i="1"/>
  <c r="F484" i="1"/>
  <c r="D484" i="1"/>
  <c r="C484" i="1"/>
  <c r="B484" i="1"/>
  <c r="A484" i="1"/>
  <c r="R483" i="1"/>
  <c r="J483" i="1"/>
  <c r="I483" i="1"/>
  <c r="G483" i="1"/>
  <c r="F483" i="1"/>
  <c r="E483" i="1"/>
  <c r="D483" i="1"/>
  <c r="C483" i="1"/>
  <c r="B483" i="1"/>
  <c r="A483" i="1"/>
  <c r="S482" i="1"/>
  <c r="O482" i="1"/>
  <c r="K482" i="1"/>
  <c r="J482" i="1"/>
  <c r="I482" i="1"/>
  <c r="H482" i="1"/>
  <c r="G482" i="1"/>
  <c r="F482" i="1"/>
  <c r="E482" i="1"/>
  <c r="D482" i="1"/>
  <c r="C482" i="1"/>
  <c r="B482" i="1"/>
  <c r="A482" i="1"/>
  <c r="R481" i="1"/>
  <c r="J481" i="1"/>
  <c r="I481" i="1"/>
  <c r="G481" i="1"/>
  <c r="F481" i="1"/>
  <c r="E481" i="1"/>
  <c r="D481" i="1"/>
  <c r="C481" i="1"/>
  <c r="B481" i="1"/>
  <c r="A481" i="1"/>
  <c r="S480" i="1"/>
  <c r="O480" i="1"/>
  <c r="K480" i="1"/>
  <c r="J480" i="1"/>
  <c r="I480" i="1"/>
  <c r="H480" i="1"/>
  <c r="G480" i="1"/>
  <c r="F480" i="1"/>
  <c r="E480" i="1"/>
  <c r="D480" i="1"/>
  <c r="C480" i="1"/>
  <c r="B480" i="1"/>
  <c r="A480" i="1"/>
  <c r="S479" i="1"/>
  <c r="O479" i="1"/>
  <c r="K479" i="1"/>
  <c r="J479" i="1"/>
  <c r="I479" i="1"/>
  <c r="H479" i="1"/>
  <c r="G479" i="1"/>
  <c r="F479" i="1"/>
  <c r="D479" i="1"/>
  <c r="C479" i="1"/>
  <c r="B479" i="1"/>
  <c r="A479" i="1"/>
  <c r="R478" i="1"/>
  <c r="J478" i="1"/>
  <c r="I478" i="1"/>
  <c r="G478" i="1"/>
  <c r="F478" i="1"/>
  <c r="E478" i="1"/>
  <c r="D478" i="1"/>
  <c r="C478" i="1"/>
  <c r="B478" i="1"/>
  <c r="A478" i="1"/>
  <c r="S477" i="1"/>
  <c r="O477" i="1"/>
  <c r="K477" i="1"/>
  <c r="J477" i="1"/>
  <c r="I477" i="1"/>
  <c r="H477" i="1"/>
  <c r="G477" i="1"/>
  <c r="F477" i="1"/>
  <c r="E477" i="1"/>
  <c r="D477" i="1"/>
  <c r="C477" i="1"/>
  <c r="B477" i="1"/>
  <c r="A477" i="1"/>
  <c r="S476" i="1"/>
  <c r="O476" i="1"/>
  <c r="K476" i="1"/>
  <c r="J476" i="1"/>
  <c r="I476" i="1"/>
  <c r="H476" i="1"/>
  <c r="G476" i="1"/>
  <c r="F476" i="1"/>
  <c r="D476" i="1"/>
  <c r="C476" i="1"/>
  <c r="B476" i="1"/>
  <c r="A476" i="1"/>
  <c r="S475" i="1"/>
  <c r="O475" i="1"/>
  <c r="K475" i="1"/>
  <c r="J475" i="1"/>
  <c r="I475" i="1"/>
  <c r="H475" i="1"/>
  <c r="G475" i="1"/>
  <c r="F475" i="1"/>
  <c r="D475" i="1"/>
  <c r="C475" i="1"/>
  <c r="B475" i="1"/>
  <c r="A475" i="1"/>
  <c r="R474" i="1"/>
  <c r="J474" i="1"/>
  <c r="I474" i="1"/>
  <c r="G474" i="1"/>
  <c r="F474" i="1"/>
  <c r="E474" i="1"/>
  <c r="D474" i="1"/>
  <c r="C474" i="1"/>
  <c r="B474" i="1"/>
  <c r="A474" i="1"/>
  <c r="S473" i="1"/>
  <c r="O473" i="1"/>
  <c r="K473" i="1"/>
  <c r="J473" i="1"/>
  <c r="I473" i="1"/>
  <c r="H473" i="1"/>
  <c r="G473" i="1"/>
  <c r="F473" i="1"/>
  <c r="E473" i="1"/>
  <c r="D473" i="1"/>
  <c r="C473" i="1"/>
  <c r="B473" i="1"/>
  <c r="A473" i="1"/>
  <c r="R472" i="1"/>
  <c r="J472" i="1"/>
  <c r="I472" i="1"/>
  <c r="G472" i="1"/>
  <c r="F472" i="1"/>
  <c r="E472" i="1"/>
  <c r="D472" i="1"/>
  <c r="C472" i="1"/>
  <c r="B472" i="1"/>
  <c r="A472" i="1"/>
  <c r="S471" i="1"/>
  <c r="O471" i="1"/>
  <c r="K471" i="1"/>
  <c r="J471" i="1"/>
  <c r="I471" i="1"/>
  <c r="H471" i="1"/>
  <c r="G471" i="1"/>
  <c r="F471" i="1"/>
  <c r="E471" i="1"/>
  <c r="D471" i="1"/>
  <c r="C471" i="1"/>
  <c r="B471" i="1"/>
  <c r="A471" i="1"/>
  <c r="R470" i="1"/>
  <c r="J470" i="1"/>
  <c r="I470" i="1"/>
  <c r="G470" i="1"/>
  <c r="F470" i="1"/>
  <c r="E470" i="1"/>
  <c r="D470" i="1"/>
  <c r="C470" i="1"/>
  <c r="B470" i="1"/>
  <c r="A470" i="1"/>
  <c r="S469" i="1"/>
  <c r="O469" i="1"/>
  <c r="K469" i="1"/>
  <c r="J469" i="1"/>
  <c r="I469" i="1"/>
  <c r="H469" i="1"/>
  <c r="G469" i="1"/>
  <c r="F469" i="1"/>
  <c r="E469" i="1"/>
  <c r="D469" i="1"/>
  <c r="C469" i="1"/>
  <c r="B469" i="1"/>
  <c r="A469" i="1"/>
  <c r="R468" i="1"/>
  <c r="J468" i="1"/>
  <c r="I468" i="1"/>
  <c r="G468" i="1"/>
  <c r="F468" i="1"/>
  <c r="E468" i="1"/>
  <c r="D468" i="1"/>
  <c r="C468" i="1"/>
  <c r="B468" i="1"/>
  <c r="A468" i="1"/>
  <c r="R467" i="1"/>
  <c r="J467" i="1"/>
  <c r="I467" i="1"/>
  <c r="G467" i="1"/>
  <c r="F467" i="1"/>
  <c r="E467" i="1"/>
  <c r="D467" i="1"/>
  <c r="C467" i="1"/>
  <c r="B467" i="1"/>
  <c r="A467" i="1"/>
  <c r="R466" i="1"/>
  <c r="J466" i="1"/>
  <c r="I466" i="1"/>
  <c r="G466" i="1"/>
  <c r="F466" i="1"/>
  <c r="E466" i="1"/>
  <c r="D466" i="1"/>
  <c r="C466" i="1"/>
  <c r="B466" i="1"/>
  <c r="A466" i="1"/>
  <c r="R465" i="1"/>
  <c r="J465" i="1"/>
  <c r="I465" i="1"/>
  <c r="G465" i="1"/>
  <c r="F465" i="1"/>
  <c r="E465" i="1"/>
  <c r="D465" i="1"/>
  <c r="C465" i="1"/>
  <c r="B465" i="1"/>
  <c r="A465" i="1"/>
  <c r="R464" i="1"/>
  <c r="J464" i="1"/>
  <c r="I464" i="1"/>
  <c r="G464" i="1"/>
  <c r="F464" i="1"/>
  <c r="E464" i="1"/>
  <c r="D464" i="1"/>
  <c r="C464" i="1"/>
  <c r="B464" i="1"/>
  <c r="A464" i="1"/>
  <c r="S463" i="1"/>
  <c r="O463" i="1"/>
  <c r="K463" i="1"/>
  <c r="J463" i="1"/>
  <c r="I463" i="1"/>
  <c r="H463" i="1"/>
  <c r="G463" i="1"/>
  <c r="F463" i="1"/>
  <c r="E463" i="1"/>
  <c r="D463" i="1"/>
  <c r="C463" i="1"/>
  <c r="B463" i="1"/>
  <c r="A463" i="1"/>
  <c r="R462" i="1"/>
  <c r="J462" i="1"/>
  <c r="I462" i="1"/>
  <c r="G462" i="1"/>
  <c r="F462" i="1"/>
  <c r="E462" i="1"/>
  <c r="D462" i="1"/>
  <c r="C462" i="1"/>
  <c r="B462" i="1"/>
  <c r="A462" i="1"/>
  <c r="R461" i="1"/>
  <c r="J461" i="1"/>
  <c r="I461" i="1"/>
  <c r="G461" i="1"/>
  <c r="F461" i="1"/>
  <c r="E461" i="1"/>
  <c r="D461" i="1"/>
  <c r="C461" i="1"/>
  <c r="B461" i="1"/>
  <c r="A461" i="1"/>
  <c r="R460" i="1"/>
  <c r="J460" i="1"/>
  <c r="I460" i="1"/>
  <c r="G460" i="1"/>
  <c r="F460" i="1"/>
  <c r="E460" i="1"/>
  <c r="D460" i="1"/>
  <c r="C460" i="1"/>
  <c r="B460" i="1"/>
  <c r="A460" i="1"/>
  <c r="R459" i="1"/>
  <c r="J459" i="1"/>
  <c r="I459" i="1"/>
  <c r="G459" i="1"/>
  <c r="F459" i="1"/>
  <c r="E459" i="1"/>
  <c r="D459" i="1"/>
  <c r="C459" i="1"/>
  <c r="B459" i="1"/>
  <c r="A459" i="1"/>
  <c r="R458" i="1"/>
  <c r="J458" i="1"/>
  <c r="I458" i="1"/>
  <c r="G458" i="1"/>
  <c r="F458" i="1"/>
  <c r="E458" i="1"/>
  <c r="D458" i="1"/>
  <c r="C458" i="1"/>
  <c r="B458" i="1"/>
  <c r="A458" i="1"/>
  <c r="S457" i="1"/>
  <c r="O457" i="1"/>
  <c r="K457" i="1"/>
  <c r="J457" i="1"/>
  <c r="I457" i="1"/>
  <c r="H457" i="1"/>
  <c r="G457" i="1"/>
  <c r="F457" i="1"/>
  <c r="E457" i="1"/>
  <c r="D457" i="1"/>
  <c r="C457" i="1"/>
  <c r="B457" i="1"/>
  <c r="A457" i="1"/>
  <c r="R456" i="1"/>
  <c r="J456" i="1"/>
  <c r="I456" i="1"/>
  <c r="G456" i="1"/>
  <c r="F456" i="1"/>
  <c r="E456" i="1"/>
  <c r="D456" i="1"/>
  <c r="C456" i="1"/>
  <c r="B456" i="1"/>
  <c r="A456" i="1"/>
  <c r="S455" i="1"/>
  <c r="O455" i="1"/>
  <c r="K455" i="1"/>
  <c r="J455" i="1"/>
  <c r="I455" i="1"/>
  <c r="H455" i="1"/>
  <c r="G455" i="1"/>
  <c r="F455" i="1"/>
  <c r="E455" i="1"/>
  <c r="D455" i="1"/>
  <c r="C455" i="1"/>
  <c r="B455" i="1"/>
  <c r="A455" i="1"/>
  <c r="R454" i="1"/>
  <c r="J454" i="1"/>
  <c r="I454" i="1"/>
  <c r="G454" i="1"/>
  <c r="F454" i="1"/>
  <c r="E454" i="1"/>
  <c r="D454" i="1"/>
  <c r="C454" i="1"/>
  <c r="B454" i="1"/>
  <c r="A454" i="1"/>
  <c r="S453" i="1"/>
  <c r="O453" i="1"/>
  <c r="K453" i="1"/>
  <c r="J453" i="1"/>
  <c r="I453" i="1"/>
  <c r="H453" i="1"/>
  <c r="G453" i="1"/>
  <c r="F453" i="1"/>
  <c r="E453" i="1"/>
  <c r="D453" i="1"/>
  <c r="C453" i="1"/>
  <c r="B453" i="1"/>
  <c r="A453" i="1"/>
  <c r="R452" i="1"/>
  <c r="J452" i="1"/>
  <c r="I452" i="1"/>
  <c r="G452" i="1"/>
  <c r="F452" i="1"/>
  <c r="E452" i="1"/>
  <c r="D452" i="1"/>
  <c r="C452" i="1"/>
  <c r="B452" i="1"/>
  <c r="A452" i="1"/>
  <c r="S451" i="1"/>
  <c r="O451" i="1"/>
  <c r="K451" i="1"/>
  <c r="J451" i="1"/>
  <c r="I451" i="1"/>
  <c r="H451" i="1"/>
  <c r="G451" i="1"/>
  <c r="F451" i="1"/>
  <c r="E451" i="1"/>
  <c r="D451" i="1"/>
  <c r="C451" i="1"/>
  <c r="B451" i="1"/>
  <c r="A451" i="1"/>
  <c r="R450" i="1"/>
  <c r="J450" i="1"/>
  <c r="I450" i="1"/>
  <c r="G450" i="1"/>
  <c r="F450" i="1"/>
  <c r="E450" i="1"/>
  <c r="D450" i="1"/>
  <c r="C450" i="1"/>
  <c r="B450" i="1"/>
  <c r="A450" i="1"/>
  <c r="S449" i="1"/>
  <c r="O449" i="1"/>
  <c r="K449" i="1"/>
  <c r="J449" i="1"/>
  <c r="I449" i="1"/>
  <c r="H449" i="1"/>
  <c r="G449" i="1"/>
  <c r="F449" i="1"/>
  <c r="E449" i="1"/>
  <c r="D449" i="1"/>
  <c r="C449" i="1"/>
  <c r="B449" i="1"/>
  <c r="A449" i="1"/>
  <c r="R448" i="1"/>
  <c r="J448" i="1"/>
  <c r="I448" i="1"/>
  <c r="G448" i="1"/>
  <c r="F448" i="1"/>
  <c r="E448" i="1"/>
  <c r="D448" i="1"/>
  <c r="C448" i="1"/>
  <c r="B448" i="1"/>
  <c r="A448" i="1"/>
  <c r="S447" i="1"/>
  <c r="O447" i="1"/>
  <c r="K447" i="1"/>
  <c r="J447" i="1"/>
  <c r="I447" i="1"/>
  <c r="H447" i="1"/>
  <c r="G447" i="1"/>
  <c r="F447" i="1"/>
  <c r="E447" i="1"/>
  <c r="D447" i="1"/>
  <c r="C447" i="1"/>
  <c r="B447" i="1"/>
  <c r="A447" i="1"/>
  <c r="R446" i="1"/>
  <c r="J446" i="1"/>
  <c r="I446" i="1"/>
  <c r="G446" i="1"/>
  <c r="F446" i="1"/>
  <c r="E446" i="1"/>
  <c r="D446" i="1"/>
  <c r="C446" i="1"/>
  <c r="B446" i="1"/>
  <c r="A446" i="1"/>
  <c r="S445" i="1"/>
  <c r="O445" i="1"/>
  <c r="K445" i="1"/>
  <c r="J445" i="1"/>
  <c r="I445" i="1"/>
  <c r="H445" i="1"/>
  <c r="G445" i="1"/>
  <c r="F445" i="1"/>
  <c r="E445" i="1"/>
  <c r="D445" i="1"/>
  <c r="C445" i="1"/>
  <c r="B445" i="1"/>
  <c r="A445" i="1"/>
  <c r="R444" i="1"/>
  <c r="J444" i="1"/>
  <c r="I444" i="1"/>
  <c r="G444" i="1"/>
  <c r="F444" i="1"/>
  <c r="E444" i="1"/>
  <c r="D444" i="1"/>
  <c r="C444" i="1"/>
  <c r="B444" i="1"/>
  <c r="A444" i="1"/>
  <c r="S443" i="1"/>
  <c r="O443" i="1"/>
  <c r="K443" i="1"/>
  <c r="J443" i="1"/>
  <c r="I443" i="1"/>
  <c r="H443" i="1"/>
  <c r="G443" i="1"/>
  <c r="F443" i="1"/>
  <c r="E443" i="1"/>
  <c r="D443" i="1"/>
  <c r="C443" i="1"/>
  <c r="B443" i="1"/>
  <c r="A443" i="1"/>
  <c r="R442" i="1"/>
  <c r="J442" i="1"/>
  <c r="I442" i="1"/>
  <c r="G442" i="1"/>
  <c r="F442" i="1"/>
  <c r="E442" i="1"/>
  <c r="D442" i="1"/>
  <c r="C442" i="1"/>
  <c r="B442" i="1"/>
  <c r="A442" i="1"/>
  <c r="S441" i="1"/>
  <c r="O441" i="1"/>
  <c r="K441" i="1"/>
  <c r="J441" i="1"/>
  <c r="I441" i="1"/>
  <c r="H441" i="1"/>
  <c r="G441" i="1"/>
  <c r="F441" i="1"/>
  <c r="E441" i="1"/>
  <c r="D441" i="1"/>
  <c r="C441" i="1"/>
  <c r="B441" i="1"/>
  <c r="A441" i="1"/>
  <c r="R440" i="1"/>
  <c r="J440" i="1"/>
  <c r="I440" i="1"/>
  <c r="G440" i="1"/>
  <c r="F440" i="1"/>
  <c r="E440" i="1"/>
  <c r="D440" i="1"/>
  <c r="C440" i="1"/>
  <c r="B440" i="1"/>
  <c r="A440" i="1"/>
  <c r="S439" i="1"/>
  <c r="O439" i="1"/>
  <c r="K439" i="1"/>
  <c r="J439" i="1"/>
  <c r="I439" i="1"/>
  <c r="H439" i="1"/>
  <c r="G439" i="1"/>
  <c r="F439" i="1"/>
  <c r="E439" i="1"/>
  <c r="D439" i="1"/>
  <c r="C439" i="1"/>
  <c r="B439" i="1"/>
  <c r="A439" i="1"/>
  <c r="R438" i="1"/>
  <c r="J438" i="1"/>
  <c r="I438" i="1"/>
  <c r="G438" i="1"/>
  <c r="F438" i="1"/>
  <c r="E438" i="1"/>
  <c r="D438" i="1"/>
  <c r="C438" i="1"/>
  <c r="B438" i="1"/>
  <c r="A438" i="1"/>
  <c r="S437" i="1"/>
  <c r="O437" i="1"/>
  <c r="K437" i="1"/>
  <c r="J437" i="1"/>
  <c r="I437" i="1"/>
  <c r="H437" i="1"/>
  <c r="G437" i="1"/>
  <c r="F437" i="1"/>
  <c r="E437" i="1"/>
  <c r="D437" i="1"/>
  <c r="C437" i="1"/>
  <c r="B437" i="1"/>
  <c r="A437" i="1"/>
  <c r="R436" i="1"/>
  <c r="J436" i="1"/>
  <c r="I436" i="1"/>
  <c r="G436" i="1"/>
  <c r="F436" i="1"/>
  <c r="E436" i="1"/>
  <c r="D436" i="1"/>
  <c r="C436" i="1"/>
  <c r="B436" i="1"/>
  <c r="A436" i="1"/>
  <c r="S435" i="1"/>
  <c r="O435" i="1"/>
  <c r="K435" i="1"/>
  <c r="J435" i="1"/>
  <c r="I435" i="1"/>
  <c r="H435" i="1"/>
  <c r="G435" i="1"/>
  <c r="F435" i="1"/>
  <c r="E435" i="1"/>
  <c r="D435" i="1"/>
  <c r="C435" i="1"/>
  <c r="B435" i="1"/>
  <c r="A435" i="1"/>
  <c r="R434" i="1"/>
  <c r="J434" i="1"/>
  <c r="I434" i="1"/>
  <c r="G434" i="1"/>
  <c r="F434" i="1"/>
  <c r="E434" i="1"/>
  <c r="D434" i="1"/>
  <c r="C434" i="1"/>
  <c r="B434" i="1"/>
  <c r="A434" i="1"/>
  <c r="S433" i="1"/>
  <c r="O433" i="1"/>
  <c r="K433" i="1"/>
  <c r="J433" i="1"/>
  <c r="I433" i="1"/>
  <c r="H433" i="1"/>
  <c r="G433" i="1"/>
  <c r="F433" i="1"/>
  <c r="E433" i="1"/>
  <c r="D433" i="1"/>
  <c r="C433" i="1"/>
  <c r="B433" i="1"/>
  <c r="A433" i="1"/>
  <c r="R432" i="1"/>
  <c r="J432" i="1"/>
  <c r="I432" i="1"/>
  <c r="G432" i="1"/>
  <c r="F432" i="1"/>
  <c r="E432" i="1"/>
  <c r="D432" i="1"/>
  <c r="C432" i="1"/>
  <c r="B432" i="1"/>
  <c r="A432" i="1"/>
  <c r="R431" i="1"/>
  <c r="J431" i="1"/>
  <c r="I431" i="1"/>
  <c r="G431" i="1"/>
  <c r="F431" i="1"/>
  <c r="E431" i="1"/>
  <c r="D431" i="1"/>
  <c r="C431" i="1"/>
  <c r="B431" i="1"/>
  <c r="A431" i="1"/>
  <c r="R430" i="1"/>
  <c r="J430" i="1"/>
  <c r="I430" i="1"/>
  <c r="G430" i="1"/>
  <c r="F430" i="1"/>
  <c r="E430" i="1"/>
  <c r="D430" i="1"/>
  <c r="C430" i="1"/>
  <c r="B430" i="1"/>
  <c r="A430" i="1"/>
  <c r="R429" i="1"/>
  <c r="J429" i="1"/>
  <c r="I429" i="1"/>
  <c r="G429" i="1"/>
  <c r="F429" i="1"/>
  <c r="E429" i="1"/>
  <c r="D429" i="1"/>
  <c r="C429" i="1"/>
  <c r="B429" i="1"/>
  <c r="A429" i="1"/>
  <c r="S428" i="1"/>
  <c r="O428" i="1"/>
  <c r="K428" i="1"/>
  <c r="J428" i="1"/>
  <c r="I428" i="1"/>
  <c r="H428" i="1"/>
  <c r="G428" i="1"/>
  <c r="F428" i="1"/>
  <c r="E428" i="1"/>
  <c r="D428" i="1"/>
  <c r="C428" i="1"/>
  <c r="B428" i="1"/>
  <c r="A428" i="1"/>
  <c r="R427" i="1"/>
  <c r="J427" i="1"/>
  <c r="I427" i="1"/>
  <c r="G427" i="1"/>
  <c r="F427" i="1"/>
  <c r="E427" i="1"/>
  <c r="D427" i="1"/>
  <c r="C427" i="1"/>
  <c r="B427" i="1"/>
  <c r="A427" i="1"/>
  <c r="S426" i="1"/>
  <c r="O426" i="1"/>
  <c r="K426" i="1"/>
  <c r="J426" i="1"/>
  <c r="I426" i="1"/>
  <c r="H426" i="1"/>
  <c r="G426" i="1"/>
  <c r="F426" i="1"/>
  <c r="E426" i="1"/>
  <c r="D426" i="1"/>
  <c r="C426" i="1"/>
  <c r="B426" i="1"/>
  <c r="A426" i="1"/>
  <c r="R425" i="1"/>
  <c r="J425" i="1"/>
  <c r="I425" i="1"/>
  <c r="G425" i="1"/>
  <c r="F425" i="1"/>
  <c r="E425" i="1"/>
  <c r="D425" i="1"/>
  <c r="C425" i="1"/>
  <c r="B425" i="1"/>
  <c r="A425" i="1"/>
  <c r="R424" i="1"/>
  <c r="J424" i="1"/>
  <c r="I424" i="1"/>
  <c r="G424" i="1"/>
  <c r="F424" i="1"/>
  <c r="E424" i="1"/>
  <c r="D424" i="1"/>
  <c r="C424" i="1"/>
  <c r="B424" i="1"/>
  <c r="A424" i="1"/>
  <c r="R423" i="1"/>
  <c r="J423" i="1"/>
  <c r="I423" i="1"/>
  <c r="G423" i="1"/>
  <c r="F423" i="1"/>
  <c r="E423" i="1"/>
  <c r="D423" i="1"/>
  <c r="C423" i="1"/>
  <c r="B423" i="1"/>
  <c r="A423" i="1"/>
  <c r="R422" i="1"/>
  <c r="J422" i="1"/>
  <c r="I422" i="1"/>
  <c r="G422" i="1"/>
  <c r="F422" i="1"/>
  <c r="E422" i="1"/>
  <c r="D422" i="1"/>
  <c r="C422" i="1"/>
  <c r="B422" i="1"/>
  <c r="A422" i="1"/>
  <c r="R421" i="1"/>
  <c r="J421" i="1"/>
  <c r="I421" i="1"/>
  <c r="G421" i="1"/>
  <c r="F421" i="1"/>
  <c r="E421" i="1"/>
  <c r="D421" i="1"/>
  <c r="C421" i="1"/>
  <c r="B421" i="1"/>
  <c r="A421" i="1"/>
  <c r="R420" i="1"/>
  <c r="J420" i="1"/>
  <c r="I420" i="1"/>
  <c r="G420" i="1"/>
  <c r="F420" i="1"/>
  <c r="E420" i="1"/>
  <c r="D420" i="1"/>
  <c r="C420" i="1"/>
  <c r="B420" i="1"/>
  <c r="A420" i="1"/>
  <c r="S419" i="1"/>
  <c r="O419" i="1"/>
  <c r="K419" i="1"/>
  <c r="J419" i="1"/>
  <c r="I419" i="1"/>
  <c r="H419" i="1"/>
  <c r="G419" i="1"/>
  <c r="F419" i="1"/>
  <c r="E419" i="1"/>
  <c r="D419" i="1"/>
  <c r="C419" i="1"/>
  <c r="B419" i="1"/>
  <c r="A419" i="1"/>
  <c r="R418" i="1"/>
  <c r="J418" i="1"/>
  <c r="I418" i="1"/>
  <c r="G418" i="1"/>
  <c r="F418" i="1"/>
  <c r="E418" i="1"/>
  <c r="D418" i="1"/>
  <c r="C418" i="1"/>
  <c r="B418" i="1"/>
  <c r="A418" i="1"/>
  <c r="S417" i="1"/>
  <c r="O417" i="1"/>
  <c r="K417" i="1"/>
  <c r="J417" i="1"/>
  <c r="I417" i="1"/>
  <c r="H417" i="1"/>
  <c r="G417" i="1"/>
  <c r="F417" i="1"/>
  <c r="E417" i="1"/>
  <c r="D417" i="1"/>
  <c r="C417" i="1"/>
  <c r="B417" i="1"/>
  <c r="A417" i="1"/>
  <c r="R416" i="1"/>
  <c r="J416" i="1"/>
  <c r="I416" i="1"/>
  <c r="G416" i="1"/>
  <c r="F416" i="1"/>
  <c r="E416" i="1"/>
  <c r="D416" i="1"/>
  <c r="C416" i="1"/>
  <c r="B416" i="1"/>
  <c r="A416" i="1"/>
  <c r="R415" i="1"/>
  <c r="J415" i="1"/>
  <c r="I415" i="1"/>
  <c r="G415" i="1"/>
  <c r="F415" i="1"/>
  <c r="E415" i="1"/>
  <c r="D415" i="1"/>
  <c r="C415" i="1"/>
  <c r="B415" i="1"/>
  <c r="A415" i="1"/>
  <c r="R414" i="1"/>
  <c r="J414" i="1"/>
  <c r="I414" i="1"/>
  <c r="G414" i="1"/>
  <c r="F414" i="1"/>
  <c r="E414" i="1"/>
  <c r="D414" i="1"/>
  <c r="C414" i="1"/>
  <c r="B414" i="1"/>
  <c r="A414" i="1"/>
  <c r="S413" i="1"/>
  <c r="O413" i="1"/>
  <c r="K413" i="1"/>
  <c r="J413" i="1"/>
  <c r="I413" i="1"/>
  <c r="H413" i="1"/>
  <c r="G413" i="1"/>
  <c r="F413" i="1"/>
  <c r="E413" i="1"/>
  <c r="D413" i="1"/>
  <c r="C413" i="1"/>
  <c r="B413" i="1"/>
  <c r="A413" i="1"/>
  <c r="R412" i="1"/>
  <c r="J412" i="1"/>
  <c r="I412" i="1"/>
  <c r="G412" i="1"/>
  <c r="F412" i="1"/>
  <c r="E412" i="1"/>
  <c r="D412" i="1"/>
  <c r="C412" i="1"/>
  <c r="B412" i="1"/>
  <c r="A412" i="1"/>
  <c r="R411" i="1"/>
  <c r="J411" i="1"/>
  <c r="I411" i="1"/>
  <c r="G411" i="1"/>
  <c r="F411" i="1"/>
  <c r="E411" i="1"/>
  <c r="D411" i="1"/>
  <c r="C411" i="1"/>
  <c r="B411" i="1"/>
  <c r="A411" i="1"/>
  <c r="R410" i="1"/>
  <c r="J410" i="1"/>
  <c r="I410" i="1"/>
  <c r="G410" i="1"/>
  <c r="F410" i="1"/>
  <c r="E410" i="1"/>
  <c r="D410" i="1"/>
  <c r="C410" i="1"/>
  <c r="B410" i="1"/>
  <c r="A410" i="1"/>
  <c r="S409" i="1"/>
  <c r="O409" i="1"/>
  <c r="K409" i="1"/>
  <c r="J409" i="1"/>
  <c r="I409" i="1"/>
  <c r="H409" i="1"/>
  <c r="G409" i="1"/>
  <c r="F409" i="1"/>
  <c r="E409" i="1"/>
  <c r="D409" i="1"/>
  <c r="C409" i="1"/>
  <c r="B409" i="1"/>
  <c r="A409" i="1"/>
  <c r="R408" i="1"/>
  <c r="J408" i="1"/>
  <c r="I408" i="1"/>
  <c r="G408" i="1"/>
  <c r="F408" i="1"/>
  <c r="E408" i="1"/>
  <c r="D408" i="1"/>
  <c r="C408" i="1"/>
  <c r="B408" i="1"/>
  <c r="A408" i="1"/>
  <c r="R407" i="1"/>
  <c r="J407" i="1"/>
  <c r="I407" i="1"/>
  <c r="G407" i="1"/>
  <c r="F407" i="1"/>
  <c r="E407" i="1"/>
  <c r="D407" i="1"/>
  <c r="C407" i="1"/>
  <c r="B407" i="1"/>
  <c r="A407" i="1"/>
  <c r="S406" i="1"/>
  <c r="O406" i="1"/>
  <c r="K406" i="1"/>
  <c r="J406" i="1"/>
  <c r="I406" i="1"/>
  <c r="H406" i="1"/>
  <c r="G406" i="1"/>
  <c r="F406" i="1"/>
  <c r="E406" i="1"/>
  <c r="D406" i="1"/>
  <c r="C406" i="1"/>
  <c r="B406" i="1"/>
  <c r="A406" i="1"/>
  <c r="R405" i="1"/>
  <c r="J405" i="1"/>
  <c r="I405" i="1"/>
  <c r="G405" i="1"/>
  <c r="F405" i="1"/>
  <c r="E405" i="1"/>
  <c r="D405" i="1"/>
  <c r="C405" i="1"/>
  <c r="B405" i="1"/>
  <c r="A405" i="1"/>
  <c r="R404" i="1"/>
  <c r="J404" i="1"/>
  <c r="I404" i="1"/>
  <c r="G404" i="1"/>
  <c r="F404" i="1"/>
  <c r="E404" i="1"/>
  <c r="D404" i="1"/>
  <c r="C404" i="1"/>
  <c r="B404" i="1"/>
  <c r="A404" i="1"/>
  <c r="R403" i="1"/>
  <c r="J403" i="1"/>
  <c r="I403" i="1"/>
  <c r="G403" i="1"/>
  <c r="F403" i="1"/>
  <c r="E403" i="1"/>
  <c r="D403" i="1"/>
  <c r="C403" i="1"/>
  <c r="B403" i="1"/>
  <c r="A403" i="1"/>
  <c r="R402" i="1"/>
  <c r="J402" i="1"/>
  <c r="I402" i="1"/>
  <c r="G402" i="1"/>
  <c r="F402" i="1"/>
  <c r="E402" i="1"/>
  <c r="D402" i="1"/>
  <c r="C402" i="1"/>
  <c r="B402" i="1"/>
  <c r="A402" i="1"/>
  <c r="R401" i="1"/>
  <c r="J401" i="1"/>
  <c r="I401" i="1"/>
  <c r="G401" i="1"/>
  <c r="F401" i="1"/>
  <c r="E401" i="1"/>
  <c r="D401" i="1"/>
  <c r="C401" i="1"/>
  <c r="B401" i="1"/>
  <c r="A401" i="1"/>
  <c r="S400" i="1"/>
  <c r="O400" i="1"/>
  <c r="K400" i="1"/>
  <c r="J400" i="1"/>
  <c r="I400" i="1"/>
  <c r="H400" i="1"/>
  <c r="G400" i="1"/>
  <c r="F400" i="1"/>
  <c r="E400" i="1"/>
  <c r="D400" i="1"/>
  <c r="C400" i="1"/>
  <c r="B400" i="1"/>
  <c r="A400" i="1"/>
  <c r="R399" i="1"/>
  <c r="J399" i="1"/>
  <c r="I399" i="1"/>
  <c r="G399" i="1"/>
  <c r="F399" i="1"/>
  <c r="E399" i="1"/>
  <c r="D399" i="1"/>
  <c r="C399" i="1"/>
  <c r="B399" i="1"/>
  <c r="A399" i="1"/>
  <c r="S398" i="1"/>
  <c r="O398" i="1"/>
  <c r="K398" i="1"/>
  <c r="J398" i="1"/>
  <c r="I398" i="1"/>
  <c r="H398" i="1"/>
  <c r="G398" i="1"/>
  <c r="F398" i="1"/>
  <c r="E398" i="1"/>
  <c r="D398" i="1"/>
  <c r="C398" i="1"/>
  <c r="B398" i="1"/>
  <c r="A398" i="1"/>
  <c r="R397" i="1"/>
  <c r="J397" i="1"/>
  <c r="I397" i="1"/>
  <c r="G397" i="1"/>
  <c r="F397" i="1"/>
  <c r="E397" i="1"/>
  <c r="D397" i="1"/>
  <c r="C397" i="1"/>
  <c r="B397" i="1"/>
  <c r="A397" i="1"/>
  <c r="S396" i="1"/>
  <c r="O396" i="1"/>
  <c r="K396" i="1"/>
  <c r="J396" i="1"/>
  <c r="I396" i="1"/>
  <c r="H396" i="1"/>
  <c r="G396" i="1"/>
  <c r="F396" i="1"/>
  <c r="E396" i="1"/>
  <c r="D396" i="1"/>
  <c r="C396" i="1"/>
  <c r="B396" i="1"/>
  <c r="A396" i="1"/>
  <c r="R395" i="1"/>
  <c r="J395" i="1"/>
  <c r="I395" i="1"/>
  <c r="G395" i="1"/>
  <c r="F395" i="1"/>
  <c r="E395" i="1"/>
  <c r="D395" i="1"/>
  <c r="C395" i="1"/>
  <c r="B395" i="1"/>
  <c r="A395" i="1"/>
  <c r="S394" i="1"/>
  <c r="O394" i="1"/>
  <c r="K394" i="1"/>
  <c r="J394" i="1"/>
  <c r="I394" i="1"/>
  <c r="H394" i="1"/>
  <c r="G394" i="1"/>
  <c r="F394" i="1"/>
  <c r="E394" i="1"/>
  <c r="D394" i="1"/>
  <c r="C394" i="1"/>
  <c r="B394" i="1"/>
  <c r="A394" i="1"/>
  <c r="R393" i="1"/>
  <c r="J393" i="1"/>
  <c r="I393" i="1"/>
  <c r="G393" i="1"/>
  <c r="F393" i="1"/>
  <c r="E393" i="1"/>
  <c r="D393" i="1"/>
  <c r="C393" i="1"/>
  <c r="B393" i="1"/>
  <c r="A393" i="1"/>
  <c r="R392" i="1"/>
  <c r="J392" i="1"/>
  <c r="I392" i="1"/>
  <c r="G392" i="1"/>
  <c r="F392" i="1"/>
  <c r="E392" i="1"/>
  <c r="D392" i="1"/>
  <c r="C392" i="1"/>
  <c r="B392" i="1"/>
  <c r="A392" i="1"/>
  <c r="R391" i="1"/>
  <c r="J391" i="1"/>
  <c r="I391" i="1"/>
  <c r="G391" i="1"/>
  <c r="F391" i="1"/>
  <c r="E391" i="1"/>
  <c r="D391" i="1"/>
  <c r="C391" i="1"/>
  <c r="B391" i="1"/>
  <c r="A391" i="1"/>
  <c r="R390" i="1"/>
  <c r="J390" i="1"/>
  <c r="I390" i="1"/>
  <c r="G390" i="1"/>
  <c r="F390" i="1"/>
  <c r="E390" i="1"/>
  <c r="D390" i="1"/>
  <c r="C390" i="1"/>
  <c r="B390" i="1"/>
  <c r="A390" i="1"/>
  <c r="S389" i="1"/>
  <c r="O389" i="1"/>
  <c r="K389" i="1"/>
  <c r="J389" i="1"/>
  <c r="I389" i="1"/>
  <c r="H389" i="1"/>
  <c r="G389" i="1"/>
  <c r="F389" i="1"/>
  <c r="E389" i="1"/>
  <c r="D389" i="1"/>
  <c r="C389" i="1"/>
  <c r="B389" i="1"/>
  <c r="A389" i="1"/>
  <c r="R388" i="1"/>
  <c r="J388" i="1"/>
  <c r="I388" i="1"/>
  <c r="G388" i="1"/>
  <c r="F388" i="1"/>
  <c r="E388" i="1"/>
  <c r="D388" i="1"/>
  <c r="C388" i="1"/>
  <c r="B388" i="1"/>
  <c r="A388" i="1"/>
  <c r="R387" i="1"/>
  <c r="J387" i="1"/>
  <c r="I387" i="1"/>
  <c r="G387" i="1"/>
  <c r="F387" i="1"/>
  <c r="E387" i="1"/>
  <c r="D387" i="1"/>
  <c r="C387" i="1"/>
  <c r="B387" i="1"/>
  <c r="A387" i="1"/>
  <c r="S386" i="1"/>
  <c r="O386" i="1"/>
  <c r="K386" i="1"/>
  <c r="J386" i="1"/>
  <c r="I386" i="1"/>
  <c r="H386" i="1"/>
  <c r="G386" i="1"/>
  <c r="F386" i="1"/>
  <c r="E386" i="1"/>
  <c r="D386" i="1"/>
  <c r="C386" i="1"/>
  <c r="B386" i="1"/>
  <c r="A386" i="1"/>
  <c r="R385" i="1"/>
  <c r="J385" i="1"/>
  <c r="I385" i="1"/>
  <c r="G385" i="1"/>
  <c r="F385" i="1"/>
  <c r="E385" i="1"/>
  <c r="D385" i="1"/>
  <c r="C385" i="1"/>
  <c r="B385" i="1"/>
  <c r="A385" i="1"/>
  <c r="S384" i="1"/>
  <c r="O384" i="1"/>
  <c r="K384" i="1"/>
  <c r="J384" i="1"/>
  <c r="I384" i="1"/>
  <c r="H384" i="1"/>
  <c r="G384" i="1"/>
  <c r="F384" i="1"/>
  <c r="E384" i="1"/>
  <c r="D384" i="1"/>
  <c r="C384" i="1"/>
  <c r="B384" i="1"/>
  <c r="A384" i="1"/>
  <c r="R383" i="1"/>
  <c r="J383" i="1"/>
  <c r="I383" i="1"/>
  <c r="G383" i="1"/>
  <c r="F383" i="1"/>
  <c r="E383" i="1"/>
  <c r="D383" i="1"/>
  <c r="C383" i="1"/>
  <c r="B383" i="1"/>
  <c r="A383" i="1"/>
  <c r="S382" i="1"/>
  <c r="O382" i="1"/>
  <c r="K382" i="1"/>
  <c r="J382" i="1"/>
  <c r="I382" i="1"/>
  <c r="H382" i="1"/>
  <c r="G382" i="1"/>
  <c r="F382" i="1"/>
  <c r="E382" i="1"/>
  <c r="D382" i="1"/>
  <c r="C382" i="1"/>
  <c r="B382" i="1"/>
  <c r="A382" i="1"/>
  <c r="R381" i="1"/>
  <c r="J381" i="1"/>
  <c r="I381" i="1"/>
  <c r="G381" i="1"/>
  <c r="F381" i="1"/>
  <c r="E381" i="1"/>
  <c r="D381" i="1"/>
  <c r="C381" i="1"/>
  <c r="B381" i="1"/>
  <c r="A381" i="1"/>
  <c r="S380" i="1"/>
  <c r="O380" i="1"/>
  <c r="K380" i="1"/>
  <c r="J380" i="1"/>
  <c r="I380" i="1"/>
  <c r="H380" i="1"/>
  <c r="G380" i="1"/>
  <c r="F380" i="1"/>
  <c r="E380" i="1"/>
  <c r="D380" i="1"/>
  <c r="C380" i="1"/>
  <c r="B380" i="1"/>
  <c r="A380" i="1"/>
  <c r="R379" i="1"/>
  <c r="J379" i="1"/>
  <c r="I379" i="1"/>
  <c r="G379" i="1"/>
  <c r="F379" i="1"/>
  <c r="E379" i="1"/>
  <c r="D379" i="1"/>
  <c r="C379" i="1"/>
  <c r="B379" i="1"/>
  <c r="A379" i="1"/>
  <c r="R378" i="1"/>
  <c r="J378" i="1"/>
  <c r="I378" i="1"/>
  <c r="G378" i="1"/>
  <c r="F378" i="1"/>
  <c r="E378" i="1"/>
  <c r="D378" i="1"/>
  <c r="C378" i="1"/>
  <c r="B378" i="1"/>
  <c r="A378" i="1"/>
  <c r="S377" i="1"/>
  <c r="O377" i="1"/>
  <c r="K377" i="1"/>
  <c r="J377" i="1"/>
  <c r="I377" i="1"/>
  <c r="H377" i="1"/>
  <c r="G377" i="1"/>
  <c r="F377" i="1"/>
  <c r="E377" i="1"/>
  <c r="D377" i="1"/>
  <c r="C377" i="1"/>
  <c r="B377" i="1"/>
  <c r="A377" i="1"/>
  <c r="R376" i="1"/>
  <c r="J376" i="1"/>
  <c r="I376" i="1"/>
  <c r="G376" i="1"/>
  <c r="F376" i="1"/>
  <c r="E376" i="1"/>
  <c r="D376" i="1"/>
  <c r="C376" i="1"/>
  <c r="B376" i="1"/>
  <c r="A376" i="1"/>
  <c r="S375" i="1"/>
  <c r="O375" i="1"/>
  <c r="K375" i="1"/>
  <c r="J375" i="1"/>
  <c r="I375" i="1"/>
  <c r="H375" i="1"/>
  <c r="G375" i="1"/>
  <c r="F375" i="1"/>
  <c r="E375" i="1"/>
  <c r="D375" i="1"/>
  <c r="C375" i="1"/>
  <c r="B375" i="1"/>
  <c r="A375" i="1"/>
  <c r="R374" i="1"/>
  <c r="J374" i="1"/>
  <c r="I374" i="1"/>
  <c r="G374" i="1"/>
  <c r="F374" i="1"/>
  <c r="E374" i="1"/>
  <c r="D374" i="1"/>
  <c r="C374" i="1"/>
  <c r="B374" i="1"/>
  <c r="A374" i="1"/>
  <c r="S373" i="1"/>
  <c r="O373" i="1"/>
  <c r="K373" i="1"/>
  <c r="J373" i="1"/>
  <c r="I373" i="1"/>
  <c r="H373" i="1"/>
  <c r="G373" i="1"/>
  <c r="F373" i="1"/>
  <c r="E373" i="1"/>
  <c r="D373" i="1"/>
  <c r="C373" i="1"/>
  <c r="B373" i="1"/>
  <c r="A373" i="1"/>
  <c r="R372" i="1"/>
  <c r="J372" i="1"/>
  <c r="I372" i="1"/>
  <c r="G372" i="1"/>
  <c r="F372" i="1"/>
  <c r="E372" i="1"/>
  <c r="D372" i="1"/>
  <c r="C372" i="1"/>
  <c r="B372" i="1"/>
  <c r="A372" i="1"/>
  <c r="S371" i="1"/>
  <c r="O371" i="1"/>
  <c r="K371" i="1"/>
  <c r="J371" i="1"/>
  <c r="I371" i="1"/>
  <c r="H371" i="1"/>
  <c r="G371" i="1"/>
  <c r="F371" i="1"/>
  <c r="E371" i="1"/>
  <c r="D371" i="1"/>
  <c r="C371" i="1"/>
  <c r="B371" i="1"/>
  <c r="A371" i="1"/>
  <c r="R370" i="1"/>
  <c r="J370" i="1"/>
  <c r="I370" i="1"/>
  <c r="G370" i="1"/>
  <c r="F370" i="1"/>
  <c r="E370" i="1"/>
  <c r="D370" i="1"/>
  <c r="C370" i="1"/>
  <c r="B370" i="1"/>
  <c r="A370" i="1"/>
  <c r="S369" i="1"/>
  <c r="O369" i="1"/>
  <c r="K369" i="1"/>
  <c r="J369" i="1"/>
  <c r="I369" i="1"/>
  <c r="H369" i="1"/>
  <c r="G369" i="1"/>
  <c r="F369" i="1"/>
  <c r="E369" i="1"/>
  <c r="D369" i="1"/>
  <c r="C369" i="1"/>
  <c r="B369" i="1"/>
  <c r="A369" i="1"/>
  <c r="R368" i="1"/>
  <c r="J368" i="1"/>
  <c r="I368" i="1"/>
  <c r="G368" i="1"/>
  <c r="F368" i="1"/>
  <c r="E368" i="1"/>
  <c r="D368" i="1"/>
  <c r="C368" i="1"/>
  <c r="B368" i="1"/>
  <c r="A368" i="1"/>
  <c r="R367" i="1"/>
  <c r="J367" i="1"/>
  <c r="I367" i="1"/>
  <c r="G367" i="1"/>
  <c r="F367" i="1"/>
  <c r="E367" i="1"/>
  <c r="D367" i="1"/>
  <c r="C367" i="1"/>
  <c r="B367" i="1"/>
  <c r="A367" i="1"/>
  <c r="R366" i="1"/>
  <c r="J366" i="1"/>
  <c r="I366" i="1"/>
  <c r="G366" i="1"/>
  <c r="F366" i="1"/>
  <c r="E366" i="1"/>
  <c r="D366" i="1"/>
  <c r="C366" i="1"/>
  <c r="B366" i="1"/>
  <c r="A366" i="1"/>
  <c r="R365" i="1"/>
  <c r="J365" i="1"/>
  <c r="I365" i="1"/>
  <c r="G365" i="1"/>
  <c r="F365" i="1"/>
  <c r="E365" i="1"/>
  <c r="D365" i="1"/>
  <c r="C365" i="1"/>
  <c r="B365" i="1"/>
  <c r="A365" i="1"/>
  <c r="S364" i="1"/>
  <c r="O364" i="1"/>
  <c r="K364" i="1"/>
  <c r="J364" i="1"/>
  <c r="I364" i="1"/>
  <c r="H364" i="1"/>
  <c r="G364" i="1"/>
  <c r="F364" i="1"/>
  <c r="E364" i="1"/>
  <c r="D364" i="1"/>
  <c r="C364" i="1"/>
  <c r="B364" i="1"/>
  <c r="A364" i="1"/>
  <c r="R363" i="1"/>
  <c r="J363" i="1"/>
  <c r="I363" i="1"/>
  <c r="G363" i="1"/>
  <c r="F363" i="1"/>
  <c r="E363" i="1"/>
  <c r="D363" i="1"/>
  <c r="C363" i="1"/>
  <c r="B363" i="1"/>
  <c r="A363" i="1"/>
  <c r="S362" i="1"/>
  <c r="O362" i="1"/>
  <c r="K362" i="1"/>
  <c r="J362" i="1"/>
  <c r="I362" i="1"/>
  <c r="H362" i="1"/>
  <c r="G362" i="1"/>
  <c r="F362" i="1"/>
  <c r="E362" i="1"/>
  <c r="D362" i="1"/>
  <c r="C362" i="1"/>
  <c r="B362" i="1"/>
  <c r="A362" i="1"/>
  <c r="R361" i="1"/>
  <c r="J361" i="1"/>
  <c r="I361" i="1"/>
  <c r="G361" i="1"/>
  <c r="F361" i="1"/>
  <c r="E361" i="1"/>
  <c r="D361" i="1"/>
  <c r="C361" i="1"/>
  <c r="B361" i="1"/>
  <c r="A361" i="1"/>
  <c r="S360" i="1"/>
  <c r="O360" i="1"/>
  <c r="K360" i="1"/>
  <c r="J360" i="1"/>
  <c r="I360" i="1"/>
  <c r="H360" i="1"/>
  <c r="G360" i="1"/>
  <c r="F360" i="1"/>
  <c r="E360" i="1"/>
  <c r="D360" i="1"/>
  <c r="C360" i="1"/>
  <c r="B360" i="1"/>
  <c r="A360" i="1"/>
  <c r="R359" i="1"/>
  <c r="J359" i="1"/>
  <c r="I359" i="1"/>
  <c r="G359" i="1"/>
  <c r="F359" i="1"/>
  <c r="E359" i="1"/>
  <c r="D359" i="1"/>
  <c r="C359" i="1"/>
  <c r="B359" i="1"/>
  <c r="A359" i="1"/>
  <c r="R358" i="1"/>
  <c r="J358" i="1"/>
  <c r="I358" i="1"/>
  <c r="G358" i="1"/>
  <c r="F358" i="1"/>
  <c r="E358" i="1"/>
  <c r="D358" i="1"/>
  <c r="C358" i="1"/>
  <c r="B358" i="1"/>
  <c r="A358" i="1"/>
  <c r="S357" i="1"/>
  <c r="O357" i="1"/>
  <c r="K357" i="1"/>
  <c r="J357" i="1"/>
  <c r="I357" i="1"/>
  <c r="H357" i="1"/>
  <c r="G357" i="1"/>
  <c r="F357" i="1"/>
  <c r="E357" i="1"/>
  <c r="D357" i="1"/>
  <c r="C357" i="1"/>
  <c r="B357" i="1"/>
  <c r="A357" i="1"/>
  <c r="R356" i="1"/>
  <c r="J356" i="1"/>
  <c r="I356" i="1"/>
  <c r="G356" i="1"/>
  <c r="F356" i="1"/>
  <c r="E356" i="1"/>
  <c r="D356" i="1"/>
  <c r="C356" i="1"/>
  <c r="B356" i="1"/>
  <c r="A356" i="1"/>
  <c r="R355" i="1"/>
  <c r="J355" i="1"/>
  <c r="I355" i="1"/>
  <c r="G355" i="1"/>
  <c r="F355" i="1"/>
  <c r="E355" i="1"/>
  <c r="D355" i="1"/>
  <c r="C355" i="1"/>
  <c r="B355" i="1"/>
  <c r="A355" i="1"/>
  <c r="S354" i="1"/>
  <c r="O354" i="1"/>
  <c r="K354" i="1"/>
  <c r="J354" i="1"/>
  <c r="I354" i="1"/>
  <c r="H354" i="1"/>
  <c r="G354" i="1"/>
  <c r="F354" i="1"/>
  <c r="E354" i="1"/>
  <c r="D354" i="1"/>
  <c r="C354" i="1"/>
  <c r="B354" i="1"/>
  <c r="A354" i="1"/>
  <c r="R353" i="1"/>
  <c r="J353" i="1"/>
  <c r="I353" i="1"/>
  <c r="G353" i="1"/>
  <c r="F353" i="1"/>
  <c r="E353" i="1"/>
  <c r="D353" i="1"/>
  <c r="C353" i="1"/>
  <c r="B353" i="1"/>
  <c r="A353" i="1"/>
  <c r="S352" i="1"/>
  <c r="O352" i="1"/>
  <c r="K352" i="1"/>
  <c r="J352" i="1"/>
  <c r="I352" i="1"/>
  <c r="H352" i="1"/>
  <c r="G352" i="1"/>
  <c r="F352" i="1"/>
  <c r="E352" i="1"/>
  <c r="D352" i="1"/>
  <c r="C352" i="1"/>
  <c r="B352" i="1"/>
  <c r="A352" i="1"/>
  <c r="R351" i="1"/>
  <c r="J351" i="1"/>
  <c r="I351" i="1"/>
  <c r="G351" i="1"/>
  <c r="F351" i="1"/>
  <c r="E351" i="1"/>
  <c r="D351" i="1"/>
  <c r="C351" i="1"/>
  <c r="B351" i="1"/>
  <c r="A351" i="1"/>
  <c r="S350" i="1"/>
  <c r="O350" i="1"/>
  <c r="K350" i="1"/>
  <c r="J350" i="1"/>
  <c r="I350" i="1"/>
  <c r="H350" i="1"/>
  <c r="G350" i="1"/>
  <c r="F350" i="1"/>
  <c r="E350" i="1"/>
  <c r="D350" i="1"/>
  <c r="C350" i="1"/>
  <c r="B350" i="1"/>
  <c r="A350" i="1"/>
  <c r="S349" i="1"/>
  <c r="O349" i="1"/>
  <c r="K349" i="1"/>
  <c r="J349" i="1"/>
  <c r="I349" i="1"/>
  <c r="H349" i="1"/>
  <c r="G349" i="1"/>
  <c r="F349" i="1"/>
  <c r="D349" i="1"/>
  <c r="C349" i="1"/>
  <c r="B349" i="1"/>
  <c r="A349" i="1"/>
  <c r="S348" i="1"/>
  <c r="O348" i="1"/>
  <c r="K348" i="1"/>
  <c r="J348" i="1"/>
  <c r="I348" i="1"/>
  <c r="H348" i="1"/>
  <c r="G348" i="1"/>
  <c r="F348" i="1"/>
  <c r="D348" i="1"/>
  <c r="C348" i="1"/>
  <c r="B348" i="1"/>
  <c r="A348" i="1"/>
  <c r="R347" i="1"/>
  <c r="J347" i="1"/>
  <c r="I347" i="1"/>
  <c r="G347" i="1"/>
  <c r="F347" i="1"/>
  <c r="E347" i="1"/>
  <c r="D347" i="1"/>
  <c r="C347" i="1"/>
  <c r="B347" i="1"/>
  <c r="A347" i="1"/>
  <c r="R346" i="1"/>
  <c r="J346" i="1"/>
  <c r="I346" i="1"/>
  <c r="G346" i="1"/>
  <c r="F346" i="1"/>
  <c r="E346" i="1"/>
  <c r="D346" i="1"/>
  <c r="C346" i="1"/>
  <c r="B346" i="1"/>
  <c r="A346" i="1"/>
  <c r="R345" i="1"/>
  <c r="J345" i="1"/>
  <c r="I345" i="1"/>
  <c r="G345" i="1"/>
  <c r="F345" i="1"/>
  <c r="E345" i="1"/>
  <c r="D345" i="1"/>
  <c r="C345" i="1"/>
  <c r="B345" i="1"/>
  <c r="A345" i="1"/>
  <c r="R344" i="1"/>
  <c r="J344" i="1"/>
  <c r="I344" i="1"/>
  <c r="G344" i="1"/>
  <c r="F344" i="1"/>
  <c r="E344" i="1"/>
  <c r="D344" i="1"/>
  <c r="C344" i="1"/>
  <c r="B344" i="1"/>
  <c r="A344" i="1"/>
  <c r="R343" i="1"/>
  <c r="J343" i="1"/>
  <c r="I343" i="1"/>
  <c r="G343" i="1"/>
  <c r="F343" i="1"/>
  <c r="E343" i="1"/>
  <c r="D343" i="1"/>
  <c r="C343" i="1"/>
  <c r="B343" i="1"/>
  <c r="A343" i="1"/>
  <c r="R342" i="1"/>
  <c r="J342" i="1"/>
  <c r="I342" i="1"/>
  <c r="G342" i="1"/>
  <c r="F342" i="1"/>
  <c r="E342" i="1"/>
  <c r="D342" i="1"/>
  <c r="C342" i="1"/>
  <c r="B342" i="1"/>
  <c r="A342" i="1"/>
  <c r="R341" i="1"/>
  <c r="J341" i="1"/>
  <c r="I341" i="1"/>
  <c r="G341" i="1"/>
  <c r="F341" i="1"/>
  <c r="E341" i="1"/>
  <c r="D341" i="1"/>
  <c r="C341" i="1"/>
  <c r="B341" i="1"/>
  <c r="A341" i="1"/>
  <c r="R340" i="1"/>
  <c r="J340" i="1"/>
  <c r="I340" i="1"/>
  <c r="G340" i="1"/>
  <c r="F340" i="1"/>
  <c r="E340" i="1"/>
  <c r="D340" i="1"/>
  <c r="C340" i="1"/>
  <c r="B340" i="1"/>
  <c r="A340" i="1"/>
  <c r="R339" i="1"/>
  <c r="J339" i="1"/>
  <c r="I339" i="1"/>
  <c r="G339" i="1"/>
  <c r="F339" i="1"/>
  <c r="E339" i="1"/>
  <c r="D339" i="1"/>
  <c r="C339" i="1"/>
  <c r="B339" i="1"/>
  <c r="A339" i="1"/>
  <c r="R338" i="1"/>
  <c r="J338" i="1"/>
  <c r="I338" i="1"/>
  <c r="G338" i="1"/>
  <c r="F338" i="1"/>
  <c r="E338" i="1"/>
  <c r="D338" i="1"/>
  <c r="C338" i="1"/>
  <c r="B338" i="1"/>
  <c r="A338" i="1"/>
  <c r="S337" i="1"/>
  <c r="O337" i="1"/>
  <c r="K337" i="1"/>
  <c r="J337" i="1"/>
  <c r="I337" i="1"/>
  <c r="H337" i="1"/>
  <c r="G337" i="1"/>
  <c r="F337" i="1"/>
  <c r="E337" i="1"/>
  <c r="D337" i="1"/>
  <c r="C337" i="1"/>
  <c r="B337" i="1"/>
  <c r="A337" i="1"/>
  <c r="R336" i="1"/>
  <c r="J336" i="1"/>
  <c r="I336" i="1"/>
  <c r="G336" i="1"/>
  <c r="F336" i="1"/>
  <c r="E336" i="1"/>
  <c r="D336" i="1"/>
  <c r="C336" i="1"/>
  <c r="B336" i="1"/>
  <c r="A336" i="1"/>
  <c r="R335" i="1"/>
  <c r="J335" i="1"/>
  <c r="I335" i="1"/>
  <c r="G335" i="1"/>
  <c r="F335" i="1"/>
  <c r="E335" i="1"/>
  <c r="D335" i="1"/>
  <c r="C335" i="1"/>
  <c r="B335" i="1"/>
  <c r="A335" i="1"/>
  <c r="R334" i="1"/>
  <c r="J334" i="1"/>
  <c r="I334" i="1"/>
  <c r="G334" i="1"/>
  <c r="F334" i="1"/>
  <c r="E334" i="1"/>
  <c r="D334" i="1"/>
  <c r="C334" i="1"/>
  <c r="B334" i="1"/>
  <c r="A334" i="1"/>
  <c r="R333" i="1"/>
  <c r="J333" i="1"/>
  <c r="I333" i="1"/>
  <c r="G333" i="1"/>
  <c r="F333" i="1"/>
  <c r="E333" i="1"/>
  <c r="D333" i="1"/>
  <c r="C333" i="1"/>
  <c r="B333" i="1"/>
  <c r="A333" i="1"/>
  <c r="R332" i="1"/>
  <c r="J332" i="1"/>
  <c r="I332" i="1"/>
  <c r="G332" i="1"/>
  <c r="F332" i="1"/>
  <c r="E332" i="1"/>
  <c r="D332" i="1"/>
  <c r="C332" i="1"/>
  <c r="B332" i="1"/>
  <c r="A332" i="1"/>
  <c r="R331" i="1"/>
  <c r="J331" i="1"/>
  <c r="I331" i="1"/>
  <c r="G331" i="1"/>
  <c r="F331" i="1"/>
  <c r="E331" i="1"/>
  <c r="D331" i="1"/>
  <c r="C331" i="1"/>
  <c r="B331" i="1"/>
  <c r="A331" i="1"/>
  <c r="R330" i="1"/>
  <c r="J330" i="1"/>
  <c r="I330" i="1"/>
  <c r="G330" i="1"/>
  <c r="F330" i="1"/>
  <c r="E330" i="1"/>
  <c r="D330" i="1"/>
  <c r="C330" i="1"/>
  <c r="B330" i="1"/>
  <c r="A330" i="1"/>
  <c r="R329" i="1"/>
  <c r="J329" i="1"/>
  <c r="I329" i="1"/>
  <c r="G329" i="1"/>
  <c r="F329" i="1"/>
  <c r="E329" i="1"/>
  <c r="D329" i="1"/>
  <c r="C329" i="1"/>
  <c r="B329" i="1"/>
  <c r="A329" i="1"/>
  <c r="R328" i="1"/>
  <c r="J328" i="1"/>
  <c r="I328" i="1"/>
  <c r="G328" i="1"/>
  <c r="F328" i="1"/>
  <c r="E328" i="1"/>
  <c r="D328" i="1"/>
  <c r="C328" i="1"/>
  <c r="B328" i="1"/>
  <c r="A328" i="1"/>
  <c r="R327" i="1"/>
  <c r="J327" i="1"/>
  <c r="I327" i="1"/>
  <c r="G327" i="1"/>
  <c r="F327" i="1"/>
  <c r="E327" i="1"/>
  <c r="D327" i="1"/>
  <c r="C327" i="1"/>
  <c r="B327" i="1"/>
  <c r="A327" i="1"/>
  <c r="R326" i="1"/>
  <c r="J326" i="1"/>
  <c r="I326" i="1"/>
  <c r="G326" i="1"/>
  <c r="F326" i="1"/>
  <c r="E326" i="1"/>
  <c r="D326" i="1"/>
  <c r="C326" i="1"/>
  <c r="B326" i="1"/>
  <c r="A326" i="1"/>
  <c r="R325" i="1"/>
  <c r="J325" i="1"/>
  <c r="I325" i="1"/>
  <c r="G325" i="1"/>
  <c r="F325" i="1"/>
  <c r="E325" i="1"/>
  <c r="D325" i="1"/>
  <c r="C325" i="1"/>
  <c r="B325" i="1"/>
  <c r="A325" i="1"/>
  <c r="R324" i="1"/>
  <c r="J324" i="1"/>
  <c r="I324" i="1"/>
  <c r="G324" i="1"/>
  <c r="F324" i="1"/>
  <c r="E324" i="1"/>
  <c r="D324" i="1"/>
  <c r="C324" i="1"/>
  <c r="B324" i="1"/>
  <c r="A324" i="1"/>
  <c r="R323" i="1"/>
  <c r="J323" i="1"/>
  <c r="I323" i="1"/>
  <c r="G323" i="1"/>
  <c r="F323" i="1"/>
  <c r="E323" i="1"/>
  <c r="D323" i="1"/>
  <c r="C323" i="1"/>
  <c r="B323" i="1"/>
  <c r="A323" i="1"/>
  <c r="R322" i="1"/>
  <c r="J322" i="1"/>
  <c r="I322" i="1"/>
  <c r="G322" i="1"/>
  <c r="F322" i="1"/>
  <c r="E322" i="1"/>
  <c r="D322" i="1"/>
  <c r="C322" i="1"/>
  <c r="B322" i="1"/>
  <c r="A322" i="1"/>
  <c r="S321" i="1"/>
  <c r="O321" i="1"/>
  <c r="K321" i="1"/>
  <c r="J321" i="1"/>
  <c r="I321" i="1"/>
  <c r="H321" i="1"/>
  <c r="G321" i="1"/>
  <c r="F321" i="1"/>
  <c r="E321" i="1"/>
  <c r="D321" i="1"/>
  <c r="C321" i="1"/>
  <c r="B321" i="1"/>
  <c r="A321" i="1"/>
  <c r="R320" i="1"/>
  <c r="J320" i="1"/>
  <c r="I320" i="1"/>
  <c r="G320" i="1"/>
  <c r="F320" i="1"/>
  <c r="E320" i="1"/>
  <c r="D320" i="1"/>
  <c r="C320" i="1"/>
  <c r="B320" i="1"/>
  <c r="A320" i="1"/>
  <c r="R319" i="1"/>
  <c r="J319" i="1"/>
  <c r="I319" i="1"/>
  <c r="G319" i="1"/>
  <c r="F319" i="1"/>
  <c r="E319" i="1"/>
  <c r="D319" i="1"/>
  <c r="C319" i="1"/>
  <c r="B319" i="1"/>
  <c r="A319" i="1"/>
  <c r="R318" i="1"/>
  <c r="J318" i="1"/>
  <c r="I318" i="1"/>
  <c r="G318" i="1"/>
  <c r="F318" i="1"/>
  <c r="E318" i="1"/>
  <c r="D318" i="1"/>
  <c r="C318" i="1"/>
  <c r="B318" i="1"/>
  <c r="A318" i="1"/>
  <c r="R317" i="1"/>
  <c r="J317" i="1"/>
  <c r="I317" i="1"/>
  <c r="G317" i="1"/>
  <c r="F317" i="1"/>
  <c r="E317" i="1"/>
  <c r="D317" i="1"/>
  <c r="C317" i="1"/>
  <c r="B317" i="1"/>
  <c r="A317" i="1"/>
  <c r="R316" i="1"/>
  <c r="J316" i="1"/>
  <c r="I316" i="1"/>
  <c r="G316" i="1"/>
  <c r="F316" i="1"/>
  <c r="E316" i="1"/>
  <c r="D316" i="1"/>
  <c r="C316" i="1"/>
  <c r="B316" i="1"/>
  <c r="A316" i="1"/>
  <c r="R315" i="1"/>
  <c r="J315" i="1"/>
  <c r="I315" i="1"/>
  <c r="G315" i="1"/>
  <c r="F315" i="1"/>
  <c r="E315" i="1"/>
  <c r="D315" i="1"/>
  <c r="C315" i="1"/>
  <c r="B315" i="1"/>
  <c r="A315" i="1"/>
  <c r="R314" i="1"/>
  <c r="J314" i="1"/>
  <c r="I314" i="1"/>
  <c r="G314" i="1"/>
  <c r="F314" i="1"/>
  <c r="E314" i="1"/>
  <c r="D314" i="1"/>
  <c r="C314" i="1"/>
  <c r="B314" i="1"/>
  <c r="A314" i="1"/>
  <c r="R313" i="1"/>
  <c r="J313" i="1"/>
  <c r="I313" i="1"/>
  <c r="G313" i="1"/>
  <c r="F313" i="1"/>
  <c r="E313" i="1"/>
  <c r="D313" i="1"/>
  <c r="C313" i="1"/>
  <c r="B313" i="1"/>
  <c r="A313" i="1"/>
  <c r="R312" i="1"/>
  <c r="J312" i="1"/>
  <c r="I312" i="1"/>
  <c r="G312" i="1"/>
  <c r="F312" i="1"/>
  <c r="E312" i="1"/>
  <c r="D312" i="1"/>
  <c r="C312" i="1"/>
  <c r="B312" i="1"/>
  <c r="A312" i="1"/>
  <c r="R311" i="1"/>
  <c r="J311" i="1"/>
  <c r="I311" i="1"/>
  <c r="G311" i="1"/>
  <c r="F311" i="1"/>
  <c r="E311" i="1"/>
  <c r="D311" i="1"/>
  <c r="C311" i="1"/>
  <c r="B311" i="1"/>
  <c r="A311" i="1"/>
  <c r="R310" i="1"/>
  <c r="J310" i="1"/>
  <c r="I310" i="1"/>
  <c r="G310" i="1"/>
  <c r="F310" i="1"/>
  <c r="E310" i="1"/>
  <c r="D310" i="1"/>
  <c r="C310" i="1"/>
  <c r="B310" i="1"/>
  <c r="A310" i="1"/>
  <c r="R309" i="1"/>
  <c r="J309" i="1"/>
  <c r="I309" i="1"/>
  <c r="G309" i="1"/>
  <c r="F309" i="1"/>
  <c r="E309" i="1"/>
  <c r="D309" i="1"/>
  <c r="C309" i="1"/>
  <c r="B309" i="1"/>
  <c r="A309" i="1"/>
  <c r="R308" i="1"/>
  <c r="J308" i="1"/>
  <c r="I308" i="1"/>
  <c r="G308" i="1"/>
  <c r="F308" i="1"/>
  <c r="E308" i="1"/>
  <c r="D308" i="1"/>
  <c r="C308" i="1"/>
  <c r="B308" i="1"/>
  <c r="A308" i="1"/>
  <c r="R307" i="1"/>
  <c r="J307" i="1"/>
  <c r="I307" i="1"/>
  <c r="G307" i="1"/>
  <c r="F307" i="1"/>
  <c r="E307" i="1"/>
  <c r="D307" i="1"/>
  <c r="C307" i="1"/>
  <c r="B307" i="1"/>
  <c r="A307" i="1"/>
  <c r="R306" i="1"/>
  <c r="J306" i="1"/>
  <c r="I306" i="1"/>
  <c r="G306" i="1"/>
  <c r="F306" i="1"/>
  <c r="E306" i="1"/>
  <c r="D306" i="1"/>
  <c r="C306" i="1"/>
  <c r="B306" i="1"/>
  <c r="A306" i="1"/>
  <c r="R305" i="1"/>
  <c r="J305" i="1"/>
  <c r="I305" i="1"/>
  <c r="G305" i="1"/>
  <c r="F305" i="1"/>
  <c r="E305" i="1"/>
  <c r="D305" i="1"/>
  <c r="C305" i="1"/>
  <c r="B305" i="1"/>
  <c r="A305" i="1"/>
  <c r="R304" i="1"/>
  <c r="J304" i="1"/>
  <c r="I304" i="1"/>
  <c r="G304" i="1"/>
  <c r="F304" i="1"/>
  <c r="E304" i="1"/>
  <c r="D304" i="1"/>
  <c r="C304" i="1"/>
  <c r="B304" i="1"/>
  <c r="A304" i="1"/>
  <c r="R303" i="1"/>
  <c r="J303" i="1"/>
  <c r="I303" i="1"/>
  <c r="G303" i="1"/>
  <c r="F303" i="1"/>
  <c r="E303" i="1"/>
  <c r="D303" i="1"/>
  <c r="C303" i="1"/>
  <c r="B303" i="1"/>
  <c r="A303" i="1"/>
  <c r="R302" i="1"/>
  <c r="J302" i="1"/>
  <c r="I302" i="1"/>
  <c r="G302" i="1"/>
  <c r="F302" i="1"/>
  <c r="E302" i="1"/>
  <c r="D302" i="1"/>
  <c r="C302" i="1"/>
  <c r="B302" i="1"/>
  <c r="A302" i="1"/>
  <c r="R301" i="1"/>
  <c r="J301" i="1"/>
  <c r="I301" i="1"/>
  <c r="G301" i="1"/>
  <c r="F301" i="1"/>
  <c r="E301" i="1"/>
  <c r="D301" i="1"/>
  <c r="C301" i="1"/>
  <c r="B301" i="1"/>
  <c r="A301" i="1"/>
  <c r="R300" i="1"/>
  <c r="J300" i="1"/>
  <c r="I300" i="1"/>
  <c r="G300" i="1"/>
  <c r="F300" i="1"/>
  <c r="E300" i="1"/>
  <c r="D300" i="1"/>
  <c r="C300" i="1"/>
  <c r="B300" i="1"/>
  <c r="A300" i="1"/>
  <c r="R299" i="1"/>
  <c r="J299" i="1"/>
  <c r="I299" i="1"/>
  <c r="G299" i="1"/>
  <c r="F299" i="1"/>
  <c r="E299" i="1"/>
  <c r="D299" i="1"/>
  <c r="C299" i="1"/>
  <c r="B299" i="1"/>
  <c r="A299" i="1"/>
  <c r="R298" i="1"/>
  <c r="J298" i="1"/>
  <c r="I298" i="1"/>
  <c r="G298" i="1"/>
  <c r="F298" i="1"/>
  <c r="E298" i="1"/>
  <c r="D298" i="1"/>
  <c r="C298" i="1"/>
  <c r="B298" i="1"/>
  <c r="A298" i="1"/>
  <c r="R297" i="1"/>
  <c r="J297" i="1"/>
  <c r="I297" i="1"/>
  <c r="G297" i="1"/>
  <c r="F297" i="1"/>
  <c r="E297" i="1"/>
  <c r="D297" i="1"/>
  <c r="C297" i="1"/>
  <c r="B297" i="1"/>
  <c r="A297" i="1"/>
  <c r="R296" i="1"/>
  <c r="J296" i="1"/>
  <c r="I296" i="1"/>
  <c r="G296" i="1"/>
  <c r="F296" i="1"/>
  <c r="E296" i="1"/>
  <c r="D296" i="1"/>
  <c r="C296" i="1"/>
  <c r="B296" i="1"/>
  <c r="A296" i="1"/>
  <c r="R295" i="1"/>
  <c r="J295" i="1"/>
  <c r="I295" i="1"/>
  <c r="G295" i="1"/>
  <c r="F295" i="1"/>
  <c r="E295" i="1"/>
  <c r="D295" i="1"/>
  <c r="C295" i="1"/>
  <c r="B295" i="1"/>
  <c r="A295" i="1"/>
  <c r="R294" i="1"/>
  <c r="J294" i="1"/>
  <c r="I294" i="1"/>
  <c r="G294" i="1"/>
  <c r="F294" i="1"/>
  <c r="E294" i="1"/>
  <c r="D294" i="1"/>
  <c r="C294" i="1"/>
  <c r="B294" i="1"/>
  <c r="A294" i="1"/>
  <c r="R293" i="1"/>
  <c r="J293" i="1"/>
  <c r="I293" i="1"/>
  <c r="G293" i="1"/>
  <c r="F293" i="1"/>
  <c r="E293" i="1"/>
  <c r="D293" i="1"/>
  <c r="C293" i="1"/>
  <c r="B293" i="1"/>
  <c r="A293" i="1"/>
  <c r="R292" i="1"/>
  <c r="J292" i="1"/>
  <c r="I292" i="1"/>
  <c r="G292" i="1"/>
  <c r="F292" i="1"/>
  <c r="E292" i="1"/>
  <c r="D292" i="1"/>
  <c r="C292" i="1"/>
  <c r="B292" i="1"/>
  <c r="A292" i="1"/>
  <c r="R291" i="1"/>
  <c r="J291" i="1"/>
  <c r="I291" i="1"/>
  <c r="G291" i="1"/>
  <c r="F291" i="1"/>
  <c r="E291" i="1"/>
  <c r="D291" i="1"/>
  <c r="C291" i="1"/>
  <c r="B291" i="1"/>
  <c r="A291" i="1"/>
  <c r="R290" i="1"/>
  <c r="J290" i="1"/>
  <c r="I290" i="1"/>
  <c r="G290" i="1"/>
  <c r="F290" i="1"/>
  <c r="E290" i="1"/>
  <c r="D290" i="1"/>
  <c r="C290" i="1"/>
  <c r="B290" i="1"/>
  <c r="A290" i="1"/>
  <c r="R289" i="1"/>
  <c r="J289" i="1"/>
  <c r="I289" i="1"/>
  <c r="G289" i="1"/>
  <c r="F289" i="1"/>
  <c r="E289" i="1"/>
  <c r="D289" i="1"/>
  <c r="C289" i="1"/>
  <c r="B289" i="1"/>
  <c r="A289" i="1"/>
  <c r="R288" i="1"/>
  <c r="J288" i="1"/>
  <c r="I288" i="1"/>
  <c r="G288" i="1"/>
  <c r="F288" i="1"/>
  <c r="E288" i="1"/>
  <c r="D288" i="1"/>
  <c r="C288" i="1"/>
  <c r="B288" i="1"/>
  <c r="A288" i="1"/>
  <c r="R287" i="1"/>
  <c r="J287" i="1"/>
  <c r="I287" i="1"/>
  <c r="G287" i="1"/>
  <c r="F287" i="1"/>
  <c r="E287" i="1"/>
  <c r="D287" i="1"/>
  <c r="C287" i="1"/>
  <c r="B287" i="1"/>
  <c r="A287" i="1"/>
  <c r="R286" i="1"/>
  <c r="J286" i="1"/>
  <c r="I286" i="1"/>
  <c r="G286" i="1"/>
  <c r="F286" i="1"/>
  <c r="E286" i="1"/>
  <c r="D286" i="1"/>
  <c r="C286" i="1"/>
  <c r="B286" i="1"/>
  <c r="A286" i="1"/>
  <c r="R285" i="1"/>
  <c r="J285" i="1"/>
  <c r="I285" i="1"/>
  <c r="G285" i="1"/>
  <c r="F285" i="1"/>
  <c r="E285" i="1"/>
  <c r="D285" i="1"/>
  <c r="C285" i="1"/>
  <c r="B285" i="1"/>
  <c r="A285" i="1"/>
  <c r="R284" i="1"/>
  <c r="J284" i="1"/>
  <c r="I284" i="1"/>
  <c r="G284" i="1"/>
  <c r="F284" i="1"/>
  <c r="E284" i="1"/>
  <c r="D284" i="1"/>
  <c r="C284" i="1"/>
  <c r="B284" i="1"/>
  <c r="A284" i="1"/>
  <c r="R283" i="1"/>
  <c r="J283" i="1"/>
  <c r="I283" i="1"/>
  <c r="G283" i="1"/>
  <c r="F283" i="1"/>
  <c r="E283" i="1"/>
  <c r="D283" i="1"/>
  <c r="C283" i="1"/>
  <c r="B283" i="1"/>
  <c r="A283" i="1"/>
  <c r="R282" i="1"/>
  <c r="J282" i="1"/>
  <c r="I282" i="1"/>
  <c r="G282" i="1"/>
  <c r="F282" i="1"/>
  <c r="E282" i="1"/>
  <c r="D282" i="1"/>
  <c r="C282" i="1"/>
  <c r="B282" i="1"/>
  <c r="A282" i="1"/>
  <c r="R281" i="1"/>
  <c r="J281" i="1"/>
  <c r="I281" i="1"/>
  <c r="G281" i="1"/>
  <c r="F281" i="1"/>
  <c r="E281" i="1"/>
  <c r="D281" i="1"/>
  <c r="C281" i="1"/>
  <c r="B281" i="1"/>
  <c r="A281" i="1"/>
  <c r="R280" i="1"/>
  <c r="J280" i="1"/>
  <c r="I280" i="1"/>
  <c r="G280" i="1"/>
  <c r="F280" i="1"/>
  <c r="E280" i="1"/>
  <c r="D280" i="1"/>
  <c r="C280" i="1"/>
  <c r="B280" i="1"/>
  <c r="A280" i="1"/>
  <c r="R279" i="1"/>
  <c r="J279" i="1"/>
  <c r="I279" i="1"/>
  <c r="G279" i="1"/>
  <c r="F279" i="1"/>
  <c r="E279" i="1"/>
  <c r="D279" i="1"/>
  <c r="C279" i="1"/>
  <c r="B279" i="1"/>
  <c r="A279" i="1"/>
  <c r="R278" i="1"/>
  <c r="J278" i="1"/>
  <c r="I278" i="1"/>
  <c r="G278" i="1"/>
  <c r="F278" i="1"/>
  <c r="E278" i="1"/>
  <c r="D278" i="1"/>
  <c r="C278" i="1"/>
  <c r="B278" i="1"/>
  <c r="A278" i="1"/>
  <c r="R277" i="1"/>
  <c r="J277" i="1"/>
  <c r="I277" i="1"/>
  <c r="G277" i="1"/>
  <c r="F277" i="1"/>
  <c r="E277" i="1"/>
  <c r="D277" i="1"/>
  <c r="C277" i="1"/>
  <c r="B277" i="1"/>
  <c r="A277" i="1"/>
  <c r="R276" i="1"/>
  <c r="J276" i="1"/>
  <c r="I276" i="1"/>
  <c r="G276" i="1"/>
  <c r="F276" i="1"/>
  <c r="E276" i="1"/>
  <c r="D276" i="1"/>
  <c r="C276" i="1"/>
  <c r="B276" i="1"/>
  <c r="A276" i="1"/>
  <c r="R275" i="1"/>
  <c r="J275" i="1"/>
  <c r="I275" i="1"/>
  <c r="G275" i="1"/>
  <c r="F275" i="1"/>
  <c r="E275" i="1"/>
  <c r="D275" i="1"/>
  <c r="C275" i="1"/>
  <c r="B275" i="1"/>
  <c r="A275" i="1"/>
  <c r="R274" i="1"/>
  <c r="J274" i="1"/>
  <c r="I274" i="1"/>
  <c r="G274" i="1"/>
  <c r="F274" i="1"/>
  <c r="E274" i="1"/>
  <c r="D274" i="1"/>
  <c r="C274" i="1"/>
  <c r="B274" i="1"/>
  <c r="A274" i="1"/>
  <c r="R273" i="1"/>
  <c r="J273" i="1"/>
  <c r="I273" i="1"/>
  <c r="G273" i="1"/>
  <c r="F273" i="1"/>
  <c r="E273" i="1"/>
  <c r="D273" i="1"/>
  <c r="C273" i="1"/>
  <c r="B273" i="1"/>
  <c r="A273" i="1"/>
  <c r="S272" i="1"/>
  <c r="O272" i="1"/>
  <c r="K272" i="1"/>
  <c r="J272" i="1"/>
  <c r="I272" i="1"/>
  <c r="H272" i="1"/>
  <c r="G272" i="1"/>
  <c r="F272" i="1"/>
  <c r="E272" i="1"/>
  <c r="D272" i="1"/>
  <c r="C272" i="1"/>
  <c r="B272" i="1"/>
  <c r="A272" i="1"/>
  <c r="R271" i="1"/>
  <c r="J271" i="1"/>
  <c r="I271" i="1"/>
  <c r="G271" i="1"/>
  <c r="F271" i="1"/>
  <c r="E271" i="1"/>
  <c r="D271" i="1"/>
  <c r="C271" i="1"/>
  <c r="B271" i="1"/>
  <c r="A271" i="1"/>
  <c r="S270" i="1"/>
  <c r="O270" i="1"/>
  <c r="K270" i="1"/>
  <c r="J270" i="1"/>
  <c r="I270" i="1"/>
  <c r="H270" i="1"/>
  <c r="G270" i="1"/>
  <c r="F270" i="1"/>
  <c r="E270" i="1"/>
  <c r="D270" i="1"/>
  <c r="C270" i="1"/>
  <c r="B270" i="1"/>
  <c r="A270" i="1"/>
  <c r="S269" i="1"/>
  <c r="O269" i="1"/>
  <c r="K269" i="1"/>
  <c r="J269" i="1"/>
  <c r="I269" i="1"/>
  <c r="H269" i="1"/>
  <c r="G269" i="1"/>
  <c r="F269" i="1"/>
  <c r="D269" i="1"/>
  <c r="C269" i="1"/>
  <c r="B269" i="1"/>
  <c r="A269" i="1"/>
  <c r="S268" i="1"/>
  <c r="O268" i="1"/>
  <c r="K268" i="1"/>
  <c r="J268" i="1"/>
  <c r="I268" i="1"/>
  <c r="H268" i="1"/>
  <c r="G268" i="1"/>
  <c r="F268" i="1"/>
  <c r="D268" i="1"/>
  <c r="C268" i="1"/>
  <c r="B268" i="1"/>
  <c r="A268" i="1"/>
  <c r="R267" i="1"/>
  <c r="J267" i="1"/>
  <c r="I267" i="1"/>
  <c r="G267" i="1"/>
  <c r="F267" i="1"/>
  <c r="E267" i="1"/>
  <c r="D267" i="1"/>
  <c r="C267" i="1"/>
  <c r="B267" i="1"/>
  <c r="A267" i="1"/>
  <c r="S266" i="1"/>
  <c r="O266" i="1"/>
  <c r="K266" i="1"/>
  <c r="J266" i="1"/>
  <c r="I266" i="1"/>
  <c r="H266" i="1"/>
  <c r="G266" i="1"/>
  <c r="F266" i="1"/>
  <c r="E266" i="1"/>
  <c r="D266" i="1"/>
  <c r="C266" i="1"/>
  <c r="B266" i="1"/>
  <c r="A266" i="1"/>
  <c r="R265" i="1"/>
  <c r="J265" i="1"/>
  <c r="I265" i="1"/>
  <c r="G265" i="1"/>
  <c r="F265" i="1"/>
  <c r="E265" i="1"/>
  <c r="D265" i="1"/>
  <c r="C265" i="1"/>
  <c r="B265" i="1"/>
  <c r="A265" i="1"/>
  <c r="S264" i="1"/>
  <c r="O264" i="1"/>
  <c r="K264" i="1"/>
  <c r="J264" i="1"/>
  <c r="I264" i="1"/>
  <c r="H264" i="1"/>
  <c r="G264" i="1"/>
  <c r="F264" i="1"/>
  <c r="E264" i="1"/>
  <c r="D264" i="1"/>
  <c r="C264" i="1"/>
  <c r="B264" i="1"/>
  <c r="A264" i="1"/>
  <c r="R263" i="1"/>
  <c r="J263" i="1"/>
  <c r="I263" i="1"/>
  <c r="G263" i="1"/>
  <c r="F263" i="1"/>
  <c r="E263" i="1"/>
  <c r="D263" i="1"/>
  <c r="C263" i="1"/>
  <c r="B263" i="1"/>
  <c r="A263" i="1"/>
  <c r="S262" i="1"/>
  <c r="O262" i="1"/>
  <c r="K262" i="1"/>
  <c r="J262" i="1"/>
  <c r="I262" i="1"/>
  <c r="H262" i="1"/>
  <c r="G262" i="1"/>
  <c r="F262" i="1"/>
  <c r="E262" i="1"/>
  <c r="D262" i="1"/>
  <c r="C262" i="1"/>
  <c r="B262" i="1"/>
  <c r="A262" i="1"/>
  <c r="R261" i="1"/>
  <c r="J261" i="1"/>
  <c r="I261" i="1"/>
  <c r="G261" i="1"/>
  <c r="F261" i="1"/>
  <c r="E261" i="1"/>
  <c r="D261" i="1"/>
  <c r="C261" i="1"/>
  <c r="B261" i="1"/>
  <c r="A261" i="1"/>
  <c r="S260" i="1"/>
  <c r="O260" i="1"/>
  <c r="K260" i="1"/>
  <c r="J260" i="1"/>
  <c r="I260" i="1"/>
  <c r="H260" i="1"/>
  <c r="G260" i="1"/>
  <c r="F260" i="1"/>
  <c r="E260" i="1"/>
  <c r="D260" i="1"/>
  <c r="C260" i="1"/>
  <c r="B260" i="1"/>
  <c r="A260" i="1"/>
  <c r="R259" i="1"/>
  <c r="J259" i="1"/>
  <c r="I259" i="1"/>
  <c r="G259" i="1"/>
  <c r="F259" i="1"/>
  <c r="E259" i="1"/>
  <c r="D259" i="1"/>
  <c r="C259" i="1"/>
  <c r="B259" i="1"/>
  <c r="A259" i="1"/>
  <c r="S258" i="1"/>
  <c r="O258" i="1"/>
  <c r="K258" i="1"/>
  <c r="J258" i="1"/>
  <c r="I258" i="1"/>
  <c r="H258" i="1"/>
  <c r="G258" i="1"/>
  <c r="F258" i="1"/>
  <c r="E258" i="1"/>
  <c r="D258" i="1"/>
  <c r="C258" i="1"/>
  <c r="B258" i="1"/>
  <c r="A258" i="1"/>
  <c r="R257" i="1"/>
  <c r="J257" i="1"/>
  <c r="I257" i="1"/>
  <c r="G257" i="1"/>
  <c r="F257" i="1"/>
  <c r="E257" i="1"/>
  <c r="D257" i="1"/>
  <c r="C257" i="1"/>
  <c r="B257" i="1"/>
  <c r="A257" i="1"/>
  <c r="S256" i="1"/>
  <c r="O256" i="1"/>
  <c r="K256" i="1"/>
  <c r="J256" i="1"/>
  <c r="I256" i="1"/>
  <c r="H256" i="1"/>
  <c r="G256" i="1"/>
  <c r="F256" i="1"/>
  <c r="E256" i="1"/>
  <c r="D256" i="1"/>
  <c r="C256" i="1"/>
  <c r="B256" i="1"/>
  <c r="A256" i="1"/>
  <c r="S255" i="1"/>
  <c r="O255" i="1"/>
  <c r="K255" i="1"/>
  <c r="J255" i="1"/>
  <c r="I255" i="1"/>
  <c r="H255" i="1"/>
  <c r="G255" i="1"/>
  <c r="F255" i="1"/>
  <c r="E255" i="1"/>
  <c r="D255" i="1"/>
  <c r="C255" i="1"/>
  <c r="B255" i="1"/>
  <c r="A255" i="1"/>
  <c r="R254" i="1"/>
  <c r="J254" i="1"/>
  <c r="I254" i="1"/>
  <c r="G254" i="1"/>
  <c r="F254" i="1"/>
  <c r="E254" i="1"/>
  <c r="D254" i="1"/>
  <c r="C254" i="1"/>
  <c r="B254" i="1"/>
  <c r="A254" i="1"/>
  <c r="S253" i="1"/>
  <c r="O253" i="1"/>
  <c r="K253" i="1"/>
  <c r="J253" i="1"/>
  <c r="I253" i="1"/>
  <c r="H253" i="1"/>
  <c r="G253" i="1"/>
  <c r="F253" i="1"/>
  <c r="E253" i="1"/>
  <c r="D253" i="1"/>
  <c r="C253" i="1"/>
  <c r="B253" i="1"/>
  <c r="A253" i="1"/>
  <c r="R252" i="1"/>
  <c r="J252" i="1"/>
  <c r="I252" i="1"/>
  <c r="G252" i="1"/>
  <c r="F252" i="1"/>
  <c r="E252" i="1"/>
  <c r="D252" i="1"/>
  <c r="C252" i="1"/>
  <c r="B252" i="1"/>
  <c r="A252" i="1"/>
  <c r="S251" i="1"/>
  <c r="O251" i="1"/>
  <c r="K251" i="1"/>
  <c r="J251" i="1"/>
  <c r="I251" i="1"/>
  <c r="H251" i="1"/>
  <c r="G251" i="1"/>
  <c r="F251" i="1"/>
  <c r="E251" i="1"/>
  <c r="D251" i="1"/>
  <c r="C251" i="1"/>
  <c r="B251" i="1"/>
  <c r="A251" i="1"/>
  <c r="R250" i="1"/>
  <c r="J250" i="1"/>
  <c r="I250" i="1"/>
  <c r="G250" i="1"/>
  <c r="F250" i="1"/>
  <c r="E250" i="1"/>
  <c r="D250" i="1"/>
  <c r="C250" i="1"/>
  <c r="B250" i="1"/>
  <c r="A250" i="1"/>
  <c r="S249" i="1"/>
  <c r="O249" i="1"/>
  <c r="K249" i="1"/>
  <c r="J249" i="1"/>
  <c r="I249" i="1"/>
  <c r="H249" i="1"/>
  <c r="G249" i="1"/>
  <c r="F249" i="1"/>
  <c r="E249" i="1"/>
  <c r="D249" i="1"/>
  <c r="C249" i="1"/>
  <c r="B249" i="1"/>
  <c r="A249" i="1"/>
  <c r="R248" i="1"/>
  <c r="J248" i="1"/>
  <c r="I248" i="1"/>
  <c r="G248" i="1"/>
  <c r="F248" i="1"/>
  <c r="E248" i="1"/>
  <c r="D248" i="1"/>
  <c r="C248" i="1"/>
  <c r="B248" i="1"/>
  <c r="A248" i="1"/>
  <c r="S247" i="1"/>
  <c r="O247" i="1"/>
  <c r="K247" i="1"/>
  <c r="J247" i="1"/>
  <c r="I247" i="1"/>
  <c r="H247" i="1"/>
  <c r="G247" i="1"/>
  <c r="F247" i="1"/>
  <c r="E247" i="1"/>
  <c r="D247" i="1"/>
  <c r="C247" i="1"/>
  <c r="B247" i="1"/>
  <c r="A247" i="1"/>
  <c r="R246" i="1"/>
  <c r="J246" i="1"/>
  <c r="I246" i="1"/>
  <c r="G246" i="1"/>
  <c r="F246" i="1"/>
  <c r="E246" i="1"/>
  <c r="D246" i="1"/>
  <c r="C246" i="1"/>
  <c r="B246" i="1"/>
  <c r="A246" i="1"/>
  <c r="S245" i="1"/>
  <c r="O245" i="1"/>
  <c r="K245" i="1"/>
  <c r="J245" i="1"/>
  <c r="I245" i="1"/>
  <c r="H245" i="1"/>
  <c r="G245" i="1"/>
  <c r="F245" i="1"/>
  <c r="E245" i="1"/>
  <c r="D245" i="1"/>
  <c r="C245" i="1"/>
  <c r="B245" i="1"/>
  <c r="A245" i="1"/>
  <c r="S244" i="1"/>
  <c r="O244" i="1"/>
  <c r="K244" i="1"/>
  <c r="J244" i="1"/>
  <c r="I244" i="1"/>
  <c r="H244" i="1"/>
  <c r="G244" i="1"/>
  <c r="F244" i="1"/>
  <c r="D244" i="1"/>
  <c r="C244" i="1"/>
  <c r="B244" i="1"/>
  <c r="A244" i="1"/>
  <c r="R243" i="1"/>
  <c r="J243" i="1"/>
  <c r="I243" i="1"/>
  <c r="G243" i="1"/>
  <c r="F243" i="1"/>
  <c r="E243" i="1"/>
  <c r="D243" i="1"/>
  <c r="C243" i="1"/>
  <c r="B243" i="1"/>
  <c r="A243" i="1"/>
  <c r="S242" i="1"/>
  <c r="O242" i="1"/>
  <c r="K242" i="1"/>
  <c r="J242" i="1"/>
  <c r="I242" i="1"/>
  <c r="H242" i="1"/>
  <c r="G242" i="1"/>
  <c r="F242" i="1"/>
  <c r="E242" i="1"/>
  <c r="D242" i="1"/>
  <c r="C242" i="1"/>
  <c r="B242" i="1"/>
  <c r="A242" i="1"/>
  <c r="R241" i="1"/>
  <c r="J241" i="1"/>
  <c r="I241" i="1"/>
  <c r="G241" i="1"/>
  <c r="F241" i="1"/>
  <c r="E241" i="1"/>
  <c r="D241" i="1"/>
  <c r="C241" i="1"/>
  <c r="B241" i="1"/>
  <c r="A241" i="1"/>
  <c r="S240" i="1"/>
  <c r="O240" i="1"/>
  <c r="K240" i="1"/>
  <c r="J240" i="1"/>
  <c r="I240" i="1"/>
  <c r="H240" i="1"/>
  <c r="G240" i="1"/>
  <c r="F240" i="1"/>
  <c r="E240" i="1"/>
  <c r="D240" i="1"/>
  <c r="C240" i="1"/>
  <c r="B240" i="1"/>
  <c r="A240" i="1"/>
  <c r="R239" i="1"/>
  <c r="J239" i="1"/>
  <c r="I239" i="1"/>
  <c r="G239" i="1"/>
  <c r="F239" i="1"/>
  <c r="E239" i="1"/>
  <c r="D239" i="1"/>
  <c r="C239" i="1"/>
  <c r="B239" i="1"/>
  <c r="A239" i="1"/>
  <c r="S238" i="1"/>
  <c r="O238" i="1"/>
  <c r="K238" i="1"/>
  <c r="J238" i="1"/>
  <c r="I238" i="1"/>
  <c r="H238" i="1"/>
  <c r="G238" i="1"/>
  <c r="F238" i="1"/>
  <c r="E238" i="1"/>
  <c r="D238" i="1"/>
  <c r="C238" i="1"/>
  <c r="B238" i="1"/>
  <c r="A238" i="1"/>
  <c r="R237" i="1"/>
  <c r="J237" i="1"/>
  <c r="I237" i="1"/>
  <c r="G237" i="1"/>
  <c r="F237" i="1"/>
  <c r="E237" i="1"/>
  <c r="D237" i="1"/>
  <c r="C237" i="1"/>
  <c r="B237" i="1"/>
  <c r="A237" i="1"/>
  <c r="S236" i="1"/>
  <c r="O236" i="1"/>
  <c r="K236" i="1"/>
  <c r="J236" i="1"/>
  <c r="I236" i="1"/>
  <c r="H236" i="1"/>
  <c r="G236" i="1"/>
  <c r="F236" i="1"/>
  <c r="E236" i="1"/>
  <c r="D236" i="1"/>
  <c r="C236" i="1"/>
  <c r="B236" i="1"/>
  <c r="A236" i="1"/>
  <c r="R235" i="1"/>
  <c r="J235" i="1"/>
  <c r="I235" i="1"/>
  <c r="G235" i="1"/>
  <c r="F235" i="1"/>
  <c r="E235" i="1"/>
  <c r="D235" i="1"/>
  <c r="C235" i="1"/>
  <c r="B235" i="1"/>
  <c r="A235" i="1"/>
  <c r="S234" i="1"/>
  <c r="O234" i="1"/>
  <c r="K234" i="1"/>
  <c r="J234" i="1"/>
  <c r="I234" i="1"/>
  <c r="H234" i="1"/>
  <c r="G234" i="1"/>
  <c r="F234" i="1"/>
  <c r="E234" i="1"/>
  <c r="D234" i="1"/>
  <c r="C234" i="1"/>
  <c r="B234" i="1"/>
  <c r="A234" i="1"/>
  <c r="R233" i="1"/>
  <c r="J233" i="1"/>
  <c r="I233" i="1"/>
  <c r="G233" i="1"/>
  <c r="F233" i="1"/>
  <c r="E233" i="1"/>
  <c r="D233" i="1"/>
  <c r="C233" i="1"/>
  <c r="B233" i="1"/>
  <c r="A233" i="1"/>
  <c r="S232" i="1"/>
  <c r="O232" i="1"/>
  <c r="K232" i="1"/>
  <c r="J232" i="1"/>
  <c r="I232" i="1"/>
  <c r="H232" i="1"/>
  <c r="G232" i="1"/>
  <c r="F232" i="1"/>
  <c r="E232" i="1"/>
  <c r="D232" i="1"/>
  <c r="C232" i="1"/>
  <c r="B232" i="1"/>
  <c r="A232" i="1"/>
  <c r="R231" i="1"/>
  <c r="J231" i="1"/>
  <c r="I231" i="1"/>
  <c r="G231" i="1"/>
  <c r="F231" i="1"/>
  <c r="E231" i="1"/>
  <c r="D231" i="1"/>
  <c r="C231" i="1"/>
  <c r="B231" i="1"/>
  <c r="A231" i="1"/>
  <c r="S230" i="1"/>
  <c r="O230" i="1"/>
  <c r="K230" i="1"/>
  <c r="J230" i="1"/>
  <c r="I230" i="1"/>
  <c r="H230" i="1"/>
  <c r="G230" i="1"/>
  <c r="F230" i="1"/>
  <c r="E230" i="1"/>
  <c r="D230" i="1"/>
  <c r="C230" i="1"/>
  <c r="B230" i="1"/>
  <c r="A230" i="1"/>
  <c r="R229" i="1"/>
  <c r="J229" i="1"/>
  <c r="I229" i="1"/>
  <c r="G229" i="1"/>
  <c r="F229" i="1"/>
  <c r="E229" i="1"/>
  <c r="D229" i="1"/>
  <c r="C229" i="1"/>
  <c r="B229" i="1"/>
  <c r="A229" i="1"/>
  <c r="S228" i="1"/>
  <c r="O228" i="1"/>
  <c r="K228" i="1"/>
  <c r="J228" i="1"/>
  <c r="I228" i="1"/>
  <c r="H228" i="1"/>
  <c r="G228" i="1"/>
  <c r="F228" i="1"/>
  <c r="E228" i="1"/>
  <c r="D228" i="1"/>
  <c r="C228" i="1"/>
  <c r="B228" i="1"/>
  <c r="A228" i="1"/>
  <c r="R227" i="1"/>
  <c r="J227" i="1"/>
  <c r="I227" i="1"/>
  <c r="G227" i="1"/>
  <c r="F227" i="1"/>
  <c r="E227" i="1"/>
  <c r="D227" i="1"/>
  <c r="C227" i="1"/>
  <c r="B227" i="1"/>
  <c r="A227" i="1"/>
  <c r="S226" i="1"/>
  <c r="O226" i="1"/>
  <c r="K226" i="1"/>
  <c r="J226" i="1"/>
  <c r="I226" i="1"/>
  <c r="H226" i="1"/>
  <c r="G226" i="1"/>
  <c r="F226" i="1"/>
  <c r="E226" i="1"/>
  <c r="D226" i="1"/>
  <c r="C226" i="1"/>
  <c r="B226" i="1"/>
  <c r="A226" i="1"/>
  <c r="R225" i="1"/>
  <c r="J225" i="1"/>
  <c r="I225" i="1"/>
  <c r="G225" i="1"/>
  <c r="F225" i="1"/>
  <c r="E225" i="1"/>
  <c r="D225" i="1"/>
  <c r="C225" i="1"/>
  <c r="B225" i="1"/>
  <c r="A225" i="1"/>
  <c r="S224" i="1"/>
  <c r="O224" i="1"/>
  <c r="K224" i="1"/>
  <c r="J224" i="1"/>
  <c r="I224" i="1"/>
  <c r="H224" i="1"/>
  <c r="G224" i="1"/>
  <c r="F224" i="1"/>
  <c r="E224" i="1"/>
  <c r="D224" i="1"/>
  <c r="C224" i="1"/>
  <c r="B224" i="1"/>
  <c r="A224" i="1"/>
  <c r="S223" i="1"/>
  <c r="O223" i="1"/>
  <c r="K223" i="1"/>
  <c r="J223" i="1"/>
  <c r="I223" i="1"/>
  <c r="H223" i="1"/>
  <c r="G223" i="1"/>
  <c r="F223" i="1"/>
  <c r="D223" i="1"/>
  <c r="C223" i="1"/>
  <c r="B223" i="1"/>
  <c r="A223" i="1"/>
  <c r="R222" i="1"/>
  <c r="J222" i="1"/>
  <c r="I222" i="1"/>
  <c r="G222" i="1"/>
  <c r="F222" i="1"/>
  <c r="E222" i="1"/>
  <c r="D222" i="1"/>
  <c r="C222" i="1"/>
  <c r="B222" i="1"/>
  <c r="A222" i="1"/>
  <c r="S221" i="1"/>
  <c r="O221" i="1"/>
  <c r="K221" i="1"/>
  <c r="J221" i="1"/>
  <c r="I221" i="1"/>
  <c r="H221" i="1"/>
  <c r="G221" i="1"/>
  <c r="F221" i="1"/>
  <c r="E221" i="1"/>
  <c r="D221" i="1"/>
  <c r="C221" i="1"/>
  <c r="B221" i="1"/>
  <c r="A221" i="1"/>
  <c r="R220" i="1"/>
  <c r="J220" i="1"/>
  <c r="I220" i="1"/>
  <c r="G220" i="1"/>
  <c r="F220" i="1"/>
  <c r="E220" i="1"/>
  <c r="D220" i="1"/>
  <c r="C220" i="1"/>
  <c r="B220" i="1"/>
  <c r="A220" i="1"/>
  <c r="S219" i="1"/>
  <c r="O219" i="1"/>
  <c r="K219" i="1"/>
  <c r="J219" i="1"/>
  <c r="I219" i="1"/>
  <c r="H219" i="1"/>
  <c r="G219" i="1"/>
  <c r="F219" i="1"/>
  <c r="E219" i="1"/>
  <c r="D219" i="1"/>
  <c r="C219" i="1"/>
  <c r="B219" i="1"/>
  <c r="A219" i="1"/>
  <c r="R218" i="1"/>
  <c r="J218" i="1"/>
  <c r="I218" i="1"/>
  <c r="G218" i="1"/>
  <c r="F218" i="1"/>
  <c r="E218" i="1"/>
  <c r="D218" i="1"/>
  <c r="C218" i="1"/>
  <c r="B218" i="1"/>
  <c r="A218" i="1"/>
  <c r="R217" i="1"/>
  <c r="J217" i="1"/>
  <c r="I217" i="1"/>
  <c r="G217" i="1"/>
  <c r="F217" i="1"/>
  <c r="E217" i="1"/>
  <c r="D217" i="1"/>
  <c r="C217" i="1"/>
  <c r="B217" i="1"/>
  <c r="A217" i="1"/>
  <c r="R216" i="1"/>
  <c r="J216" i="1"/>
  <c r="I216" i="1"/>
  <c r="G216" i="1"/>
  <c r="F216" i="1"/>
  <c r="E216" i="1"/>
  <c r="D216" i="1"/>
  <c r="C216" i="1"/>
  <c r="B216" i="1"/>
  <c r="A216" i="1"/>
  <c r="R215" i="1"/>
  <c r="J215" i="1"/>
  <c r="I215" i="1"/>
  <c r="G215" i="1"/>
  <c r="F215" i="1"/>
  <c r="E215" i="1"/>
  <c r="D215" i="1"/>
  <c r="C215" i="1"/>
  <c r="B215" i="1"/>
  <c r="A215" i="1"/>
  <c r="S214" i="1"/>
  <c r="O214" i="1"/>
  <c r="K214" i="1"/>
  <c r="J214" i="1"/>
  <c r="I214" i="1"/>
  <c r="H214" i="1"/>
  <c r="G214" i="1"/>
  <c r="F214" i="1"/>
  <c r="E214" i="1"/>
  <c r="D214" i="1"/>
  <c r="C214" i="1"/>
  <c r="B214" i="1"/>
  <c r="A214" i="1"/>
  <c r="R213" i="1"/>
  <c r="J213" i="1"/>
  <c r="I213" i="1"/>
  <c r="G213" i="1"/>
  <c r="F213" i="1"/>
  <c r="E213" i="1"/>
  <c r="D213" i="1"/>
  <c r="C213" i="1"/>
  <c r="B213" i="1"/>
  <c r="A213" i="1"/>
  <c r="S212" i="1"/>
  <c r="O212" i="1"/>
  <c r="K212" i="1"/>
  <c r="J212" i="1"/>
  <c r="I212" i="1"/>
  <c r="H212" i="1"/>
  <c r="G212" i="1"/>
  <c r="F212" i="1"/>
  <c r="E212" i="1"/>
  <c r="D212" i="1"/>
  <c r="C212" i="1"/>
  <c r="B212" i="1"/>
  <c r="A212" i="1"/>
  <c r="R211" i="1"/>
  <c r="J211" i="1"/>
  <c r="I211" i="1"/>
  <c r="G211" i="1"/>
  <c r="F211" i="1"/>
  <c r="E211" i="1"/>
  <c r="D211" i="1"/>
  <c r="C211" i="1"/>
  <c r="B211" i="1"/>
  <c r="A211" i="1"/>
  <c r="R210" i="1"/>
  <c r="J210" i="1"/>
  <c r="I210" i="1"/>
  <c r="G210" i="1"/>
  <c r="F210" i="1"/>
  <c r="E210" i="1"/>
  <c r="D210" i="1"/>
  <c r="C210" i="1"/>
  <c r="B210" i="1"/>
  <c r="A210" i="1"/>
  <c r="R209" i="1"/>
  <c r="J209" i="1"/>
  <c r="I209" i="1"/>
  <c r="G209" i="1"/>
  <c r="F209" i="1"/>
  <c r="E209" i="1"/>
  <c r="D209" i="1"/>
  <c r="C209" i="1"/>
  <c r="B209" i="1"/>
  <c r="A209" i="1"/>
  <c r="R208" i="1"/>
  <c r="J208" i="1"/>
  <c r="I208" i="1"/>
  <c r="G208" i="1"/>
  <c r="F208" i="1"/>
  <c r="E208" i="1"/>
  <c r="D208" i="1"/>
  <c r="C208" i="1"/>
  <c r="B208" i="1"/>
  <c r="A208" i="1"/>
  <c r="S207" i="1"/>
  <c r="O207" i="1"/>
  <c r="K207" i="1"/>
  <c r="J207" i="1"/>
  <c r="I207" i="1"/>
  <c r="H207" i="1"/>
  <c r="G207" i="1"/>
  <c r="F207" i="1"/>
  <c r="E207" i="1"/>
  <c r="D207" i="1"/>
  <c r="C207" i="1"/>
  <c r="B207" i="1"/>
  <c r="A207" i="1"/>
  <c r="R206" i="1"/>
  <c r="J206" i="1"/>
  <c r="I206" i="1"/>
  <c r="G206" i="1"/>
  <c r="F206" i="1"/>
  <c r="E206" i="1"/>
  <c r="D206" i="1"/>
  <c r="C206" i="1"/>
  <c r="B206" i="1"/>
  <c r="A206" i="1"/>
  <c r="R205" i="1"/>
  <c r="J205" i="1"/>
  <c r="I205" i="1"/>
  <c r="G205" i="1"/>
  <c r="F205" i="1"/>
  <c r="E205" i="1"/>
  <c r="D205" i="1"/>
  <c r="C205" i="1"/>
  <c r="B205" i="1"/>
  <c r="A205" i="1"/>
  <c r="R204" i="1"/>
  <c r="J204" i="1"/>
  <c r="I204" i="1"/>
  <c r="G204" i="1"/>
  <c r="F204" i="1"/>
  <c r="E204" i="1"/>
  <c r="D204" i="1"/>
  <c r="C204" i="1"/>
  <c r="B204" i="1"/>
  <c r="A204" i="1"/>
  <c r="S203" i="1"/>
  <c r="O203" i="1"/>
  <c r="K203" i="1"/>
  <c r="J203" i="1"/>
  <c r="I203" i="1"/>
  <c r="H203" i="1"/>
  <c r="G203" i="1"/>
  <c r="F203" i="1"/>
  <c r="E203" i="1"/>
  <c r="D203" i="1"/>
  <c r="C203" i="1"/>
  <c r="B203" i="1"/>
  <c r="A203" i="1"/>
  <c r="R202" i="1"/>
  <c r="J202" i="1"/>
  <c r="I202" i="1"/>
  <c r="G202" i="1"/>
  <c r="F202" i="1"/>
  <c r="E202" i="1"/>
  <c r="D202" i="1"/>
  <c r="C202" i="1"/>
  <c r="B202" i="1"/>
  <c r="A202" i="1"/>
  <c r="R201" i="1"/>
  <c r="J201" i="1"/>
  <c r="I201" i="1"/>
  <c r="G201" i="1"/>
  <c r="F201" i="1"/>
  <c r="E201" i="1"/>
  <c r="D201" i="1"/>
  <c r="C201" i="1"/>
  <c r="B201" i="1"/>
  <c r="A201" i="1"/>
  <c r="R200" i="1"/>
  <c r="J200" i="1"/>
  <c r="I200" i="1"/>
  <c r="G200" i="1"/>
  <c r="F200" i="1"/>
  <c r="E200" i="1"/>
  <c r="D200" i="1"/>
  <c r="C200" i="1"/>
  <c r="B200" i="1"/>
  <c r="A200" i="1"/>
  <c r="S199" i="1"/>
  <c r="O199" i="1"/>
  <c r="K199" i="1"/>
  <c r="J199" i="1"/>
  <c r="I199" i="1"/>
  <c r="H199" i="1"/>
  <c r="G199" i="1"/>
  <c r="F199" i="1"/>
  <c r="E199" i="1"/>
  <c r="D199" i="1"/>
  <c r="C199" i="1"/>
  <c r="B199" i="1"/>
  <c r="A199" i="1"/>
  <c r="R198" i="1"/>
  <c r="J198" i="1"/>
  <c r="I198" i="1"/>
  <c r="G198" i="1"/>
  <c r="F198" i="1"/>
  <c r="E198" i="1"/>
  <c r="D198" i="1"/>
  <c r="C198" i="1"/>
  <c r="B198" i="1"/>
  <c r="A198" i="1"/>
  <c r="R197" i="1"/>
  <c r="J197" i="1"/>
  <c r="I197" i="1"/>
  <c r="G197" i="1"/>
  <c r="F197" i="1"/>
  <c r="E197" i="1"/>
  <c r="D197" i="1"/>
  <c r="C197" i="1"/>
  <c r="B197" i="1"/>
  <c r="A197" i="1"/>
  <c r="R196" i="1"/>
  <c r="J196" i="1"/>
  <c r="I196" i="1"/>
  <c r="G196" i="1"/>
  <c r="F196" i="1"/>
  <c r="E196" i="1"/>
  <c r="D196" i="1"/>
  <c r="C196" i="1"/>
  <c r="B196" i="1"/>
  <c r="A196" i="1"/>
  <c r="R195" i="1"/>
  <c r="J195" i="1"/>
  <c r="I195" i="1"/>
  <c r="G195" i="1"/>
  <c r="F195" i="1"/>
  <c r="E195" i="1"/>
  <c r="D195" i="1"/>
  <c r="C195" i="1"/>
  <c r="B195" i="1"/>
  <c r="A195" i="1"/>
  <c r="R194" i="1"/>
  <c r="J194" i="1"/>
  <c r="I194" i="1"/>
  <c r="G194" i="1"/>
  <c r="F194" i="1"/>
  <c r="E194" i="1"/>
  <c r="D194" i="1"/>
  <c r="C194" i="1"/>
  <c r="B194" i="1"/>
  <c r="A194" i="1"/>
  <c r="R193" i="1"/>
  <c r="J193" i="1"/>
  <c r="I193" i="1"/>
  <c r="G193" i="1"/>
  <c r="F193" i="1"/>
  <c r="E193" i="1"/>
  <c r="D193" i="1"/>
  <c r="C193" i="1"/>
  <c r="B193" i="1"/>
  <c r="A193" i="1"/>
  <c r="S192" i="1"/>
  <c r="O192" i="1"/>
  <c r="K192" i="1"/>
  <c r="J192" i="1"/>
  <c r="I192" i="1"/>
  <c r="H192" i="1"/>
  <c r="G192" i="1"/>
  <c r="F192" i="1"/>
  <c r="E192" i="1"/>
  <c r="D192" i="1"/>
  <c r="C192" i="1"/>
  <c r="B192" i="1"/>
  <c r="A192" i="1"/>
  <c r="R191" i="1"/>
  <c r="J191" i="1"/>
  <c r="I191" i="1"/>
  <c r="G191" i="1"/>
  <c r="F191" i="1"/>
  <c r="E191" i="1"/>
  <c r="D191" i="1"/>
  <c r="C191" i="1"/>
  <c r="B191" i="1"/>
  <c r="A191" i="1"/>
  <c r="S190" i="1"/>
  <c r="O190" i="1"/>
  <c r="K190" i="1"/>
  <c r="J190" i="1"/>
  <c r="I190" i="1"/>
  <c r="H190" i="1"/>
  <c r="G190" i="1"/>
  <c r="F190" i="1"/>
  <c r="E190" i="1"/>
  <c r="D190" i="1"/>
  <c r="C190" i="1"/>
  <c r="B190" i="1"/>
  <c r="A190" i="1"/>
  <c r="R189" i="1"/>
  <c r="J189" i="1"/>
  <c r="I189" i="1"/>
  <c r="G189" i="1"/>
  <c r="F189" i="1"/>
  <c r="E189" i="1"/>
  <c r="D189" i="1"/>
  <c r="C189" i="1"/>
  <c r="B189" i="1"/>
  <c r="A189" i="1"/>
  <c r="R188" i="1"/>
  <c r="J188" i="1"/>
  <c r="I188" i="1"/>
  <c r="G188" i="1"/>
  <c r="F188" i="1"/>
  <c r="E188" i="1"/>
  <c r="D188" i="1"/>
  <c r="C188" i="1"/>
  <c r="B188" i="1"/>
  <c r="A188" i="1"/>
  <c r="S187" i="1"/>
  <c r="O187" i="1"/>
  <c r="K187" i="1"/>
  <c r="J187" i="1"/>
  <c r="I187" i="1"/>
  <c r="H187" i="1"/>
  <c r="G187" i="1"/>
  <c r="F187" i="1"/>
  <c r="E187" i="1"/>
  <c r="D187" i="1"/>
  <c r="C187" i="1"/>
  <c r="B187" i="1"/>
  <c r="A187" i="1"/>
  <c r="R186" i="1"/>
  <c r="J186" i="1"/>
  <c r="I186" i="1"/>
  <c r="G186" i="1"/>
  <c r="F186" i="1"/>
  <c r="E186" i="1"/>
  <c r="D186" i="1"/>
  <c r="C186" i="1"/>
  <c r="B186" i="1"/>
  <c r="A186" i="1"/>
  <c r="R185" i="1"/>
  <c r="J185" i="1"/>
  <c r="I185" i="1"/>
  <c r="G185" i="1"/>
  <c r="F185" i="1"/>
  <c r="E185" i="1"/>
  <c r="D185" i="1"/>
  <c r="C185" i="1"/>
  <c r="B185" i="1"/>
  <c r="A185" i="1"/>
  <c r="R184" i="1"/>
  <c r="J184" i="1"/>
  <c r="I184" i="1"/>
  <c r="G184" i="1"/>
  <c r="F184" i="1"/>
  <c r="E184" i="1"/>
  <c r="D184" i="1"/>
  <c r="C184" i="1"/>
  <c r="B184" i="1"/>
  <c r="A184" i="1"/>
  <c r="R183" i="1"/>
  <c r="J183" i="1"/>
  <c r="I183" i="1"/>
  <c r="G183" i="1"/>
  <c r="F183" i="1"/>
  <c r="E183" i="1"/>
  <c r="D183" i="1"/>
  <c r="C183" i="1"/>
  <c r="B183" i="1"/>
  <c r="A183" i="1"/>
  <c r="R182" i="1"/>
  <c r="J182" i="1"/>
  <c r="I182" i="1"/>
  <c r="G182" i="1"/>
  <c r="F182" i="1"/>
  <c r="E182" i="1"/>
  <c r="D182" i="1"/>
  <c r="C182" i="1"/>
  <c r="B182" i="1"/>
  <c r="A182" i="1"/>
  <c r="S181" i="1"/>
  <c r="O181" i="1"/>
  <c r="K181" i="1"/>
  <c r="J181" i="1"/>
  <c r="I181" i="1"/>
  <c r="H181" i="1"/>
  <c r="G181" i="1"/>
  <c r="F181" i="1"/>
  <c r="E181" i="1"/>
  <c r="D181" i="1"/>
  <c r="C181" i="1"/>
  <c r="B181" i="1"/>
  <c r="A181" i="1"/>
  <c r="R180" i="1"/>
  <c r="J180" i="1"/>
  <c r="I180" i="1"/>
  <c r="G180" i="1"/>
  <c r="F180" i="1"/>
  <c r="E180" i="1"/>
  <c r="D180" i="1"/>
  <c r="C180" i="1"/>
  <c r="B180" i="1"/>
  <c r="A180" i="1"/>
  <c r="S179" i="1"/>
  <c r="O179" i="1"/>
  <c r="K179" i="1"/>
  <c r="J179" i="1"/>
  <c r="I179" i="1"/>
  <c r="H179" i="1"/>
  <c r="G179" i="1"/>
  <c r="F179" i="1"/>
  <c r="E179" i="1"/>
  <c r="D179" i="1"/>
  <c r="C179" i="1"/>
  <c r="B179" i="1"/>
  <c r="A179" i="1"/>
  <c r="R178" i="1"/>
  <c r="J178" i="1"/>
  <c r="I178" i="1"/>
  <c r="G178" i="1"/>
  <c r="F178" i="1"/>
  <c r="E178" i="1"/>
  <c r="D178" i="1"/>
  <c r="C178" i="1"/>
  <c r="B178" i="1"/>
  <c r="A178" i="1"/>
  <c r="S177" i="1"/>
  <c r="O177" i="1"/>
  <c r="K177" i="1"/>
  <c r="J177" i="1"/>
  <c r="I177" i="1"/>
  <c r="H177" i="1"/>
  <c r="G177" i="1"/>
  <c r="F177" i="1"/>
  <c r="E177" i="1"/>
  <c r="D177" i="1"/>
  <c r="C177" i="1"/>
  <c r="B177" i="1"/>
  <c r="A177" i="1"/>
  <c r="R176" i="1"/>
  <c r="J176" i="1"/>
  <c r="I176" i="1"/>
  <c r="G176" i="1"/>
  <c r="F176" i="1"/>
  <c r="E176" i="1"/>
  <c r="D176" i="1"/>
  <c r="C176" i="1"/>
  <c r="B176" i="1"/>
  <c r="A176" i="1"/>
  <c r="S175" i="1"/>
  <c r="O175" i="1"/>
  <c r="K175" i="1"/>
  <c r="J175" i="1"/>
  <c r="I175" i="1"/>
  <c r="H175" i="1"/>
  <c r="G175" i="1"/>
  <c r="F175" i="1"/>
  <c r="E175" i="1"/>
  <c r="D175" i="1"/>
  <c r="C175" i="1"/>
  <c r="B175" i="1"/>
  <c r="A175" i="1"/>
  <c r="R174" i="1"/>
  <c r="J174" i="1"/>
  <c r="I174" i="1"/>
  <c r="G174" i="1"/>
  <c r="F174" i="1"/>
  <c r="E174" i="1"/>
  <c r="D174" i="1"/>
  <c r="C174" i="1"/>
  <c r="B174" i="1"/>
  <c r="A174" i="1"/>
  <c r="R173" i="1"/>
  <c r="J173" i="1"/>
  <c r="I173" i="1"/>
  <c r="G173" i="1"/>
  <c r="F173" i="1"/>
  <c r="E173" i="1"/>
  <c r="D173" i="1"/>
  <c r="C173" i="1"/>
  <c r="B173" i="1"/>
  <c r="A173" i="1"/>
  <c r="R172" i="1"/>
  <c r="J172" i="1"/>
  <c r="I172" i="1"/>
  <c r="G172" i="1"/>
  <c r="F172" i="1"/>
  <c r="E172" i="1"/>
  <c r="D172" i="1"/>
  <c r="C172" i="1"/>
  <c r="B172" i="1"/>
  <c r="A172" i="1"/>
  <c r="R171" i="1"/>
  <c r="J171" i="1"/>
  <c r="I171" i="1"/>
  <c r="G171" i="1"/>
  <c r="F171" i="1"/>
  <c r="E171" i="1"/>
  <c r="D171" i="1"/>
  <c r="C171" i="1"/>
  <c r="B171" i="1"/>
  <c r="A171" i="1"/>
  <c r="S170" i="1"/>
  <c r="O170" i="1"/>
  <c r="K170" i="1"/>
  <c r="J170" i="1"/>
  <c r="I170" i="1"/>
  <c r="H170" i="1"/>
  <c r="G170" i="1"/>
  <c r="F170" i="1"/>
  <c r="E170" i="1"/>
  <c r="D170" i="1"/>
  <c r="C170" i="1"/>
  <c r="B170" i="1"/>
  <c r="A170" i="1"/>
  <c r="R169" i="1"/>
  <c r="J169" i="1"/>
  <c r="I169" i="1"/>
  <c r="G169" i="1"/>
  <c r="F169" i="1"/>
  <c r="E169" i="1"/>
  <c r="D169" i="1"/>
  <c r="C169" i="1"/>
  <c r="B169" i="1"/>
  <c r="A169" i="1"/>
  <c r="S168" i="1"/>
  <c r="O168" i="1"/>
  <c r="K168" i="1"/>
  <c r="J168" i="1"/>
  <c r="I168" i="1"/>
  <c r="H168" i="1"/>
  <c r="G168" i="1"/>
  <c r="F168" i="1"/>
  <c r="E168" i="1"/>
  <c r="D168" i="1"/>
  <c r="C168" i="1"/>
  <c r="B168" i="1"/>
  <c r="A168" i="1"/>
  <c r="R167" i="1"/>
  <c r="J167" i="1"/>
  <c r="I167" i="1"/>
  <c r="G167" i="1"/>
  <c r="F167" i="1"/>
  <c r="E167" i="1"/>
  <c r="D167" i="1"/>
  <c r="C167" i="1"/>
  <c r="B167" i="1"/>
  <c r="A167" i="1"/>
  <c r="S166" i="1"/>
  <c r="O166" i="1"/>
  <c r="K166" i="1"/>
  <c r="J166" i="1"/>
  <c r="I166" i="1"/>
  <c r="H166" i="1"/>
  <c r="G166" i="1"/>
  <c r="F166" i="1"/>
  <c r="E166" i="1"/>
  <c r="D166" i="1"/>
  <c r="C166" i="1"/>
  <c r="B166" i="1"/>
  <c r="A166" i="1"/>
  <c r="R165" i="1"/>
  <c r="J165" i="1"/>
  <c r="I165" i="1"/>
  <c r="G165" i="1"/>
  <c r="F165" i="1"/>
  <c r="E165" i="1"/>
  <c r="D165" i="1"/>
  <c r="C165" i="1"/>
  <c r="B165" i="1"/>
  <c r="A165" i="1"/>
  <c r="S164" i="1"/>
  <c r="O164" i="1"/>
  <c r="K164" i="1"/>
  <c r="J164" i="1"/>
  <c r="I164" i="1"/>
  <c r="H164" i="1"/>
  <c r="G164" i="1"/>
  <c r="F164" i="1"/>
  <c r="E164" i="1"/>
  <c r="D164" i="1"/>
  <c r="C164" i="1"/>
  <c r="B164" i="1"/>
  <c r="A164" i="1"/>
  <c r="R163" i="1"/>
  <c r="J163" i="1"/>
  <c r="I163" i="1"/>
  <c r="G163" i="1"/>
  <c r="F163" i="1"/>
  <c r="E163" i="1"/>
  <c r="D163" i="1"/>
  <c r="C163" i="1"/>
  <c r="B163" i="1"/>
  <c r="A163" i="1"/>
  <c r="S162" i="1"/>
  <c r="O162" i="1"/>
  <c r="K162" i="1"/>
  <c r="J162" i="1"/>
  <c r="I162" i="1"/>
  <c r="H162" i="1"/>
  <c r="G162" i="1"/>
  <c r="F162" i="1"/>
  <c r="E162" i="1"/>
  <c r="D162" i="1"/>
  <c r="C162" i="1"/>
  <c r="B162" i="1"/>
  <c r="A162" i="1"/>
  <c r="R161" i="1"/>
  <c r="J161" i="1"/>
  <c r="I161" i="1"/>
  <c r="G161" i="1"/>
  <c r="F161" i="1"/>
  <c r="E161" i="1"/>
  <c r="D161" i="1"/>
  <c r="C161" i="1"/>
  <c r="B161" i="1"/>
  <c r="A161" i="1"/>
  <c r="R160" i="1"/>
  <c r="J160" i="1"/>
  <c r="I160" i="1"/>
  <c r="G160" i="1"/>
  <c r="F160" i="1"/>
  <c r="E160" i="1"/>
  <c r="D160" i="1"/>
  <c r="C160" i="1"/>
  <c r="B160" i="1"/>
  <c r="A160" i="1"/>
  <c r="S159" i="1"/>
  <c r="O159" i="1"/>
  <c r="K159" i="1"/>
  <c r="J159" i="1"/>
  <c r="I159" i="1"/>
  <c r="H159" i="1"/>
  <c r="G159" i="1"/>
  <c r="F159" i="1"/>
  <c r="E159" i="1"/>
  <c r="D159" i="1"/>
  <c r="C159" i="1"/>
  <c r="B159" i="1"/>
  <c r="A159" i="1"/>
  <c r="R158" i="1"/>
  <c r="J158" i="1"/>
  <c r="I158" i="1"/>
  <c r="G158" i="1"/>
  <c r="F158" i="1"/>
  <c r="E158" i="1"/>
  <c r="D158" i="1"/>
  <c r="C158" i="1"/>
  <c r="B158" i="1"/>
  <c r="A158" i="1"/>
  <c r="R157" i="1"/>
  <c r="J157" i="1"/>
  <c r="I157" i="1"/>
  <c r="G157" i="1"/>
  <c r="F157" i="1"/>
  <c r="E157" i="1"/>
  <c r="D157" i="1"/>
  <c r="C157" i="1"/>
  <c r="B157" i="1"/>
  <c r="A157" i="1"/>
  <c r="R156" i="1"/>
  <c r="J156" i="1"/>
  <c r="I156" i="1"/>
  <c r="G156" i="1"/>
  <c r="F156" i="1"/>
  <c r="E156" i="1"/>
  <c r="D156" i="1"/>
  <c r="C156" i="1"/>
  <c r="B156" i="1"/>
  <c r="A156" i="1"/>
  <c r="R155" i="1"/>
  <c r="J155" i="1"/>
  <c r="I155" i="1"/>
  <c r="G155" i="1"/>
  <c r="F155" i="1"/>
  <c r="E155" i="1"/>
  <c r="D155" i="1"/>
  <c r="C155" i="1"/>
  <c r="B155" i="1"/>
  <c r="A155" i="1"/>
  <c r="R154" i="1"/>
  <c r="J154" i="1"/>
  <c r="I154" i="1"/>
  <c r="G154" i="1"/>
  <c r="F154" i="1"/>
  <c r="E154" i="1"/>
  <c r="D154" i="1"/>
  <c r="C154" i="1"/>
  <c r="B154" i="1"/>
  <c r="A154" i="1"/>
  <c r="S153" i="1"/>
  <c r="O153" i="1"/>
  <c r="K153" i="1"/>
  <c r="J153" i="1"/>
  <c r="I153" i="1"/>
  <c r="H153" i="1"/>
  <c r="G153" i="1"/>
  <c r="F153" i="1"/>
  <c r="E153" i="1"/>
  <c r="D153" i="1"/>
  <c r="C153" i="1"/>
  <c r="B153" i="1"/>
  <c r="A153" i="1"/>
  <c r="R152" i="1"/>
  <c r="J152" i="1"/>
  <c r="I152" i="1"/>
  <c r="G152" i="1"/>
  <c r="F152" i="1"/>
  <c r="E152" i="1"/>
  <c r="D152" i="1"/>
  <c r="C152" i="1"/>
  <c r="B152" i="1"/>
  <c r="A152" i="1"/>
  <c r="R151" i="1"/>
  <c r="J151" i="1"/>
  <c r="I151" i="1"/>
  <c r="G151" i="1"/>
  <c r="F151" i="1"/>
  <c r="E151" i="1"/>
  <c r="D151" i="1"/>
  <c r="C151" i="1"/>
  <c r="B151" i="1"/>
  <c r="A151" i="1"/>
  <c r="R150" i="1"/>
  <c r="J150" i="1"/>
  <c r="I150" i="1"/>
  <c r="G150" i="1"/>
  <c r="F150" i="1"/>
  <c r="E150" i="1"/>
  <c r="D150" i="1"/>
  <c r="C150" i="1"/>
  <c r="B150" i="1"/>
  <c r="A150" i="1"/>
  <c r="R149" i="1"/>
  <c r="J149" i="1"/>
  <c r="I149" i="1"/>
  <c r="G149" i="1"/>
  <c r="F149" i="1"/>
  <c r="E149" i="1"/>
  <c r="D149" i="1"/>
  <c r="C149" i="1"/>
  <c r="B149" i="1"/>
  <c r="A149" i="1"/>
  <c r="R148" i="1"/>
  <c r="J148" i="1"/>
  <c r="I148" i="1"/>
  <c r="G148" i="1"/>
  <c r="F148" i="1"/>
  <c r="E148" i="1"/>
  <c r="D148" i="1"/>
  <c r="C148" i="1"/>
  <c r="B148" i="1"/>
  <c r="A148" i="1"/>
  <c r="S147" i="1"/>
  <c r="O147" i="1"/>
  <c r="K147" i="1"/>
  <c r="J147" i="1"/>
  <c r="I147" i="1"/>
  <c r="H147" i="1"/>
  <c r="G147" i="1"/>
  <c r="F147" i="1"/>
  <c r="E147" i="1"/>
  <c r="D147" i="1"/>
  <c r="C147" i="1"/>
  <c r="B147" i="1"/>
  <c r="A147" i="1"/>
  <c r="R146" i="1"/>
  <c r="J146" i="1"/>
  <c r="I146" i="1"/>
  <c r="G146" i="1"/>
  <c r="F146" i="1"/>
  <c r="E146" i="1"/>
  <c r="D146" i="1"/>
  <c r="C146" i="1"/>
  <c r="B146" i="1"/>
  <c r="A146" i="1"/>
  <c r="S145" i="1"/>
  <c r="O145" i="1"/>
  <c r="K145" i="1"/>
  <c r="J145" i="1"/>
  <c r="I145" i="1"/>
  <c r="H145" i="1"/>
  <c r="G145" i="1"/>
  <c r="F145" i="1"/>
  <c r="E145" i="1"/>
  <c r="D145" i="1"/>
  <c r="C145" i="1"/>
  <c r="B145" i="1"/>
  <c r="A145" i="1"/>
  <c r="R144" i="1"/>
  <c r="J144" i="1"/>
  <c r="I144" i="1"/>
  <c r="G144" i="1"/>
  <c r="F144" i="1"/>
  <c r="E144" i="1"/>
  <c r="D144" i="1"/>
  <c r="C144" i="1"/>
  <c r="B144" i="1"/>
  <c r="A144" i="1"/>
  <c r="S143" i="1"/>
  <c r="O143" i="1"/>
  <c r="K143" i="1"/>
  <c r="J143" i="1"/>
  <c r="I143" i="1"/>
  <c r="H143" i="1"/>
  <c r="G143" i="1"/>
  <c r="F143" i="1"/>
  <c r="E143" i="1"/>
  <c r="D143" i="1"/>
  <c r="C143" i="1"/>
  <c r="B143" i="1"/>
  <c r="A143" i="1"/>
  <c r="R142" i="1"/>
  <c r="J142" i="1"/>
  <c r="I142" i="1"/>
  <c r="G142" i="1"/>
  <c r="F142" i="1"/>
  <c r="E142" i="1"/>
  <c r="D142" i="1"/>
  <c r="C142" i="1"/>
  <c r="B142" i="1"/>
  <c r="A142" i="1"/>
  <c r="S141" i="1"/>
  <c r="O141" i="1"/>
  <c r="K141" i="1"/>
  <c r="J141" i="1"/>
  <c r="I141" i="1"/>
  <c r="H141" i="1"/>
  <c r="G141" i="1"/>
  <c r="F141" i="1"/>
  <c r="E141" i="1"/>
  <c r="D141" i="1"/>
  <c r="C141" i="1"/>
  <c r="B141" i="1"/>
  <c r="A141" i="1"/>
  <c r="R140" i="1"/>
  <c r="J140" i="1"/>
  <c r="I140" i="1"/>
  <c r="G140" i="1"/>
  <c r="F140" i="1"/>
  <c r="E140" i="1"/>
  <c r="D140" i="1"/>
  <c r="C140" i="1"/>
  <c r="B140" i="1"/>
  <c r="A140" i="1"/>
  <c r="S139" i="1"/>
  <c r="O139" i="1"/>
  <c r="K139" i="1"/>
  <c r="J139" i="1"/>
  <c r="I139" i="1"/>
  <c r="H139" i="1"/>
  <c r="G139" i="1"/>
  <c r="F139" i="1"/>
  <c r="E139" i="1"/>
  <c r="D139" i="1"/>
  <c r="C139" i="1"/>
  <c r="B139" i="1"/>
  <c r="A139" i="1"/>
  <c r="R138" i="1"/>
  <c r="J138" i="1"/>
  <c r="I138" i="1"/>
  <c r="G138" i="1"/>
  <c r="F138" i="1"/>
  <c r="E138" i="1"/>
  <c r="D138" i="1"/>
  <c r="C138" i="1"/>
  <c r="B138" i="1"/>
  <c r="A138" i="1"/>
  <c r="S137" i="1"/>
  <c r="O137" i="1"/>
  <c r="K137" i="1"/>
  <c r="J137" i="1"/>
  <c r="I137" i="1"/>
  <c r="H137" i="1"/>
  <c r="G137" i="1"/>
  <c r="F137" i="1"/>
  <c r="E137" i="1"/>
  <c r="D137" i="1"/>
  <c r="C137" i="1"/>
  <c r="B137" i="1"/>
  <c r="A137" i="1"/>
  <c r="R136" i="1"/>
  <c r="J136" i="1"/>
  <c r="I136" i="1"/>
  <c r="G136" i="1"/>
  <c r="F136" i="1"/>
  <c r="E136" i="1"/>
  <c r="D136" i="1"/>
  <c r="C136" i="1"/>
  <c r="B136" i="1"/>
  <c r="A136" i="1"/>
  <c r="S135" i="1"/>
  <c r="O135" i="1"/>
  <c r="K135" i="1"/>
  <c r="J135" i="1"/>
  <c r="I135" i="1"/>
  <c r="H135" i="1"/>
  <c r="G135" i="1"/>
  <c r="F135" i="1"/>
  <c r="E135" i="1"/>
  <c r="D135" i="1"/>
  <c r="C135" i="1"/>
  <c r="B135" i="1"/>
  <c r="A135" i="1"/>
  <c r="R134" i="1"/>
  <c r="J134" i="1"/>
  <c r="I134" i="1"/>
  <c r="G134" i="1"/>
  <c r="F134" i="1"/>
  <c r="E134" i="1"/>
  <c r="D134" i="1"/>
  <c r="C134" i="1"/>
  <c r="B134" i="1"/>
  <c r="A134" i="1"/>
  <c r="S133" i="1"/>
  <c r="O133" i="1"/>
  <c r="K133" i="1"/>
  <c r="J133" i="1"/>
  <c r="I133" i="1"/>
  <c r="H133" i="1"/>
  <c r="G133" i="1"/>
  <c r="F133" i="1"/>
  <c r="E133" i="1"/>
  <c r="D133" i="1"/>
  <c r="C133" i="1"/>
  <c r="B133" i="1"/>
  <c r="A133" i="1"/>
  <c r="R132" i="1"/>
  <c r="J132" i="1"/>
  <c r="I132" i="1"/>
  <c r="G132" i="1"/>
  <c r="F132" i="1"/>
  <c r="E132" i="1"/>
  <c r="D132" i="1"/>
  <c r="C132" i="1"/>
  <c r="B132" i="1"/>
  <c r="A132" i="1"/>
  <c r="R131" i="1"/>
  <c r="J131" i="1"/>
  <c r="I131" i="1"/>
  <c r="G131" i="1"/>
  <c r="F131" i="1"/>
  <c r="E131" i="1"/>
  <c r="D131" i="1"/>
  <c r="C131" i="1"/>
  <c r="B131" i="1"/>
  <c r="A131" i="1"/>
  <c r="S130" i="1"/>
  <c r="O130" i="1"/>
  <c r="K130" i="1"/>
  <c r="J130" i="1"/>
  <c r="I130" i="1"/>
  <c r="H130" i="1"/>
  <c r="G130" i="1"/>
  <c r="F130" i="1"/>
  <c r="E130" i="1"/>
  <c r="D130" i="1"/>
  <c r="C130" i="1"/>
  <c r="B130" i="1"/>
  <c r="A130" i="1"/>
  <c r="R129" i="1"/>
  <c r="J129" i="1"/>
  <c r="I129" i="1"/>
  <c r="G129" i="1"/>
  <c r="F129" i="1"/>
  <c r="E129" i="1"/>
  <c r="D129" i="1"/>
  <c r="C129" i="1"/>
  <c r="B129" i="1"/>
  <c r="A129" i="1"/>
  <c r="R128" i="1"/>
  <c r="J128" i="1"/>
  <c r="I128" i="1"/>
  <c r="G128" i="1"/>
  <c r="F128" i="1"/>
  <c r="E128" i="1"/>
  <c r="D128" i="1"/>
  <c r="C128" i="1"/>
  <c r="B128" i="1"/>
  <c r="A128" i="1"/>
  <c r="S127" i="1"/>
  <c r="O127" i="1"/>
  <c r="K127" i="1"/>
  <c r="J127" i="1"/>
  <c r="I127" i="1"/>
  <c r="H127" i="1"/>
  <c r="G127" i="1"/>
  <c r="F127" i="1"/>
  <c r="E127" i="1"/>
  <c r="D127" i="1"/>
  <c r="C127" i="1"/>
  <c r="B127" i="1"/>
  <c r="A127" i="1"/>
  <c r="R126" i="1"/>
  <c r="J126" i="1"/>
  <c r="I126" i="1"/>
  <c r="G126" i="1"/>
  <c r="F126" i="1"/>
  <c r="E126" i="1"/>
  <c r="D126" i="1"/>
  <c r="C126" i="1"/>
  <c r="B126" i="1"/>
  <c r="A126" i="1"/>
  <c r="S125" i="1"/>
  <c r="O125" i="1"/>
  <c r="K125" i="1"/>
  <c r="J125" i="1"/>
  <c r="I125" i="1"/>
  <c r="H125" i="1"/>
  <c r="G125" i="1"/>
  <c r="F125" i="1"/>
  <c r="E125" i="1"/>
  <c r="D125" i="1"/>
  <c r="C125" i="1"/>
  <c r="B125" i="1"/>
  <c r="A125" i="1"/>
  <c r="R124" i="1"/>
  <c r="J124" i="1"/>
  <c r="I124" i="1"/>
  <c r="G124" i="1"/>
  <c r="F124" i="1"/>
  <c r="E124" i="1"/>
  <c r="D124" i="1"/>
  <c r="C124" i="1"/>
  <c r="B124" i="1"/>
  <c r="A124" i="1"/>
  <c r="S123" i="1"/>
  <c r="O123" i="1"/>
  <c r="K123" i="1"/>
  <c r="J123" i="1"/>
  <c r="I123" i="1"/>
  <c r="H123" i="1"/>
  <c r="G123" i="1"/>
  <c r="F123" i="1"/>
  <c r="E123" i="1"/>
  <c r="D123" i="1"/>
  <c r="C123" i="1"/>
  <c r="B123" i="1"/>
  <c r="A123" i="1"/>
  <c r="R122" i="1"/>
  <c r="J122" i="1"/>
  <c r="I122" i="1"/>
  <c r="G122" i="1"/>
  <c r="F122" i="1"/>
  <c r="E122" i="1"/>
  <c r="D122" i="1"/>
  <c r="C122" i="1"/>
  <c r="B122" i="1"/>
  <c r="A122" i="1"/>
  <c r="S121" i="1"/>
  <c r="O121" i="1"/>
  <c r="K121" i="1"/>
  <c r="J121" i="1"/>
  <c r="I121" i="1"/>
  <c r="H121" i="1"/>
  <c r="G121" i="1"/>
  <c r="F121" i="1"/>
  <c r="E121" i="1"/>
  <c r="D121" i="1"/>
  <c r="C121" i="1"/>
  <c r="B121" i="1"/>
  <c r="A121" i="1"/>
  <c r="R120" i="1"/>
  <c r="J120" i="1"/>
  <c r="I120" i="1"/>
  <c r="G120" i="1"/>
  <c r="F120" i="1"/>
  <c r="E120" i="1"/>
  <c r="D120" i="1"/>
  <c r="C120" i="1"/>
  <c r="B120" i="1"/>
  <c r="A120" i="1"/>
  <c r="S119" i="1"/>
  <c r="O119" i="1"/>
  <c r="K119" i="1"/>
  <c r="J119" i="1"/>
  <c r="I119" i="1"/>
  <c r="H119" i="1"/>
  <c r="G119" i="1"/>
  <c r="F119" i="1"/>
  <c r="E119" i="1"/>
  <c r="D119" i="1"/>
  <c r="C119" i="1"/>
  <c r="B119" i="1"/>
  <c r="A119" i="1"/>
  <c r="S118" i="1"/>
  <c r="O118" i="1"/>
  <c r="K118" i="1"/>
  <c r="J118" i="1"/>
  <c r="I118" i="1"/>
  <c r="H118" i="1"/>
  <c r="G118" i="1"/>
  <c r="F118" i="1"/>
  <c r="D118" i="1"/>
  <c r="C118" i="1"/>
  <c r="B118" i="1"/>
  <c r="A118" i="1"/>
  <c r="R117" i="1"/>
  <c r="J117" i="1"/>
  <c r="I117" i="1"/>
  <c r="G117" i="1"/>
  <c r="F117" i="1"/>
  <c r="E117" i="1"/>
  <c r="D117" i="1"/>
  <c r="C117" i="1"/>
  <c r="B117" i="1"/>
  <c r="A117" i="1"/>
  <c r="S116" i="1"/>
  <c r="O116" i="1"/>
  <c r="K116" i="1"/>
  <c r="J116" i="1"/>
  <c r="I116" i="1"/>
  <c r="H116" i="1"/>
  <c r="G116" i="1"/>
  <c r="F116" i="1"/>
  <c r="E116" i="1"/>
  <c r="D116" i="1"/>
  <c r="C116" i="1"/>
  <c r="B116" i="1"/>
  <c r="A116" i="1"/>
  <c r="R115" i="1"/>
  <c r="J115" i="1"/>
  <c r="I115" i="1"/>
  <c r="G115" i="1"/>
  <c r="F115" i="1"/>
  <c r="E115" i="1"/>
  <c r="D115" i="1"/>
  <c r="C115" i="1"/>
  <c r="B115" i="1"/>
  <c r="A115" i="1"/>
  <c r="S114" i="1"/>
  <c r="O114" i="1"/>
  <c r="K114" i="1"/>
  <c r="J114" i="1"/>
  <c r="I114" i="1"/>
  <c r="H114" i="1"/>
  <c r="G114" i="1"/>
  <c r="F114" i="1"/>
  <c r="E114" i="1"/>
  <c r="D114" i="1"/>
  <c r="C114" i="1"/>
  <c r="B114" i="1"/>
  <c r="A114" i="1"/>
  <c r="R113" i="1"/>
  <c r="J113" i="1"/>
  <c r="I113" i="1"/>
  <c r="G113" i="1"/>
  <c r="F113" i="1"/>
  <c r="E113" i="1"/>
  <c r="D113" i="1"/>
  <c r="C113" i="1"/>
  <c r="B113" i="1"/>
  <c r="A113" i="1"/>
  <c r="S112" i="1"/>
  <c r="O112" i="1"/>
  <c r="K112" i="1"/>
  <c r="J112" i="1"/>
  <c r="I112" i="1"/>
  <c r="H112" i="1"/>
  <c r="G112" i="1"/>
  <c r="F112" i="1"/>
  <c r="E112" i="1"/>
  <c r="D112" i="1"/>
  <c r="C112" i="1"/>
  <c r="B112" i="1"/>
  <c r="A112" i="1"/>
  <c r="R111" i="1"/>
  <c r="J111" i="1"/>
  <c r="I111" i="1"/>
  <c r="G111" i="1"/>
  <c r="F111" i="1"/>
  <c r="E111" i="1"/>
  <c r="D111" i="1"/>
  <c r="C111" i="1"/>
  <c r="B111" i="1"/>
  <c r="A111" i="1"/>
  <c r="S110" i="1"/>
  <c r="O110" i="1"/>
  <c r="K110" i="1"/>
  <c r="J110" i="1"/>
  <c r="I110" i="1"/>
  <c r="H110" i="1"/>
  <c r="G110" i="1"/>
  <c r="F110" i="1"/>
  <c r="E110" i="1"/>
  <c r="D110" i="1"/>
  <c r="C110" i="1"/>
  <c r="B110" i="1"/>
  <c r="A110" i="1"/>
  <c r="R109" i="1"/>
  <c r="J109" i="1"/>
  <c r="I109" i="1"/>
  <c r="G109" i="1"/>
  <c r="F109" i="1"/>
  <c r="E109" i="1"/>
  <c r="D109" i="1"/>
  <c r="C109" i="1"/>
  <c r="B109" i="1"/>
  <c r="A109" i="1"/>
  <c r="R108" i="1"/>
  <c r="J108" i="1"/>
  <c r="I108" i="1"/>
  <c r="G108" i="1"/>
  <c r="F108" i="1"/>
  <c r="E108" i="1"/>
  <c r="D108" i="1"/>
  <c r="C108" i="1"/>
  <c r="B108" i="1"/>
  <c r="A108" i="1"/>
  <c r="S107" i="1"/>
  <c r="O107" i="1"/>
  <c r="K107" i="1"/>
  <c r="J107" i="1"/>
  <c r="I107" i="1"/>
  <c r="H107" i="1"/>
  <c r="G107" i="1"/>
  <c r="F107" i="1"/>
  <c r="E107" i="1"/>
  <c r="D107" i="1"/>
  <c r="C107" i="1"/>
  <c r="B107" i="1"/>
  <c r="A107" i="1"/>
  <c r="R106" i="1"/>
  <c r="J106" i="1"/>
  <c r="I106" i="1"/>
  <c r="G106" i="1"/>
  <c r="F106" i="1"/>
  <c r="E106" i="1"/>
  <c r="D106" i="1"/>
  <c r="C106" i="1"/>
  <c r="B106" i="1"/>
  <c r="A106" i="1"/>
  <c r="R105" i="1"/>
  <c r="J105" i="1"/>
  <c r="I105" i="1"/>
  <c r="G105" i="1"/>
  <c r="F105" i="1"/>
  <c r="E105" i="1"/>
  <c r="D105" i="1"/>
  <c r="C105" i="1"/>
  <c r="B105" i="1"/>
  <c r="A105" i="1"/>
  <c r="S104" i="1"/>
  <c r="O104" i="1"/>
  <c r="K104" i="1"/>
  <c r="J104" i="1"/>
  <c r="I104" i="1"/>
  <c r="H104" i="1"/>
  <c r="G104" i="1"/>
  <c r="F104" i="1"/>
  <c r="E104" i="1"/>
  <c r="D104" i="1"/>
  <c r="C104" i="1"/>
  <c r="B104" i="1"/>
  <c r="A104" i="1"/>
  <c r="R103" i="1"/>
  <c r="J103" i="1"/>
  <c r="I103" i="1"/>
  <c r="G103" i="1"/>
  <c r="F103" i="1"/>
  <c r="E103" i="1"/>
  <c r="D103" i="1"/>
  <c r="C103" i="1"/>
  <c r="B103" i="1"/>
  <c r="A103" i="1"/>
  <c r="S102" i="1"/>
  <c r="O102" i="1"/>
  <c r="K102" i="1"/>
  <c r="J102" i="1"/>
  <c r="I102" i="1"/>
  <c r="H102" i="1"/>
  <c r="G102" i="1"/>
  <c r="F102" i="1"/>
  <c r="E102" i="1"/>
  <c r="D102" i="1"/>
  <c r="C102" i="1"/>
  <c r="B102" i="1"/>
  <c r="A102" i="1"/>
  <c r="R101" i="1"/>
  <c r="J101" i="1"/>
  <c r="I101" i="1"/>
  <c r="G101" i="1"/>
  <c r="F101" i="1"/>
  <c r="E101" i="1"/>
  <c r="D101" i="1"/>
  <c r="C101" i="1"/>
  <c r="B101" i="1"/>
  <c r="A101" i="1"/>
  <c r="S100" i="1"/>
  <c r="O100" i="1"/>
  <c r="K100" i="1"/>
  <c r="J100" i="1"/>
  <c r="I100" i="1"/>
  <c r="H100" i="1"/>
  <c r="G100" i="1"/>
  <c r="F100" i="1"/>
  <c r="E100" i="1"/>
  <c r="D100" i="1"/>
  <c r="C100" i="1"/>
  <c r="B100" i="1"/>
  <c r="A100" i="1"/>
  <c r="R99" i="1"/>
  <c r="J99" i="1"/>
  <c r="I99" i="1"/>
  <c r="G99" i="1"/>
  <c r="F99" i="1"/>
  <c r="E99" i="1"/>
  <c r="D99" i="1"/>
  <c r="C99" i="1"/>
  <c r="B99" i="1"/>
  <c r="A99" i="1"/>
  <c r="S98" i="1"/>
  <c r="O98" i="1"/>
  <c r="K98" i="1"/>
  <c r="J98" i="1"/>
  <c r="I98" i="1"/>
  <c r="H98" i="1"/>
  <c r="G98" i="1"/>
  <c r="F98" i="1"/>
  <c r="E98" i="1"/>
  <c r="D98" i="1"/>
  <c r="C98" i="1"/>
  <c r="B98" i="1"/>
  <c r="A98" i="1"/>
  <c r="R97" i="1"/>
  <c r="J97" i="1"/>
  <c r="I97" i="1"/>
  <c r="G97" i="1"/>
  <c r="F97" i="1"/>
  <c r="E97" i="1"/>
  <c r="D97" i="1"/>
  <c r="C97" i="1"/>
  <c r="B97" i="1"/>
  <c r="A97" i="1"/>
  <c r="S96" i="1"/>
  <c r="O96" i="1"/>
  <c r="K96" i="1"/>
  <c r="J96" i="1"/>
  <c r="I96" i="1"/>
  <c r="H96" i="1"/>
  <c r="G96" i="1"/>
  <c r="F96" i="1"/>
  <c r="E96" i="1"/>
  <c r="D96" i="1"/>
  <c r="C96" i="1"/>
  <c r="B96" i="1"/>
  <c r="A96" i="1"/>
  <c r="R95" i="1"/>
  <c r="J95" i="1"/>
  <c r="I95" i="1"/>
  <c r="G95" i="1"/>
  <c r="F95" i="1"/>
  <c r="E95" i="1"/>
  <c r="D95" i="1"/>
  <c r="C95" i="1"/>
  <c r="B95" i="1"/>
  <c r="A95" i="1"/>
  <c r="S94" i="1"/>
  <c r="O94" i="1"/>
  <c r="K94" i="1"/>
  <c r="J94" i="1"/>
  <c r="I94" i="1"/>
  <c r="H94" i="1"/>
  <c r="G94" i="1"/>
  <c r="F94" i="1"/>
  <c r="E94" i="1"/>
  <c r="D94" i="1"/>
  <c r="C94" i="1"/>
  <c r="B94" i="1"/>
  <c r="A94" i="1"/>
  <c r="R93" i="1"/>
  <c r="J93" i="1"/>
  <c r="I93" i="1"/>
  <c r="G93" i="1"/>
  <c r="F93" i="1"/>
  <c r="E93" i="1"/>
  <c r="D93" i="1"/>
  <c r="C93" i="1"/>
  <c r="B93" i="1"/>
  <c r="A93" i="1"/>
  <c r="S92" i="1"/>
  <c r="O92" i="1"/>
  <c r="K92" i="1"/>
  <c r="J92" i="1"/>
  <c r="I92" i="1"/>
  <c r="H92" i="1"/>
  <c r="G92" i="1"/>
  <c r="F92" i="1"/>
  <c r="E92" i="1"/>
  <c r="D92" i="1"/>
  <c r="C92" i="1"/>
  <c r="B92" i="1"/>
  <c r="A92" i="1"/>
  <c r="R91" i="1"/>
  <c r="J91" i="1"/>
  <c r="I91" i="1"/>
  <c r="G91" i="1"/>
  <c r="F91" i="1"/>
  <c r="E91" i="1"/>
  <c r="D91" i="1"/>
  <c r="C91" i="1"/>
  <c r="B91" i="1"/>
  <c r="A91" i="1"/>
  <c r="R90" i="1"/>
  <c r="J90" i="1"/>
  <c r="I90" i="1"/>
  <c r="G90" i="1"/>
  <c r="F90" i="1"/>
  <c r="E90" i="1"/>
  <c r="D90" i="1"/>
  <c r="C90" i="1"/>
  <c r="B90" i="1"/>
  <c r="A90" i="1"/>
  <c r="R89" i="1"/>
  <c r="J89" i="1"/>
  <c r="I89" i="1"/>
  <c r="G89" i="1"/>
  <c r="F89" i="1"/>
  <c r="E89" i="1"/>
  <c r="D89" i="1"/>
  <c r="C89" i="1"/>
  <c r="B89" i="1"/>
  <c r="A89" i="1"/>
  <c r="R88" i="1"/>
  <c r="J88" i="1"/>
  <c r="I88" i="1"/>
  <c r="G88" i="1"/>
  <c r="F88" i="1"/>
  <c r="E88" i="1"/>
  <c r="D88" i="1"/>
  <c r="C88" i="1"/>
  <c r="B88" i="1"/>
  <c r="A88" i="1"/>
  <c r="R87" i="1"/>
  <c r="J87" i="1"/>
  <c r="I87" i="1"/>
  <c r="G87" i="1"/>
  <c r="F87" i="1"/>
  <c r="E87" i="1"/>
  <c r="D87" i="1"/>
  <c r="C87" i="1"/>
  <c r="B87" i="1"/>
  <c r="A87" i="1"/>
  <c r="R86" i="1"/>
  <c r="J86" i="1"/>
  <c r="I86" i="1"/>
  <c r="G86" i="1"/>
  <c r="F86" i="1"/>
  <c r="E86" i="1"/>
  <c r="D86" i="1"/>
  <c r="C86" i="1"/>
  <c r="B86" i="1"/>
  <c r="A86" i="1"/>
  <c r="R85" i="1"/>
  <c r="J85" i="1"/>
  <c r="I85" i="1"/>
  <c r="G85" i="1"/>
  <c r="F85" i="1"/>
  <c r="E85" i="1"/>
  <c r="D85" i="1"/>
  <c r="C85" i="1"/>
  <c r="B85" i="1"/>
  <c r="A85" i="1"/>
  <c r="R84" i="1"/>
  <c r="J84" i="1"/>
  <c r="I84" i="1"/>
  <c r="G84" i="1"/>
  <c r="F84" i="1"/>
  <c r="E84" i="1"/>
  <c r="D84" i="1"/>
  <c r="C84" i="1"/>
  <c r="B84" i="1"/>
  <c r="A84" i="1"/>
  <c r="R83" i="1"/>
  <c r="J83" i="1"/>
  <c r="I83" i="1"/>
  <c r="G83" i="1"/>
  <c r="F83" i="1"/>
  <c r="E83" i="1"/>
  <c r="D83" i="1"/>
  <c r="C83" i="1"/>
  <c r="B83" i="1"/>
  <c r="A83" i="1"/>
  <c r="R82" i="1"/>
  <c r="J82" i="1"/>
  <c r="I82" i="1"/>
  <c r="G82" i="1"/>
  <c r="F82" i="1"/>
  <c r="E82" i="1"/>
  <c r="D82" i="1"/>
  <c r="C82" i="1"/>
  <c r="B82" i="1"/>
  <c r="A82" i="1"/>
  <c r="S81" i="1"/>
  <c r="O81" i="1"/>
  <c r="K81" i="1"/>
  <c r="J81" i="1"/>
  <c r="I81" i="1"/>
  <c r="H81" i="1"/>
  <c r="G81" i="1"/>
  <c r="F81" i="1"/>
  <c r="E81" i="1"/>
  <c r="D81" i="1"/>
  <c r="C81" i="1"/>
  <c r="B81" i="1"/>
  <c r="A81" i="1"/>
  <c r="R80" i="1"/>
  <c r="J80" i="1"/>
  <c r="I80" i="1"/>
  <c r="G80" i="1"/>
  <c r="F80" i="1"/>
  <c r="E80" i="1"/>
  <c r="D80" i="1"/>
  <c r="C80" i="1"/>
  <c r="B80" i="1"/>
  <c r="A80" i="1"/>
  <c r="R79" i="1"/>
  <c r="J79" i="1"/>
  <c r="I79" i="1"/>
  <c r="G79" i="1"/>
  <c r="F79" i="1"/>
  <c r="E79" i="1"/>
  <c r="D79" i="1"/>
  <c r="C79" i="1"/>
  <c r="B79" i="1"/>
  <c r="A79" i="1"/>
  <c r="R78" i="1"/>
  <c r="J78" i="1"/>
  <c r="I78" i="1"/>
  <c r="G78" i="1"/>
  <c r="F78" i="1"/>
  <c r="E78" i="1"/>
  <c r="D78" i="1"/>
  <c r="C78" i="1"/>
  <c r="B78" i="1"/>
  <c r="A78" i="1"/>
  <c r="R77" i="1"/>
  <c r="J77" i="1"/>
  <c r="I77" i="1"/>
  <c r="G77" i="1"/>
  <c r="F77" i="1"/>
  <c r="E77" i="1"/>
  <c r="D77" i="1"/>
  <c r="C77" i="1"/>
  <c r="B77" i="1"/>
  <c r="A77" i="1"/>
  <c r="R76" i="1"/>
  <c r="J76" i="1"/>
  <c r="I76" i="1"/>
  <c r="G76" i="1"/>
  <c r="F76" i="1"/>
  <c r="E76" i="1"/>
  <c r="D76" i="1"/>
  <c r="C76" i="1"/>
  <c r="B76" i="1"/>
  <c r="A76" i="1"/>
  <c r="R75" i="1"/>
  <c r="J75" i="1"/>
  <c r="I75" i="1"/>
  <c r="G75" i="1"/>
  <c r="F75" i="1"/>
  <c r="E75" i="1"/>
  <c r="D75" i="1"/>
  <c r="C75" i="1"/>
  <c r="B75" i="1"/>
  <c r="A75" i="1"/>
  <c r="R74" i="1"/>
  <c r="J74" i="1"/>
  <c r="I74" i="1"/>
  <c r="G74" i="1"/>
  <c r="F74" i="1"/>
  <c r="E74" i="1"/>
  <c r="D74" i="1"/>
  <c r="C74" i="1"/>
  <c r="B74" i="1"/>
  <c r="A74" i="1"/>
  <c r="R73" i="1"/>
  <c r="J73" i="1"/>
  <c r="I73" i="1"/>
  <c r="G73" i="1"/>
  <c r="F73" i="1"/>
  <c r="E73" i="1"/>
  <c r="D73" i="1"/>
  <c r="C73" i="1"/>
  <c r="B73" i="1"/>
  <c r="A73" i="1"/>
  <c r="R72" i="1"/>
  <c r="J72" i="1"/>
  <c r="I72" i="1"/>
  <c r="G72" i="1"/>
  <c r="F72" i="1"/>
  <c r="E72" i="1"/>
  <c r="D72" i="1"/>
  <c r="C72" i="1"/>
  <c r="B72" i="1"/>
  <c r="A72" i="1"/>
  <c r="R71" i="1"/>
  <c r="J71" i="1"/>
  <c r="I71" i="1"/>
  <c r="G71" i="1"/>
  <c r="F71" i="1"/>
  <c r="E71" i="1"/>
  <c r="D71" i="1"/>
  <c r="C71" i="1"/>
  <c r="B71" i="1"/>
  <c r="A71" i="1"/>
  <c r="R70" i="1"/>
  <c r="J70" i="1"/>
  <c r="I70" i="1"/>
  <c r="G70" i="1"/>
  <c r="F70" i="1"/>
  <c r="E70" i="1"/>
  <c r="D70" i="1"/>
  <c r="C70" i="1"/>
  <c r="B70" i="1"/>
  <c r="A70" i="1"/>
  <c r="R69" i="1"/>
  <c r="J69" i="1"/>
  <c r="I69" i="1"/>
  <c r="G69" i="1"/>
  <c r="F69" i="1"/>
  <c r="E69" i="1"/>
  <c r="D69" i="1"/>
  <c r="C69" i="1"/>
  <c r="B69" i="1"/>
  <c r="A69" i="1"/>
  <c r="R68" i="1"/>
  <c r="J68" i="1"/>
  <c r="I68" i="1"/>
  <c r="G68" i="1"/>
  <c r="F68" i="1"/>
  <c r="E68" i="1"/>
  <c r="D68" i="1"/>
  <c r="C68" i="1"/>
  <c r="B68" i="1"/>
  <c r="A68" i="1"/>
  <c r="R67" i="1"/>
  <c r="J67" i="1"/>
  <c r="I67" i="1"/>
  <c r="G67" i="1"/>
  <c r="F67" i="1"/>
  <c r="E67" i="1"/>
  <c r="D67" i="1"/>
  <c r="C67" i="1"/>
  <c r="B67" i="1"/>
  <c r="A67" i="1"/>
  <c r="S66" i="1"/>
  <c r="O66" i="1"/>
  <c r="K66" i="1"/>
  <c r="J66" i="1"/>
  <c r="I66" i="1"/>
  <c r="H66" i="1"/>
  <c r="G66" i="1"/>
  <c r="F66" i="1"/>
  <c r="E66" i="1"/>
  <c r="D66" i="1"/>
  <c r="C66" i="1"/>
  <c r="B66" i="1"/>
  <c r="A66" i="1"/>
  <c r="R65" i="1"/>
  <c r="J65" i="1"/>
  <c r="I65" i="1"/>
  <c r="G65" i="1"/>
  <c r="F65" i="1"/>
  <c r="E65" i="1"/>
  <c r="D65" i="1"/>
  <c r="C65" i="1"/>
  <c r="B65" i="1"/>
  <c r="A65" i="1"/>
  <c r="R64" i="1"/>
  <c r="J64" i="1"/>
  <c r="I64" i="1"/>
  <c r="G64" i="1"/>
  <c r="F64" i="1"/>
  <c r="E64" i="1"/>
  <c r="D64" i="1"/>
  <c r="C64" i="1"/>
  <c r="B64" i="1"/>
  <c r="A64" i="1"/>
  <c r="R63" i="1"/>
  <c r="J63" i="1"/>
  <c r="I63" i="1"/>
  <c r="G63" i="1"/>
  <c r="F63" i="1"/>
  <c r="E63" i="1"/>
  <c r="D63" i="1"/>
  <c r="C63" i="1"/>
  <c r="B63" i="1"/>
  <c r="A63" i="1"/>
  <c r="R62" i="1"/>
  <c r="J62" i="1"/>
  <c r="I62" i="1"/>
  <c r="G62" i="1"/>
  <c r="F62" i="1"/>
  <c r="E62" i="1"/>
  <c r="D62" i="1"/>
  <c r="C62" i="1"/>
  <c r="B62" i="1"/>
  <c r="A62" i="1"/>
  <c r="R61" i="1"/>
  <c r="J61" i="1"/>
  <c r="I61" i="1"/>
  <c r="G61" i="1"/>
  <c r="F61" i="1"/>
  <c r="E61" i="1"/>
  <c r="D61" i="1"/>
  <c r="C61" i="1"/>
  <c r="B61" i="1"/>
  <c r="A61" i="1"/>
  <c r="R60" i="1"/>
  <c r="J60" i="1"/>
  <c r="I60" i="1"/>
  <c r="G60" i="1"/>
  <c r="F60" i="1"/>
  <c r="E60" i="1"/>
  <c r="D60" i="1"/>
  <c r="C60" i="1"/>
  <c r="B60" i="1"/>
  <c r="A60" i="1"/>
  <c r="R59" i="1"/>
  <c r="J59" i="1"/>
  <c r="I59" i="1"/>
  <c r="G59" i="1"/>
  <c r="F59" i="1"/>
  <c r="E59" i="1"/>
  <c r="D59" i="1"/>
  <c r="C59" i="1"/>
  <c r="B59" i="1"/>
  <c r="A59" i="1"/>
  <c r="R58" i="1"/>
  <c r="J58" i="1"/>
  <c r="I58" i="1"/>
  <c r="G58" i="1"/>
  <c r="F58" i="1"/>
  <c r="E58" i="1"/>
  <c r="D58" i="1"/>
  <c r="C58" i="1"/>
  <c r="B58" i="1"/>
  <c r="A58" i="1"/>
  <c r="R57" i="1"/>
  <c r="J57" i="1"/>
  <c r="I57" i="1"/>
  <c r="G57" i="1"/>
  <c r="F57" i="1"/>
  <c r="E57" i="1"/>
  <c r="D57" i="1"/>
  <c r="C57" i="1"/>
  <c r="B57" i="1"/>
  <c r="A57" i="1"/>
  <c r="R56" i="1"/>
  <c r="J56" i="1"/>
  <c r="I56" i="1"/>
  <c r="G56" i="1"/>
  <c r="F56" i="1"/>
  <c r="E56" i="1"/>
  <c r="D56" i="1"/>
  <c r="C56" i="1"/>
  <c r="B56" i="1"/>
  <c r="A56" i="1"/>
  <c r="R55" i="1"/>
  <c r="J55" i="1"/>
  <c r="I55" i="1"/>
  <c r="G55" i="1"/>
  <c r="F55" i="1"/>
  <c r="E55" i="1"/>
  <c r="D55" i="1"/>
  <c r="C55" i="1"/>
  <c r="B55" i="1"/>
  <c r="A55" i="1"/>
  <c r="R54" i="1"/>
  <c r="J54" i="1"/>
  <c r="I54" i="1"/>
  <c r="G54" i="1"/>
  <c r="F54" i="1"/>
  <c r="E54" i="1"/>
  <c r="D54" i="1"/>
  <c r="C54" i="1"/>
  <c r="B54" i="1"/>
  <c r="A54" i="1"/>
  <c r="R53" i="1"/>
  <c r="J53" i="1"/>
  <c r="I53" i="1"/>
  <c r="G53" i="1"/>
  <c r="F53" i="1"/>
  <c r="E53" i="1"/>
  <c r="D53" i="1"/>
  <c r="C53" i="1"/>
  <c r="B53" i="1"/>
  <c r="A53" i="1"/>
  <c r="R52" i="1"/>
  <c r="J52" i="1"/>
  <c r="I52" i="1"/>
  <c r="G52" i="1"/>
  <c r="F52" i="1"/>
  <c r="E52" i="1"/>
  <c r="D52" i="1"/>
  <c r="C52" i="1"/>
  <c r="B52" i="1"/>
  <c r="A52" i="1"/>
  <c r="R51" i="1"/>
  <c r="J51" i="1"/>
  <c r="I51" i="1"/>
  <c r="G51" i="1"/>
  <c r="F51" i="1"/>
  <c r="E51" i="1"/>
  <c r="D51" i="1"/>
  <c r="C51" i="1"/>
  <c r="B51" i="1"/>
  <c r="A51" i="1"/>
  <c r="R50" i="1"/>
  <c r="J50" i="1"/>
  <c r="I50" i="1"/>
  <c r="G50" i="1"/>
  <c r="F50" i="1"/>
  <c r="E50" i="1"/>
  <c r="D50" i="1"/>
  <c r="C50" i="1"/>
  <c r="B50" i="1"/>
  <c r="A50" i="1"/>
  <c r="R49" i="1"/>
  <c r="J49" i="1"/>
  <c r="I49" i="1"/>
  <c r="G49" i="1"/>
  <c r="F49" i="1"/>
  <c r="E49" i="1"/>
  <c r="D49" i="1"/>
  <c r="C49" i="1"/>
  <c r="B49" i="1"/>
  <c r="A49" i="1"/>
  <c r="R48" i="1"/>
  <c r="J48" i="1"/>
  <c r="I48" i="1"/>
  <c r="G48" i="1"/>
  <c r="F48" i="1"/>
  <c r="E48" i="1"/>
  <c r="D48" i="1"/>
  <c r="C48" i="1"/>
  <c r="B48" i="1"/>
  <c r="A48" i="1"/>
  <c r="R47" i="1"/>
  <c r="J47" i="1"/>
  <c r="I47" i="1"/>
  <c r="G47" i="1"/>
  <c r="F47" i="1"/>
  <c r="E47" i="1"/>
  <c r="D47" i="1"/>
  <c r="C47" i="1"/>
  <c r="B47" i="1"/>
  <c r="A47" i="1"/>
  <c r="R46" i="1"/>
  <c r="J46" i="1"/>
  <c r="I46" i="1"/>
  <c r="G46" i="1"/>
  <c r="F46" i="1"/>
  <c r="E46" i="1"/>
  <c r="D46" i="1"/>
  <c r="C46" i="1"/>
  <c r="B46" i="1"/>
  <c r="A46" i="1"/>
  <c r="R45" i="1"/>
  <c r="J45" i="1"/>
  <c r="I45" i="1"/>
  <c r="G45" i="1"/>
  <c r="F45" i="1"/>
  <c r="E45" i="1"/>
  <c r="D45" i="1"/>
  <c r="C45" i="1"/>
  <c r="B45" i="1"/>
  <c r="A45" i="1"/>
  <c r="R44" i="1"/>
  <c r="J44" i="1"/>
  <c r="I44" i="1"/>
  <c r="G44" i="1"/>
  <c r="F44" i="1"/>
  <c r="E44" i="1"/>
  <c r="D44" i="1"/>
  <c r="C44" i="1"/>
  <c r="B44" i="1"/>
  <c r="A44" i="1"/>
  <c r="R43" i="1"/>
  <c r="J43" i="1"/>
  <c r="I43" i="1"/>
  <c r="G43" i="1"/>
  <c r="F43" i="1"/>
  <c r="E43" i="1"/>
  <c r="D43" i="1"/>
  <c r="C43" i="1"/>
  <c r="B43" i="1"/>
  <c r="A43" i="1"/>
  <c r="R42" i="1"/>
  <c r="J42" i="1"/>
  <c r="I42" i="1"/>
  <c r="G42" i="1"/>
  <c r="F42" i="1"/>
  <c r="E42" i="1"/>
  <c r="D42" i="1"/>
  <c r="C42" i="1"/>
  <c r="B42" i="1"/>
  <c r="A42" i="1"/>
  <c r="R41" i="1"/>
  <c r="J41" i="1"/>
  <c r="I41" i="1"/>
  <c r="G41" i="1"/>
  <c r="F41" i="1"/>
  <c r="E41" i="1"/>
  <c r="D41" i="1"/>
  <c r="C41" i="1"/>
  <c r="B41" i="1"/>
  <c r="A41" i="1"/>
  <c r="R40" i="1"/>
  <c r="J40" i="1"/>
  <c r="I40" i="1"/>
  <c r="G40" i="1"/>
  <c r="F40" i="1"/>
  <c r="E40" i="1"/>
  <c r="D40" i="1"/>
  <c r="C40" i="1"/>
  <c r="B40" i="1"/>
  <c r="A40" i="1"/>
  <c r="R39" i="1"/>
  <c r="J39" i="1"/>
  <c r="I39" i="1"/>
  <c r="G39" i="1"/>
  <c r="F39" i="1"/>
  <c r="E39" i="1"/>
  <c r="D39" i="1"/>
  <c r="C39" i="1"/>
  <c r="B39" i="1"/>
  <c r="A39" i="1"/>
  <c r="R38" i="1"/>
  <c r="J38" i="1"/>
  <c r="I38" i="1"/>
  <c r="G38" i="1"/>
  <c r="F38" i="1"/>
  <c r="E38" i="1"/>
  <c r="D38" i="1"/>
  <c r="C38" i="1"/>
  <c r="B38" i="1"/>
  <c r="A38" i="1"/>
  <c r="R37" i="1"/>
  <c r="J37" i="1"/>
  <c r="I37" i="1"/>
  <c r="G37" i="1"/>
  <c r="F37" i="1"/>
  <c r="E37" i="1"/>
  <c r="D37" i="1"/>
  <c r="C37" i="1"/>
  <c r="B37" i="1"/>
  <c r="A37" i="1"/>
  <c r="R36" i="1"/>
  <c r="J36" i="1"/>
  <c r="I36" i="1"/>
  <c r="G36" i="1"/>
  <c r="F36" i="1"/>
  <c r="E36" i="1"/>
  <c r="D36" i="1"/>
  <c r="C36" i="1"/>
  <c r="B36" i="1"/>
  <c r="A36" i="1"/>
  <c r="R35" i="1"/>
  <c r="J35" i="1"/>
  <c r="I35" i="1"/>
  <c r="G35" i="1"/>
  <c r="F35" i="1"/>
  <c r="E35" i="1"/>
  <c r="D35" i="1"/>
  <c r="C35" i="1"/>
  <c r="B35" i="1"/>
  <c r="A35" i="1"/>
  <c r="R34" i="1"/>
  <c r="J34" i="1"/>
  <c r="I34" i="1"/>
  <c r="G34" i="1"/>
  <c r="F34" i="1"/>
  <c r="E34" i="1"/>
  <c r="D34" i="1"/>
  <c r="C34" i="1"/>
  <c r="B34" i="1"/>
  <c r="A34" i="1"/>
  <c r="R33" i="1"/>
  <c r="J33" i="1"/>
  <c r="I33" i="1"/>
  <c r="G33" i="1"/>
  <c r="F33" i="1"/>
  <c r="E33" i="1"/>
  <c r="D33" i="1"/>
  <c r="C33" i="1"/>
  <c r="B33" i="1"/>
  <c r="A33" i="1"/>
  <c r="R32" i="1"/>
  <c r="J32" i="1"/>
  <c r="I32" i="1"/>
  <c r="G32" i="1"/>
  <c r="F32" i="1"/>
  <c r="E32" i="1"/>
  <c r="D32" i="1"/>
  <c r="C32" i="1"/>
  <c r="B32" i="1"/>
  <c r="A32" i="1"/>
  <c r="R31" i="1"/>
  <c r="J31" i="1"/>
  <c r="I31" i="1"/>
  <c r="G31" i="1"/>
  <c r="F31" i="1"/>
  <c r="E31" i="1"/>
  <c r="D31" i="1"/>
  <c r="C31" i="1"/>
  <c r="B31" i="1"/>
  <c r="A31" i="1"/>
  <c r="R30" i="1"/>
  <c r="J30" i="1"/>
  <c r="I30" i="1"/>
  <c r="G30" i="1"/>
  <c r="F30" i="1"/>
  <c r="E30" i="1"/>
  <c r="D30" i="1"/>
  <c r="C30" i="1"/>
  <c r="B30" i="1"/>
  <c r="A30" i="1"/>
  <c r="R29" i="1"/>
  <c r="J29" i="1"/>
  <c r="I29" i="1"/>
  <c r="G29" i="1"/>
  <c r="F29" i="1"/>
  <c r="E29" i="1"/>
  <c r="D29" i="1"/>
  <c r="C29" i="1"/>
  <c r="B29" i="1"/>
  <c r="A29" i="1"/>
  <c r="R28" i="1"/>
  <c r="J28" i="1"/>
  <c r="I28" i="1"/>
  <c r="G28" i="1"/>
  <c r="F28" i="1"/>
  <c r="E28" i="1"/>
  <c r="D28" i="1"/>
  <c r="C28" i="1"/>
  <c r="B28" i="1"/>
  <c r="A28" i="1"/>
  <c r="R27" i="1"/>
  <c r="J27" i="1"/>
  <c r="I27" i="1"/>
  <c r="G27" i="1"/>
  <c r="F27" i="1"/>
  <c r="E27" i="1"/>
  <c r="D27" i="1"/>
  <c r="C27" i="1"/>
  <c r="B27" i="1"/>
  <c r="A27" i="1"/>
  <c r="R26" i="1"/>
  <c r="J26" i="1"/>
  <c r="I26" i="1"/>
  <c r="G26" i="1"/>
  <c r="F26" i="1"/>
  <c r="E26" i="1"/>
  <c r="D26" i="1"/>
  <c r="C26" i="1"/>
  <c r="B26" i="1"/>
  <c r="A26" i="1"/>
  <c r="R25" i="1"/>
  <c r="J25" i="1"/>
  <c r="I25" i="1"/>
  <c r="G25" i="1"/>
  <c r="F25" i="1"/>
  <c r="E25" i="1"/>
  <c r="D25" i="1"/>
  <c r="C25" i="1"/>
  <c r="B25" i="1"/>
  <c r="A25" i="1"/>
  <c r="R24" i="1"/>
  <c r="J24" i="1"/>
  <c r="I24" i="1"/>
  <c r="G24" i="1"/>
  <c r="F24" i="1"/>
  <c r="E24" i="1"/>
  <c r="D24" i="1"/>
  <c r="C24" i="1"/>
  <c r="B24" i="1"/>
  <c r="A24" i="1"/>
  <c r="R23" i="1"/>
  <c r="J23" i="1"/>
  <c r="I23" i="1"/>
  <c r="G23" i="1"/>
  <c r="F23" i="1"/>
  <c r="E23" i="1"/>
  <c r="D23" i="1"/>
  <c r="C23" i="1"/>
  <c r="B23" i="1"/>
  <c r="A23" i="1"/>
  <c r="R22" i="1"/>
  <c r="J22" i="1"/>
  <c r="I22" i="1"/>
  <c r="G22" i="1"/>
  <c r="F22" i="1"/>
  <c r="E22" i="1"/>
  <c r="D22" i="1"/>
  <c r="C22" i="1"/>
  <c r="B22" i="1"/>
  <c r="A22" i="1"/>
  <c r="R21" i="1"/>
  <c r="J21" i="1"/>
  <c r="I21" i="1"/>
  <c r="G21" i="1"/>
  <c r="F21" i="1"/>
  <c r="E21" i="1"/>
  <c r="D21" i="1"/>
  <c r="C21" i="1"/>
  <c r="B21" i="1"/>
  <c r="A21" i="1"/>
  <c r="R20" i="1"/>
  <c r="J20" i="1"/>
  <c r="I20" i="1"/>
  <c r="G20" i="1"/>
  <c r="F20" i="1"/>
  <c r="E20" i="1"/>
  <c r="D20" i="1"/>
  <c r="C20" i="1"/>
  <c r="B20" i="1"/>
  <c r="A20" i="1"/>
  <c r="R19" i="1"/>
  <c r="J19" i="1"/>
  <c r="I19" i="1"/>
  <c r="G19" i="1"/>
  <c r="F19" i="1"/>
  <c r="E19" i="1"/>
  <c r="D19" i="1"/>
  <c r="C19" i="1"/>
  <c r="B19" i="1"/>
  <c r="A19" i="1"/>
  <c r="R18" i="1"/>
  <c r="J18" i="1"/>
  <c r="I18" i="1"/>
  <c r="G18" i="1"/>
  <c r="F18" i="1"/>
  <c r="E18" i="1"/>
  <c r="D18" i="1"/>
  <c r="C18" i="1"/>
  <c r="B18" i="1"/>
  <c r="A18" i="1"/>
  <c r="S17" i="1"/>
  <c r="O17" i="1"/>
  <c r="K17" i="1"/>
  <c r="J17" i="1"/>
  <c r="I17" i="1"/>
  <c r="H17" i="1"/>
  <c r="G17" i="1"/>
  <c r="F17" i="1"/>
  <c r="E17" i="1"/>
  <c r="D17" i="1"/>
  <c r="C17" i="1"/>
  <c r="B17" i="1"/>
  <c r="A17" i="1"/>
  <c r="R16" i="1"/>
  <c r="J16" i="1"/>
  <c r="I16" i="1"/>
  <c r="G16" i="1"/>
  <c r="F16" i="1"/>
  <c r="E16" i="1"/>
  <c r="D16" i="1"/>
  <c r="C16" i="1"/>
  <c r="B16" i="1"/>
  <c r="A16" i="1"/>
  <c r="S15" i="1"/>
  <c r="O15" i="1"/>
  <c r="K15" i="1"/>
  <c r="J15" i="1"/>
  <c r="I15" i="1"/>
  <c r="H15" i="1"/>
  <c r="G15" i="1"/>
  <c r="F15" i="1"/>
  <c r="E15" i="1"/>
  <c r="D15" i="1"/>
  <c r="C15" i="1"/>
  <c r="B15" i="1"/>
  <c r="A15" i="1"/>
  <c r="S14" i="1"/>
  <c r="O14" i="1"/>
  <c r="K14" i="1"/>
  <c r="J14" i="1"/>
  <c r="I14" i="1"/>
  <c r="H14" i="1"/>
  <c r="G14" i="1"/>
  <c r="F14" i="1"/>
  <c r="D14" i="1"/>
  <c r="C14" i="1"/>
  <c r="B14" i="1"/>
  <c r="A14" i="1"/>
  <c r="S13" i="1"/>
  <c r="O13" i="1"/>
  <c r="K13" i="1"/>
  <c r="J13" i="1"/>
  <c r="I13" i="1"/>
  <c r="H13" i="1"/>
  <c r="G13" i="1"/>
  <c r="F13" i="1"/>
  <c r="D13" i="1"/>
  <c r="C13" i="1"/>
  <c r="B13" i="1"/>
  <c r="A13" i="1"/>
  <c r="R12" i="1"/>
  <c r="J12" i="1"/>
  <c r="I12" i="1"/>
  <c r="G12" i="1"/>
  <c r="F12" i="1"/>
  <c r="E12" i="1"/>
  <c r="D12" i="1"/>
  <c r="C12" i="1"/>
  <c r="B12" i="1"/>
  <c r="A12" i="1"/>
  <c r="S11" i="1"/>
  <c r="O11" i="1"/>
  <c r="K11" i="1"/>
  <c r="J11" i="1"/>
  <c r="I11" i="1"/>
  <c r="H11" i="1"/>
  <c r="G11" i="1"/>
  <c r="F11" i="1"/>
  <c r="E11" i="1"/>
  <c r="D11" i="1"/>
  <c r="C11" i="1"/>
  <c r="B11" i="1"/>
  <c r="A11" i="1"/>
  <c r="S10" i="1"/>
  <c r="O10" i="1"/>
  <c r="K10" i="1"/>
  <c r="J10" i="1"/>
  <c r="I10" i="1"/>
  <c r="H10" i="1"/>
  <c r="G10" i="1"/>
  <c r="F10" i="1"/>
  <c r="D10" i="1"/>
  <c r="C10" i="1"/>
  <c r="B10" i="1"/>
  <c r="A10" i="1"/>
  <c r="R9" i="1"/>
  <c r="J9" i="1"/>
  <c r="I9" i="1"/>
  <c r="G9" i="1"/>
  <c r="F9" i="1"/>
  <c r="E9" i="1"/>
  <c r="D9" i="1"/>
  <c r="C9" i="1"/>
  <c r="B9" i="1"/>
  <c r="A9" i="1"/>
  <c r="S8" i="1"/>
  <c r="O8" i="1"/>
  <c r="K8" i="1"/>
  <c r="J8" i="1"/>
  <c r="I8" i="1"/>
  <c r="H8" i="1"/>
  <c r="G8" i="1"/>
  <c r="F8" i="1"/>
  <c r="E8" i="1"/>
  <c r="D8" i="1"/>
  <c r="C8" i="1"/>
  <c r="B8" i="1"/>
  <c r="A8" i="1"/>
  <c r="R7" i="1"/>
  <c r="J7" i="1"/>
  <c r="I7" i="1"/>
  <c r="G7" i="1"/>
  <c r="F7" i="1"/>
  <c r="E7" i="1"/>
  <c r="D7" i="1"/>
  <c r="C7" i="1"/>
  <c r="B7" i="1"/>
  <c r="A7" i="1"/>
  <c r="S6" i="1"/>
  <c r="O6" i="1"/>
  <c r="K6" i="1"/>
  <c r="J6" i="1"/>
  <c r="I6" i="1"/>
  <c r="H6" i="1"/>
  <c r="G6" i="1"/>
  <c r="F6" i="1"/>
  <c r="E6" i="1"/>
  <c r="D6" i="1"/>
  <c r="C6" i="1"/>
  <c r="B6" i="1"/>
  <c r="A6" i="1"/>
  <c r="R5" i="1"/>
  <c r="J5" i="1"/>
  <c r="I5" i="1"/>
  <c r="G5" i="1"/>
  <c r="F5" i="1"/>
  <c r="E5" i="1"/>
  <c r="D5" i="1"/>
  <c r="C5" i="1"/>
  <c r="B5" i="1"/>
  <c r="A5" i="1"/>
  <c r="S4" i="1"/>
  <c r="O4" i="1"/>
  <c r="K4" i="1"/>
  <c r="J4" i="1"/>
  <c r="I4" i="1"/>
  <c r="H4" i="1"/>
  <c r="G4" i="1"/>
  <c r="F4" i="1"/>
  <c r="E4" i="1"/>
  <c r="D4" i="1"/>
  <c r="C4" i="1"/>
  <c r="B4" i="1"/>
  <c r="A4" i="1"/>
  <c r="R3" i="1"/>
  <c r="J3" i="1"/>
  <c r="I3" i="1"/>
  <c r="G3" i="1"/>
  <c r="F3" i="1"/>
  <c r="E3" i="1"/>
  <c r="D3" i="1"/>
  <c r="C3" i="1"/>
  <c r="B3" i="1"/>
  <c r="A3" i="1"/>
  <c r="S2" i="1"/>
  <c r="O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<sst xmlns="http://schemas.openxmlformats.org/spreadsheetml/2006/main" count="3045" uniqueCount="292">
  <si>
    <t>DATA MOVIMENTO</t>
  </si>
  <si>
    <t>ENTRADA/SAÍDA</t>
  </si>
  <si>
    <t>TIPO TÍTULO</t>
  </si>
  <si>
    <t>NÚMERO DOCTO</t>
  </si>
  <si>
    <t>PARC</t>
  </si>
  <si>
    <t>QUEM GEROU</t>
  </si>
  <si>
    <t>PARCEIROV (FARMÁCIA PAGADOR OU ENTREGADOR)</t>
  </si>
  <si>
    <t>REFERENTE</t>
  </si>
  <si>
    <t>VENCIMENTO</t>
  </si>
  <si>
    <t>EMISSÃO</t>
  </si>
  <si>
    <t>PAGAMENTO</t>
  </si>
  <si>
    <t>VALOR ORIGINAL</t>
  </si>
  <si>
    <t>VALOR PAGO / RECEBIDO</t>
  </si>
  <si>
    <t>CONTA</t>
  </si>
  <si>
    <t>PLANO DE CONTAS</t>
  </si>
  <si>
    <t>VALOR MOV.CONTA</t>
  </si>
  <si>
    <t>VALOR RATEADO PARA O PRESTADOR</t>
  </si>
  <si>
    <t>CENTRO DE CUSTO (FARMÁCIA PRESTADORA)</t>
  </si>
  <si>
    <t>BANCO / CAIXA</t>
  </si>
  <si>
    <t>REGISTRO MOVIMENTO</t>
  </si>
  <si>
    <t>REGISTRO COMPROMISSO</t>
  </si>
  <si>
    <t>BANCO</t>
  </si>
  <si>
    <t>BANCO CORA (102)</t>
  </si>
  <si>
    <t>MARKETING REDES SOCIAIS - PIX- CHAVE ALEATORIA: 1d5b84cc-db31-469d-b8ee-076ced54c3e9</t>
  </si>
  <si>
    <t>PUBLICIDADE E PROPAGANDAS</t>
  </si>
  <si>
    <t xml:space="preserve">DESPESAS LOCALIZA </t>
  </si>
  <si>
    <t>DESPESAS COM VIAGENS</t>
  </si>
  <si>
    <t>CONVENIO MEDICO SOCIOS E DEPENDENTES</t>
  </si>
  <si>
    <t>PLANOS E SEGUROS</t>
  </si>
  <si>
    <t>Serv.Prest. 17/11/2025 a 23/11/2025 - RPS: 1643 - NFSe: 3880</t>
  </si>
  <si>
    <t>RECEITAS COM ENTREGAS</t>
  </si>
  <si>
    <t>RECEITAS COM ENTREGAS (303)</t>
  </si>
  <si>
    <t>EQUIPAMENTOS DE INFORMATICA (130)</t>
  </si>
  <si>
    <t>TAXA BOLETO CORA</t>
  </si>
  <si>
    <t>IOF/JUROS/DESP.FINANCEIRA</t>
  </si>
  <si>
    <t>APLICAÇÃO BANCO A (121)</t>
  </si>
  <si>
    <t>BANCO SICREDI (131)</t>
  </si>
  <si>
    <t xml:space="preserve">SET UP INICIO DE OPERAÇÃO </t>
  </si>
  <si>
    <t>RECEITAS COM SETUP</t>
  </si>
  <si>
    <t>RECEITAS COM SETUP (117)</t>
  </si>
  <si>
    <t>Serv.Prest. 17/11/2025 a 23/11/2025 - RPS: 1673 - NFSe: 3910</t>
  </si>
  <si>
    <t>Serv.Prest. 17/11/2025 a 23/11/2025 - RPS: 1674 - NFSe: 3911</t>
  </si>
  <si>
    <t>Serv.Prest. 17/11/2025 a 23/11/2025 - RPS: 1675 - NFSe: 3912</t>
  </si>
  <si>
    <t>Serv.Prest. 10/11/2025 a 16/11/2025 - RPS: 1605 - NFSe: 3842</t>
  </si>
  <si>
    <t>Serv.Prest. 10/11/2025 a 16/11/2025 - RPS: 1606 - NFSe: 3843</t>
  </si>
  <si>
    <t>Serv.Prest. 10/11/2025 a 16/11/2025 - RPS: 1603 - NFSe: 3840</t>
  </si>
  <si>
    <t>Serv.Prest. 10/11/2025 a 16/11/2025 - RPS: 1604 - NFSe: 3841</t>
  </si>
  <si>
    <t>Serv.Prest. 10/11/2025 a 16/11/2025 - RPS: 1607 - NFSe: 3844</t>
  </si>
  <si>
    <t>Serv.Prest. 17/11/2025 a 23/11/2025 - RPS: 1679 - NFSe: 3916</t>
  </si>
  <si>
    <t>Serv.Prest. 17/11/2025 a 23/11/2025 - RPS: 1680 - NFSe: 3917</t>
  </si>
  <si>
    <t>Serv.Prest. 17/11/2025 a 23/11/2025 - RPS: 1681 - NFSe: 3918</t>
  </si>
  <si>
    <t>PLATAFORMA GOPRO</t>
  </si>
  <si>
    <t>SOFTWARE / LICENÇAS</t>
  </si>
  <si>
    <t>IOF/JUROS/DESP.FINANCEIRA (401)</t>
  </si>
  <si>
    <t>Serv.Prest. 24/11/2025 a 30/11/2025 - RPS: 1683 - NFSe: 3921</t>
  </si>
  <si>
    <t>Serv.Prest. 24/11/2025 a 30/11/2025 - RPS: 1684 - NFSe: 3922</t>
  </si>
  <si>
    <t>Serv.Prest. 24/11/2025 a 30/11/2025 - RPS: 1685 - NFSe: 3923</t>
  </si>
  <si>
    <t>Serv.Prest. 24/11/2025 a 30/11/2025 - RPS: 1690 - NFSe: 3928</t>
  </si>
  <si>
    <t>Serv.Prest. 24/11/2025 a 30/11/2025 - RPS: 1691 - NFSe: 3929</t>
  </si>
  <si>
    <t>Serv.Prest. 24/11/2025 a 30/11/2025 - RPS: 1692 - NFSe: 3930</t>
  </si>
  <si>
    <t>Serv.Prest. 24/11/2025 a 30/11/2025 - RPS: 1693 - NFSe: 3931</t>
  </si>
  <si>
    <t>Serv.Prest. 24/11/2025 a 30/11/2025 - RPS: 1694 - NFSe: 3932</t>
  </si>
  <si>
    <t>Serv.Prest. 24/11/2025 a 30/11/2025 - RPS: 1695 - NFSe: 3933</t>
  </si>
  <si>
    <t>Serv.Prest. 24/11/2025 a 30/11/2025 - RPS: 1696 - NFSe: 3934</t>
  </si>
  <si>
    <t>Serv.Prest. 24/11/2025 a 30/11/2025 - RPS: 1697 - NFSe: 3935</t>
  </si>
  <si>
    <t>Serv.Prest. 24/11/2025 a 30/11/2025 - RPS: 1698 - NFSe: 3936</t>
  </si>
  <si>
    <t>Serv.Prest. 24/11/2025 a 30/11/2025 - RPS: 1699 - NFSe: 3937</t>
  </si>
  <si>
    <t>Serv.Prest. 24/11/2025 a 30/11/2025 - RPS: 1700 - NFSe: 3938</t>
  </si>
  <si>
    <t>Serv.Prest. 24/11/2025 a 30/11/2025 - RPS: 1701 - NFSe: 3939</t>
  </si>
  <si>
    <t>Serv.Prest. 24/11/2025 a 30/11/2025 - RPS: 1703 - NFSe: 3941</t>
  </si>
  <si>
    <t>Serv.Prest. 24/11/2025 a 30/11/2025 - RPS: 1704 - NFSe: 3942</t>
  </si>
  <si>
    <t>Serv.Prest. 24/11/2025 a 30/11/2025 - RPS: 1705 - NFSe: 3943</t>
  </si>
  <si>
    <t>Serv.Prest. 24/11/2025 a 30/11/2025 - RPS: 1706 - NFSe: 3944</t>
  </si>
  <si>
    <t>Serv.Prest. 24/11/2025 a 30/11/2025 - RPS: 1707 - NFSe: 3945</t>
  </si>
  <si>
    <t>Serv.Prest. 24/11/2025 a 30/11/2025 - RPS: 1708 - NFSe: 3946</t>
  </si>
  <si>
    <t>Serv.Prest. 24/11/2025 a 30/11/2025 - RPS: 1709 - NFSe: 3947</t>
  </si>
  <si>
    <t>Serv.Prest. 24/11/2025 a 30/11/2025 - RPS: 1710 - NFSe: 3948</t>
  </si>
  <si>
    <t>Serv.Prest. 24/11/2025 a 30/11/2025 - RPS: 1711 - NFSe: 3949</t>
  </si>
  <si>
    <t>Serv.Prest. 24/11/2025 a 30/11/2025 - RPS: 1712 - NFSe: 3950</t>
  </si>
  <si>
    <t>Serv.Prest. 24/11/2025 a 30/11/2025 - RPS: 1713 - NFSe: 3951</t>
  </si>
  <si>
    <t>Serv.Prest. 24/11/2025 a 30/11/2025 - RPS: 1714 - NFSe: 3952</t>
  </si>
  <si>
    <t>Serv.Prest. 24/11/2025 a 30/11/2025 - RPS: 1715 - NFSe: 3953</t>
  </si>
  <si>
    <t>Serv.Prest. 24/11/2025 a 30/11/2025 - RPS: 1716 - NFSe: 3954</t>
  </si>
  <si>
    <t>Serv.Prest. 24/11/2025 a 30/11/2025 - RPS: 1717 - NFSe: 3955</t>
  </si>
  <si>
    <t>Serv.Prest. 24/11/2025 a 30/11/2025 - RPS: 1718 - NFSe: 3956</t>
  </si>
  <si>
    <t>Serv.Prest. 24/11/2025 a 30/11/2025 - RPS: 1719 - NFSe: 3957</t>
  </si>
  <si>
    <t>Serv.Prest. 24/11/2025 a 30/11/2025 - RPS: 1720 - NFSe: 3958</t>
  </si>
  <si>
    <t>Serv.Prest. 24/11/2025 a 30/11/2025 - RPS: 1727 - NFSe: 3965</t>
  </si>
  <si>
    <t>Serv.Prest. 24/11/2025 a 30/11/2025 - RPS: 1729 - NFSe: 3967</t>
  </si>
  <si>
    <t>DESPESAS COM EVENTOS (129)</t>
  </si>
  <si>
    <t>EMPRESTIMO FUI TECNOLOGIA</t>
  </si>
  <si>
    <t>EMPRESTIMOS</t>
  </si>
  <si>
    <t>REF. PRO-LABORE MES 07/2024</t>
  </si>
  <si>
    <t>PRO LABORE - LILIANE</t>
  </si>
  <si>
    <t>REF. PREST. SERVICO LILIANE</t>
  </si>
  <si>
    <t>PAGAMENTO DE FUNCIONÁRIOS</t>
  </si>
  <si>
    <t>PRO LABORE - MARCELO</t>
  </si>
  <si>
    <t>BONUS DE PRODUTIVIDADE 11/25</t>
  </si>
  <si>
    <t>DISTRIBUIÇÃO DE LUCROS</t>
  </si>
  <si>
    <t>DISTRIBUIÇÃO DE LUCRO</t>
  </si>
  <si>
    <t>Serv.Prest. 24/11/2025 a 30/11/2025 - RPS: 1687 - NFSe: 3925</t>
  </si>
  <si>
    <t>Serv.Prest. 24/11/2025 a 30/11/2025 - RPS: 1688 - NFSe: 3926</t>
  </si>
  <si>
    <t>Serv.Prest. 01/11/2025 a 30/11/2025 - RPS: 1726 - NFSe: 3964</t>
  </si>
  <si>
    <t>Serv.Prest. 24/11/2025 a 30/11/2025 - RPS: 1689 - NFSe: 3927</t>
  </si>
  <si>
    <t>DESPESAS COM TARIFAS BANCARIAS</t>
  </si>
  <si>
    <t>SEGURO DE VIDA SOCIOS</t>
  </si>
  <si>
    <t>REEMBOLSO - MENSALIDADE CANVA</t>
  </si>
  <si>
    <t>ASSINATURA CAPCUT</t>
  </si>
  <si>
    <t>Serv.Prest. 17/11/2025 a 23/11/2025 - RPS: 1636 - NFSe: 3873</t>
  </si>
  <si>
    <t>Serv.Prest. 17/11/2025 a 23/11/2025 - RPS: 1633 - NFSe: 3870</t>
  </si>
  <si>
    <t>Serv.Prest. 17/11/2025 a 23/11/2025 - RPS: 1632 - NFSe: 3869</t>
  </si>
  <si>
    <t>Serv.Prest. 17/11/2025 a 23/11/2025 - RPS: 1635 - NFSe: 3872</t>
  </si>
  <si>
    <t>Serv.Prest. 17/11/2025 a 23/11/2025 - RPS: 1634 - NFSe: 3871</t>
  </si>
  <si>
    <t>PLANO ODONTOLOGICO 12/2025</t>
  </si>
  <si>
    <t>Serv.Prest. 24/11/2025 a 30/11/2025 - RPS: 1686 - NFSe: 3924</t>
  </si>
  <si>
    <t>Serv.Prest. 24/11/2025 a 30/11/2025 - RPS: 1728 - NFSe: 3966</t>
  </si>
  <si>
    <t>Serv.Prest. 24/11/2025 a 30/11/2025 - RPS: 1730 - NFSe: 3968</t>
  </si>
  <si>
    <t>Serv.Prest. 24/11/2025 a 30/11/2025 - RPS: 1731 - NFSe: 3969</t>
  </si>
  <si>
    <t>Serv.Prest. 01/12/2025 a 07/12/2025 - RPS: 1773 - NFSe: 4011</t>
  </si>
  <si>
    <t>Serv.Prest. 24/11/2025 a 30/11/2025 - RPS: 1732 - NFSe: 3970</t>
  </si>
  <si>
    <t>Serv.Prest. 24/11/2025 a 30/11/2025 - RPS: 1733 - NFSe: 3971</t>
  </si>
  <si>
    <t>Serv.Prest. 24/11/2025 a 30/11/2025 - RPS: 1734 - NFSe: 3972</t>
  </si>
  <si>
    <t>Serv.Prest. 01/12/2025 a 07/12/2025 - RPS: 1736 - NFSe: 3974</t>
  </si>
  <si>
    <t>Serv.Prest. 01/12/2025 a 07/12/2025 - RPS: 1737 - NFSe: 3975</t>
  </si>
  <si>
    <t>Serv.Prest. 01/12/2025 a 07/12/2025 - RPS: 1738 - NFSe: 3976</t>
  </si>
  <si>
    <t>Serv.Prest. 01/12/2025 a 07/12/2025 - RPS: 1739 - NFSe: 3977</t>
  </si>
  <si>
    <t>Serv.Prest. 01/12/2025 a 07/12/2025 - RPS: 1740 - NFSe: 3978</t>
  </si>
  <si>
    <t>Serv.Prest. 01/12/2025 a 07/12/2025 - RPS: 1741 - NFSe: 3979</t>
  </si>
  <si>
    <t>Serv.Prest. 01/12/2025 a 07/12/2025 - RPS: 1742 - NFSe: 3980</t>
  </si>
  <si>
    <t>Serv.Prest. 01/12/2025 a 07/12/2025 - RPS: 1743 - NFSe: 3981</t>
  </si>
  <si>
    <t>Serv.Prest. 01/12/2025 a 07/12/2025 - RPS: 1745 - NFSe: 3983</t>
  </si>
  <si>
    <t>Serv.Prest. 01/12/2025 a 07/12/2025 - RPS: 1750 - NFSe: 3988</t>
  </si>
  <si>
    <t>Serv.Prest. 01/12/2025 a 07/12/2025 - RPS: 1752 - NFSe: 3990</t>
  </si>
  <si>
    <t>Serv.Prest. 01/12/2025 a 07/12/2025 - RPS: 1753 - NFSe: 3991</t>
  </si>
  <si>
    <t>Serv.Prest. 01/12/2025 a 07/12/2025 - RPS: 1754 - NFSe: 3992</t>
  </si>
  <si>
    <t>Serv.Prest. 01/12/2025 a 07/12/2025 - RPS: 1755 - NFSe: 3993</t>
  </si>
  <si>
    <t>Serv.Prest. 01/12/2025 a 07/12/2025 - RPS: 1756 - NFSe: 3994</t>
  </si>
  <si>
    <t>Serv.Prest. 01/12/2025 a 07/12/2025 - RPS: 1757 - NFSe: 3995</t>
  </si>
  <si>
    <t>Serv.Prest. 01/12/2025 a 07/12/2025 - RPS: 1758 - NFSe: 3996</t>
  </si>
  <si>
    <t>Serv.Prest. 01/12/2025 a 07/12/2025 - RPS: 1759 - NFSe: 3997</t>
  </si>
  <si>
    <t>Serv.Prest. 01/12/2025 a 07/12/2025 - RPS: 1760 - NFSe: 3998</t>
  </si>
  <si>
    <t>Serv.Prest. 01/12/2025 a 07/12/2025 - RPS: 1761 - NFSe: 3999</t>
  </si>
  <si>
    <t>Serv.Prest. 01/12/2025 a 07/12/2025 - RPS: 1762 - NFSe: 4000</t>
  </si>
  <si>
    <t>Serv.Prest. 01/12/2025 a 07/12/2025 - RPS: 1763 - NFSe: 4001</t>
  </si>
  <si>
    <t>Serv.Prest. 01/12/2025 a 07/12/2025 - RPS: 1764 - NFSe: 4002</t>
  </si>
  <si>
    <t>Serv.Prest. 01/12/2025 a 07/12/2025 - RPS: 1765 - NFSe: 4003</t>
  </si>
  <si>
    <t>Serv.Prest. 01/12/2025 a 07/12/2025 - RPS: 1766 - NFSe: 4004</t>
  </si>
  <si>
    <t>Serv.Prest. 01/12/2025 a 07/12/2025 - RPS: 1769 - NFSe: 4007</t>
  </si>
  <si>
    <t>Serv.Prest. 01/12/2025 a 07/12/2025 - RPS: 1770 - NFSe: 4008</t>
  </si>
  <si>
    <t>Serv.Prest. 01/12/2025 a 07/12/2025 - RPS: 1771 - NFSe: 4009</t>
  </si>
  <si>
    <t>Serv.Prest. 01/12/2025 a 07/12/2025 - RPS: 1774 - NFSe: 4012</t>
  </si>
  <si>
    <t>Serv.Prest. 01/12/2025 a 07/12/2025 - RPS: 1775 - NFSe: 4013</t>
  </si>
  <si>
    <t>Serv.Prest. 01/12/2025 a 07/12/2025 - RPS: 1776 - NFSe: 4014</t>
  </si>
  <si>
    <t>Serv.Prest. 01/12/2025 a 07/12/2025 - RPS: 1777 - NFSe: 4015</t>
  </si>
  <si>
    <t>Serv.Prest. 01/12/2025 a 07/12/2025 - RPS: 1778 - NFSe: 4016</t>
  </si>
  <si>
    <t>Serv.Prest. 01/12/2025 a 07/12/2025 - RPS: 1783 - NFSe: 4021</t>
  </si>
  <si>
    <t>MARKETING DIGITAL CHAVE PIX: 1d5b84cc-db31-469d-b8ee-076ced54c3e9</t>
  </si>
  <si>
    <t>Serv.Prest. 01/12/2025 a 07/12/2025 - RPS: 1744 - NFSe: 3982</t>
  </si>
  <si>
    <t>Serv.Prest. 01/12/2025 a 07/12/2025 - RPS: 1767 - NFSe: 4005</t>
  </si>
  <si>
    <t>Serv.Prest. 01/12/2025 a 07/12/2025 - RPS: 1768 - NFSe: 4006</t>
  </si>
  <si>
    <t>Serv.Prest. 01/12/2025 a 07/12/2025 - RPS: 1772 - NFSe: 4010</t>
  </si>
  <si>
    <t>ALUGUEL DE CARRO PARA VIAGEM LEME SP</t>
  </si>
  <si>
    <t xml:space="preserve">ALUGUEL DE CARRO PARA VIAGEM JUIZ DE FORA </t>
  </si>
  <si>
    <t>CAIXA - COOPERATIVA (120)</t>
  </si>
  <si>
    <t>DESPESAS COM VIAGEM SÃO PAULO</t>
  </si>
  <si>
    <t>Serv.Prest. 01/12/2025 a 07/12/2025 - RPS: 1782 - NFSe: 4020</t>
  </si>
  <si>
    <t>Serv.Prest. 01/12/2025 a 07/12/2025 - RPS: 1779 - NFSe: 4017</t>
  </si>
  <si>
    <t>Serv.Prest. 01/12/2025 a 07/12/2025 - RPS: 1780 - NFSe: 4018</t>
  </si>
  <si>
    <t>Serv.Prest. 01/12/2025 a 07/12/2025 - RPS: 1781 - NFSe: 4019</t>
  </si>
  <si>
    <t>Serv.Prest. 24/11/2025 a 30/11/2025 - RPS: 1725 - NFSe: 3963</t>
  </si>
  <si>
    <t>Serv.Prest. 24/11/2025 a 30/11/2025 - RPS: 1724 - NFSe: 3962</t>
  </si>
  <si>
    <t>Serv.Prest. 24/11/2025 a 30/11/2025 - RPS: 1723 - NFSe: 3961</t>
  </si>
  <si>
    <t>Serv.Prest. 24/11/2025 a 30/11/2025 - RPS: 1722 - NFSe: 3960</t>
  </si>
  <si>
    <t>Serv.Prest. 24/11/2025 a 30/11/2025 - RPS: 1721 - NFSe: 3959</t>
  </si>
  <si>
    <t>Serv.Prest. 08/12/2025 a 14/12/2025 - RPS: 1816 - NFSe: 4054</t>
  </si>
  <si>
    <t>Serv.Prest. 08/12/2025 a 14/12/2025 - RPS: 1820 - NFSe: 4058</t>
  </si>
  <si>
    <t>Serv.Prest. 01/12/2025 a 07/12/2025 - RPS: 1784 - NFSe: 4022</t>
  </si>
  <si>
    <t>Serv.Prest. 01/12/2025 a 07/12/2025 - RPS: 1785 - NFSe: 4023</t>
  </si>
  <si>
    <t>Serv.Prest. 01/12/2025 a 07/12/2025 - RPS: 1786 - NFSe: 4024</t>
  </si>
  <si>
    <t>Serv.Prest. 08/12/2025 a 14/12/2025 - RPS: 1787 - NFSe: 4025</t>
  </si>
  <si>
    <t>Serv.Prest. 08/12/2025 a 14/12/2025 - RPS: 1788 - NFSe: 4026</t>
  </si>
  <si>
    <t>Serv.Prest. 08/12/2025 a 14/12/2025 - RPS: 1789 - NFSe: 4027</t>
  </si>
  <si>
    <t>Serv.Prest. 08/12/2025 a 14/12/2025 - RPS: 1790 - NFSe: 4028</t>
  </si>
  <si>
    <t>Serv.Prest. 08/12/2025 a 14/12/2025 - RPS: 1791 - NFSe: 4029</t>
  </si>
  <si>
    <t>Serv.Prest. 08/12/2025 a 14/12/2025 - RPS: 1792 - NFSe: 4030</t>
  </si>
  <si>
    <t>Serv.Prest. 08/12/2025 a 14/12/2025 - RPS: 1793 - NFSe: 4031</t>
  </si>
  <si>
    <t>Serv.Prest. 08/12/2025 a 14/12/2025 - RPS: 1794 - NFSe: 4032</t>
  </si>
  <si>
    <t>Serv.Prest. 08/12/2025 a 14/12/2025 - RPS: 1795 - NFSe: 4033</t>
  </si>
  <si>
    <t>Serv.Prest. 08/12/2025 a 14/12/2025 - RPS: 1796 - NFSe: 4034</t>
  </si>
  <si>
    <t>Serv.Prest. 08/12/2025 a 14/12/2025 - RPS: 1797 - NFSe: 4035</t>
  </si>
  <si>
    <t>Serv.Prest. 08/12/2025 a 14/12/2025 - RPS: 1798 - NFSe: 4036</t>
  </si>
  <si>
    <t>Serv.Prest. 08/12/2025 a 14/12/2025 - RPS: 1799 - NFSe: 4037</t>
  </si>
  <si>
    <t>Serv.Prest. 08/12/2025 a 14/12/2025 - RPS: 1800 - NFSe: 4038</t>
  </si>
  <si>
    <t>Serv.Prest. 08/12/2025 a 14/12/2025 - RPS: 1801 - NFSe: 4039</t>
  </si>
  <si>
    <t>Serv.Prest. 08/12/2025 a 14/12/2025 - RPS: 1803 - NFSe: 4041</t>
  </si>
  <si>
    <t>Serv.Prest. 08/12/2025 a 14/12/2025 - RPS: 1804 - NFSe: 4042</t>
  </si>
  <si>
    <t>Serv.Prest. 08/12/2025 a 14/12/2025 - RPS: 1805 - NFSe: 4043</t>
  </si>
  <si>
    <t>Serv.Prest. 08/12/2025 a 14/12/2025 - RPS: 1806 - NFSe: 4044</t>
  </si>
  <si>
    <t>Serv.Prest. 08/12/2025 a 14/12/2025 - RPS: 1807 - NFSe: 4045</t>
  </si>
  <si>
    <t>Serv.Prest. 08/12/2025 a 14/12/2025 - RPS: 1808 - NFSe: 4046</t>
  </si>
  <si>
    <t>Serv.Prest. 08/12/2025 a 14/12/2025 - RPS: 1809 - NFSe: 4047</t>
  </si>
  <si>
    <t>Serv.Prest. 08/12/2025 a 14/12/2025 - RPS: 1810 - NFSe: 4048</t>
  </si>
  <si>
    <t>Serv.Prest. 08/12/2025 a 14/12/2025 - RPS: 1811 - NFSe: 4049</t>
  </si>
  <si>
    <t>Serv.Prest. 08/12/2025 a 14/12/2025 - RPS: 1814 - NFSe: 4052</t>
  </si>
  <si>
    <t>Serv.Prest. 08/12/2025 a 14/12/2025 - RPS: 1815 - NFSe: 4053</t>
  </si>
  <si>
    <t>Serv.Prest. 08/12/2025 a 14/12/2025 - RPS: 1818 - NFSe: 4056</t>
  </si>
  <si>
    <t>Serv.Prest. 08/12/2025 a 14/12/2025 - RPS: 1819 - NFSe: 4057</t>
  </si>
  <si>
    <t>Serv.Prest. 08/12/2025 a 14/12/2025 - RPS: 1821 - NFSe: 4059</t>
  </si>
  <si>
    <t>Serv.Prest. 08/12/2025 a 14/12/2025 - RPS: 1822 - NFSe: 4060</t>
  </si>
  <si>
    <t>Serv.Prest. 08/12/2025 a 14/12/2025 - RPS: 1824 - NFSe: 4062</t>
  </si>
  <si>
    <t>Serv.Prest. 08/12/2025 a 14/12/2025 - RPS: 1825 - NFSe: 4063</t>
  </si>
  <si>
    <t>Serv.Prest. 08/12/2025 a 14/12/2025 - RPS: 1826 - NFSe: 4064</t>
  </si>
  <si>
    <t>INSS SOBRE PROLABORE</t>
  </si>
  <si>
    <t>INSS - PRO-LABORE</t>
  </si>
  <si>
    <t>SERVIDOR FLUX FARMA PERIODO NOVEMBRO/25</t>
  </si>
  <si>
    <t>Serv.Prest. 08/12/2025 a 14/12/2025 - RPS: 1812 - NFSe: 4050</t>
  </si>
  <si>
    <t>Serv.Prest. 08/12/2025 a 14/12/2025 - RPS: 1813 - NFSe: 4051</t>
  </si>
  <si>
    <t>Serv.Prest. 08/12/2025 a 14/12/2025 - RPS: 1833 - NFSe: 4071</t>
  </si>
  <si>
    <t>SIMPLES NACIONAL MES 11/2025</t>
  </si>
  <si>
    <t>SIMPLES NACIONAL (DASN)</t>
  </si>
  <si>
    <t>OUTRAS DESPESAS / TAXAS (111)</t>
  </si>
  <si>
    <t>RENDIMENTOS APLICAÇOES (150)</t>
  </si>
  <si>
    <t xml:space="preserve">SESSÃO DE FOTOS PROFISSIONAIS </t>
  </si>
  <si>
    <t>Serv.Prest. 15/12/2025 a 21/12/2025 - RPS: 1872 - NFSe: 4110</t>
  </si>
  <si>
    <t>Serv.Prest. 01/12/2025 a 07/12/2025 - RPS: 1751 - NFSe: 3989</t>
  </si>
  <si>
    <t>Serv.Prest. 01/12/2025 a 07/12/2025 - RPS: 1747 - NFSe: 3985</t>
  </si>
  <si>
    <t>Serv.Prest. 01/12/2025 a 07/12/2025 - RPS: 1746 - NFSe: 3984</t>
  </si>
  <si>
    <t>Serv.Prest. 01/12/2025 a 07/12/2025 - RPS: 1749 - NFSe: 3987</t>
  </si>
  <si>
    <t>Serv.Prest. 01/12/2025 a 07/12/2025 - RPS: 1748 - NFSe: 3986</t>
  </si>
  <si>
    <t xml:space="preserve">DISTRIBUIÇÃO DE LUCROS ANUAL </t>
  </si>
  <si>
    <t>Serv.Prest. 08/12/2025 a 14/12/2025 - RPS: 1823 - NFSe: 4061</t>
  </si>
  <si>
    <t>COTA PATROCINIO - EXPOSITOR FARMACIA DO FUTURO</t>
  </si>
  <si>
    <t>Serv.Prest. 08/12/2025 a 14/12/2025 - RPS: 1831 - NFSe: 4069</t>
  </si>
  <si>
    <t>Serv.Prest. 08/12/2025 a 14/12/2025 - RPS: 1832 - NFSe: 4070</t>
  </si>
  <si>
    <t>Serv.Prest. 15/12/2025 a 21/12/2025 - RPS: 1836 - NFSe: 4074</t>
  </si>
  <si>
    <t>Serv.Prest. 15/12/2025 a 21/12/2025 - RPS: 1837 - NFSe: 4075</t>
  </si>
  <si>
    <t>Serv.Prest. 15/12/2025 a 21/12/2025 - RPS: 1838 - NFSe: 4076</t>
  </si>
  <si>
    <t>Serv.Prest. 15/12/2025 a 21/12/2025 - RPS: 1839 - NFSe: 4077</t>
  </si>
  <si>
    <t>Serv.Prest. 15/12/2025 a 21/12/2025 - RPS: 1840 - NFSe: 4078</t>
  </si>
  <si>
    <t>Serv.Prest. 15/12/2025 a 21/12/2025 - RPS: 1841 - NFSe: 4079</t>
  </si>
  <si>
    <t>Serv.Prest. 15/12/2025 a 21/12/2025 - RPS: 1842 - NFSe: 4080</t>
  </si>
  <si>
    <t>Serv.Prest. 15/12/2025 a 21/12/2025 - RPS: 1843 - NFSe: 4081</t>
  </si>
  <si>
    <t>Serv.Prest. 15/12/2025 a 21/12/2025 - RPS: 1844 - NFSe: 4082</t>
  </si>
  <si>
    <t>Serv.Prest. 15/12/2025 a 21/12/2025 - RPS: 1845 - NFSe: 4083</t>
  </si>
  <si>
    <t>Serv.Prest. 15/12/2025 a 21/12/2025 - RPS: 1846 - NFSe: 4084</t>
  </si>
  <si>
    <t>Serv.Prest. 15/12/2025 a 21/12/2025 - RPS: 1847 - NFSe: 4085</t>
  </si>
  <si>
    <t>Serv.Prest. 15/12/2025 a 21/12/2025 - RPS: 1848 - NFSe: 4086</t>
  </si>
  <si>
    <t>Serv.Prest. 15/12/2025 a 21/12/2025 - RPS: 1851 - NFSe: 4089</t>
  </si>
  <si>
    <t>Serv.Prest. 15/12/2025 a 21/12/2025 - RPS: 1852 - NFSe: 4090</t>
  </si>
  <si>
    <t>Serv.Prest. 15/12/2025 a 21/12/2025 - RPS: 1853 - NFSe: 4091</t>
  </si>
  <si>
    <t>Serv.Prest. 15/12/2025 a 21/12/2025 - RPS: 1856 - NFSe: 4094</t>
  </si>
  <si>
    <t>Serv.Prest. 15/12/2025 a 21/12/2025 - RPS: 1864 - NFSe: 4102</t>
  </si>
  <si>
    <t>Serv.Prest. 15/12/2025 a 21/12/2025 - RPS: 1865 - NFSe: 4103</t>
  </si>
  <si>
    <t>Serv.Prest. 15/12/2025 a 21/12/2025 - RPS: 1870 - NFSe: 4108</t>
  </si>
  <si>
    <t>Serv.Prest. 15/12/2025 a 21/12/2025 - RPS: 1871 - NFSe: 4109</t>
  </si>
  <si>
    <t>Serv.Prest. 15/12/2025 a 21/12/2025 - RPS: 1876 - NFSe: 4114</t>
  </si>
  <si>
    <t>Serv.Prest. 15/12/2025 a 21/12/2025 - RPS: 1835 - NFSe: 4073</t>
  </si>
  <si>
    <t>TAXA BOLETO CORA (23x1,7)</t>
  </si>
  <si>
    <t>Serv.Prest. 15/12/2025 a 21/12/2025 - RPS: 1834 - NFSe: 4072</t>
  </si>
  <si>
    <t>Serv.Prest. 08/12/2025 a 14/12/2025 - RPS: 1827 - NFSe: 4065</t>
  </si>
  <si>
    <t>Serv.Prest. 08/12/2025 a 14/12/2025 - RPS: 1828 - NFSe: 4066</t>
  </si>
  <si>
    <t>Serv.Prest. 08/12/2025 a 14/12/2025 - RPS: 1829 - NFSe: 4067</t>
  </si>
  <si>
    <t>Serv.Prest. 08/12/2025 a 14/12/2025 - RPS: 1830 - NFSe: 4068</t>
  </si>
  <si>
    <t>Serv.Prest. 15/12/2025 a 21/12/2025 - RPS: 1849 - NFSe: 4087</t>
  </si>
  <si>
    <t>Serv.Prest. 15/12/2025 a 21/12/2025 - RPS: 1857 - NFSe: 4095</t>
  </si>
  <si>
    <t>Serv.Prest. 15/12/2025 a 21/12/2025 - RPS: 1859 - NFSe: 4097</t>
  </si>
  <si>
    <t>Serv.Prest. 15/12/2025 a 21/12/2025 - RPS: 1861 - NFSe: 4099</t>
  </si>
  <si>
    <t>Serv.Prest. 15/12/2025 a 21/12/2025 - RPS: 1866 - NFSe: 4104</t>
  </si>
  <si>
    <t>Serv.Prest. 15/12/2025 a 21/12/2025 - RPS: 1867 - NFSe: 4105</t>
  </si>
  <si>
    <t>Serv.Prest. 15/12/2025 a 21/12/2025 - RPS: 1878 - NFSe: 4116</t>
  </si>
  <si>
    <t>Serv.Prest. 15/12/2025 a 21/12/2025 - RPS: 1858 - NFSe: 4096</t>
  </si>
  <si>
    <t>Serv.Prest. 15/12/2025 a 21/12/2025 - RPS: 1860 - NFSe: 4098</t>
  </si>
  <si>
    <t>Serv.Prest. 15/12/2025 a 21/12/2025 - RPS: 1855 - NFSe: 4093</t>
  </si>
  <si>
    <t>Serv.Prest. 15/12/2025 a 21/12/2025 - RPS: 1862 - NFSe: 4100</t>
  </si>
  <si>
    <t>Serv.Prest. 15/12/2025 a 21/12/2025 - RPS: 1850 - NFSe: 4088</t>
  </si>
  <si>
    <t>TAXA BOLETO CORA (16x1,7)</t>
  </si>
  <si>
    <t>Serv.Prest. 15/12/2025 a 21/12/2025 - RPS: 1869 - NFSe: 4107</t>
  </si>
  <si>
    <t>Serv.Prest. 22/12/2025 a 28/12/2025 - RPS: 1890 - NFSe: 4128</t>
  </si>
  <si>
    <t>Serv.Prest. 22/12/2025 a 28/12/2025 - RPS: 1918 - NFSe: 4156</t>
  </si>
  <si>
    <t>Serv.Prest. 22/12/2025 a 28/12/2025 - RPS: 1919 - NFSe: 4157</t>
  </si>
  <si>
    <t>Serv.Prest. 15/12/2025 a 21/12/2025 - RPS: 1854 - NFSe: 4092</t>
  </si>
  <si>
    <t>Serv.Prest. 22/12/2025 a 28/12/2025 - RPS: 1924 - NFSe: 4162</t>
  </si>
  <si>
    <t>Serv.Prest. 08/12/2025 a 14/12/2025 - RPS: 1802 - NFSe: 4040</t>
  </si>
  <si>
    <t>TAXA BOLETO CORA (3x1,7)</t>
  </si>
  <si>
    <t>Serv.Prest. 22/12/2025 a 28/12/2025 - RPS: 1891 - NFSe: 4129</t>
  </si>
  <si>
    <t>Serv.Prest. 22/12/2025 a 28/12/2025 - RPS: 1912 - NFSe: 4150</t>
  </si>
  <si>
    <t>Serv.Prest. 22/12/2025 a 28/12/2025 - RPS: 1913 - NFSe: 4151</t>
  </si>
  <si>
    <t>Serv.Prest. 22/12/2025 a 28/12/2025 - RPS: 1914 - NFSe: 4152</t>
  </si>
  <si>
    <t>Serv.Prest. 22/12/2025 a 28/12/2025 - RPS: 1895 - NFSe: 4133</t>
  </si>
  <si>
    <t>Serv.Prest. 22/12/2025 a 28/12/2025 - RPS: 1896 - NFSe: 4134</t>
  </si>
  <si>
    <t>TAXA BOLETO CORA (6x1,7)</t>
  </si>
  <si>
    <t>DESPESAS COM LOCACAO VEICULO 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</si>
</sst>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2"/>
  <sheetViews>
    <sheetView tabSelected="1" topLeftCell="A948" workbookViewId="0">
      <pane activePane="bottomRight" state="frozen"/>
      <selection activeCell="P1" sqref="P1"/>
    </sheetView>
  </sheetViews>
  <sheetFormatPr defaultColWidth="8.88671875" defaultRowHeight="13.8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tr">
        <f t="shared" ref="A2:A16" si="0">("01/12/2025")</f>
        <v>01/12/2025</v>
      </c>
      <c r="B2" t="str">
        <f t="shared" ref="B2:B7" si="1">"SAÍDA"</f>
        <v>SAÍDA</v>
      </c>
      <c r="C2" t="str">
        <f>"PIX"</f>
        <v>PIX</v>
      </c>
      <c r="D2" t="str">
        <f>"1509251000"</f>
        <v>1509251000</v>
      </c>
      <c r="E2" t="str">
        <f>"2"</f>
        <v>2</v>
      </c>
      <c r="F2" t="str">
        <f t="shared" ref="F2:F9" si="2">"COM"</f>
        <v>COM</v>
      </c>
      <c r="G2" t="str">
        <f>"CONTA SIMPLES SOLUCOES DE PAGAMENTOS LTDA (20019)"</f>
        <v>CONTA SIMPLES SOLUCOES DE PAGAMENTOS LTDA (20019)</v>
      </c>
      <c r="H2" t="str">
        <f>"MARKETING REDES SOCIAIS - PIX- CHAVE ALEATORIA: 1d5b84cc-db31-469d-b8ee-076ced54c3e9"</f>
        <v>MARKETING REDES SOCIAIS - PIX- CHAVE ALEATORIA: 1d5b84cc-db31-469d-b8ee-076ced54c3e9</v>
      </c>
      <c r="I2" t="str">
        <f t="shared" ref="I2:I7" si="3">("01/12/2025")</f>
        <v>01/12/2025</v>
      </c>
      <c r="J2" t="str">
        <f>("15/09/2025")</f>
        <v>15/09/2025</v>
      </c>
      <c r="K2" t="str">
        <f>("01/12/2025")</f>
        <v>01/12/2025</v>
      </c>
      <c r="L2">
        <v>1500</v>
      </c>
      <c r="M2">
        <v>1500</v>
      </c>
      <c r="N2">
        <v>127</v>
      </c>
      <c r="O2" t="str">
        <f>"PUBLICIDADE E PROPAGANDAS"</f>
        <v>PUBLICIDADE E PROPAGANDAS</v>
      </c>
      <c r="P2">
        <v>1500</v>
      </c>
      <c r="S2" t="str">
        <f>"BANCO CORA (102)"</f>
        <v>BANCO CORA (102)</v>
      </c>
      <c r="T2">
        <v>3209</v>
      </c>
      <c r="U2">
        <v>2834</v>
      </c>
      <c r="V2" t="s">
        <v>22</v>
      </c>
    </row>
    <row r="3" spans="1:22">
      <c r="A3" t="str">
        <f t="shared" si="0"/>
        <v>01/12/2025</v>
      </c>
      <c r="B3" t="str">
        <f t="shared" si="1"/>
        <v>SAÍDA</v>
      </c>
      <c r="C3" t="str">
        <f>"PIX"</f>
        <v>PIX</v>
      </c>
      <c r="D3" t="str">
        <f>"1509251000"</f>
        <v>1509251000</v>
      </c>
      <c r="E3" t="str">
        <f>"2"</f>
        <v>2</v>
      </c>
      <c r="F3" t="str">
        <f t="shared" si="2"/>
        <v>COM</v>
      </c>
      <c r="G3" t="str">
        <f>"CONTA SIMPLES SOLUCOES DE PAGAMENTOS LTDA (20019)"</f>
        <v>CONTA SIMPLES SOLUCOES DE PAGAMENTOS LTDA (20019)</v>
      </c>
      <c r="H3" t="s">
        <v>23</v>
      </c>
      <c r="I3" t="str">
        <f t="shared" si="3"/>
        <v>01/12/2025</v>
      </c>
      <c r="J3" t="str">
        <f>("15/09/2025")</f>
        <v>15/09/2025</v>
      </c>
      <c r="K3">
        <v>45992</v>
      </c>
      <c r="N3">
        <v>127</v>
      </c>
      <c r="O3" t="s">
        <v>24</v>
      </c>
      <c r="Q3">
        <v>1500</v>
      </c>
      <c r="R3" t="str">
        <f>"CONTA SIMPLES SOLUCOES DE PAGAMENTOS LTDA (20019)"</f>
        <v>CONTA SIMPLES SOLUCOES DE PAGAMENTOS LTDA (20019)</v>
      </c>
      <c r="S3" t="s">
        <v>22</v>
      </c>
      <c r="T3">
        <v>3209</v>
      </c>
      <c r="U3">
        <v>2834</v>
      </c>
      <c r="V3" t="s">
        <v>22</v>
      </c>
    </row>
    <row r="4" spans="1:22">
      <c r="A4" t="str">
        <f t="shared" si="0"/>
        <v>01/12/2025</v>
      </c>
      <c r="B4" t="str">
        <f t="shared" si="1"/>
        <v>SAÍDA</v>
      </c>
      <c r="C4" t="str">
        <f>"PIX"</f>
        <v>PIX</v>
      </c>
      <c r="D4" t="str">
        <f>"01122025"</f>
        <v>01122025</v>
      </c>
      <c r="E4" t="str">
        <f>""</f>
        <v/>
      </c>
      <c r="F4" t="str">
        <f t="shared" si="2"/>
        <v>COM</v>
      </c>
      <c r="G4" t="str">
        <f>"LILIANE DE FATIMA REZENDE JUSTINO (20013)"</f>
        <v>LILIANE DE FATIMA REZENDE JUSTINO (20013)</v>
      </c>
      <c r="H4" t="str">
        <f>"DESPESAS LOCALIZA "</f>
        <v xml:space="preserve">DESPESAS LOCALIZA </v>
      </c>
      <c r="I4" t="str">
        <f t="shared" si="3"/>
        <v>01/12/2025</v>
      </c>
      <c r="J4" t="str">
        <f>("01/12/2025")</f>
        <v>01/12/2025</v>
      </c>
      <c r="K4" t="str">
        <f>("01/12/2025")</f>
        <v>01/12/2025</v>
      </c>
      <c r="L4">
        <v>639.1</v>
      </c>
      <c r="M4">
        <v>639.1</v>
      </c>
      <c r="N4">
        <v>128</v>
      </c>
      <c r="O4" t="str">
        <f>"DESPESAS COM VIAGENS"</f>
        <v>DESPESAS COM VIAGENS</v>
      </c>
      <c r="P4">
        <v>639.1</v>
      </c>
      <c r="S4" t="str">
        <f>"BANCO CORA (102)"</f>
        <v>BANCO CORA (102)</v>
      </c>
      <c r="T4">
        <v>3210</v>
      </c>
      <c r="U4">
        <v>2835</v>
      </c>
      <c r="V4" t="s">
        <v>22</v>
      </c>
    </row>
    <row r="5" spans="1:22">
      <c r="A5" t="str">
        <f t="shared" si="0"/>
        <v>01/12/2025</v>
      </c>
      <c r="B5" t="str">
        <f t="shared" si="1"/>
        <v>SAÍDA</v>
      </c>
      <c r="C5" t="str">
        <f>"PIX"</f>
        <v>PIX</v>
      </c>
      <c r="D5" t="str">
        <f>"01122025"</f>
        <v>01122025</v>
      </c>
      <c r="E5" t="str">
        <f>""</f>
        <v/>
      </c>
      <c r="F5" t="str">
        <f t="shared" si="2"/>
        <v>COM</v>
      </c>
      <c r="G5" t="str">
        <f>"LILIANE DE FATIMA REZENDE JUSTINO (20013)"</f>
        <v>LILIANE DE FATIMA REZENDE JUSTINO (20013)</v>
      </c>
      <c r="H5" t="s">
        <v>25</v>
      </c>
      <c r="I5" t="str">
        <f t="shared" si="3"/>
        <v>01/12/2025</v>
      </c>
      <c r="J5" t="str">
        <f>("01/12/2025")</f>
        <v>01/12/2025</v>
      </c>
      <c r="K5">
        <v>45992</v>
      </c>
      <c r="N5">
        <v>128</v>
      </c>
      <c r="O5" t="s">
        <v>26</v>
      </c>
      <c r="Q5">
        <v>639.1</v>
      </c>
      <c r="R5" t="str">
        <f>"LILIANE DE FATIMA REZENDE JUSTINO (20013)"</f>
        <v>LILIANE DE FATIMA REZENDE JUSTINO (20013)</v>
      </c>
      <c r="S5" t="s">
        <v>22</v>
      </c>
      <c r="T5">
        <v>3210</v>
      </c>
      <c r="U5">
        <v>2835</v>
      </c>
      <c r="V5" t="s">
        <v>22</v>
      </c>
    </row>
    <row r="6" spans="1:22">
      <c r="A6" t="str">
        <f t="shared" si="0"/>
        <v>01/12/2025</v>
      </c>
      <c r="B6" t="str">
        <f t="shared" si="1"/>
        <v>SAÍDA</v>
      </c>
      <c r="C6" t="str">
        <f>"BOLETO"</f>
        <v>BOLETO</v>
      </c>
      <c r="D6" t="str">
        <f>"19983"</f>
        <v>19983</v>
      </c>
      <c r="E6" t="str">
        <f>"9"</f>
        <v>9</v>
      </c>
      <c r="F6" t="str">
        <f t="shared" si="2"/>
        <v>COM</v>
      </c>
      <c r="G6" t="str">
        <f>"SUL AMERICA COMPANHIA DE SEGURO SAUDE (20080)"</f>
        <v>SUL AMERICA COMPANHIA DE SEGURO SAUDE (20080)</v>
      </c>
      <c r="H6" t="str">
        <f>"CONVENIO MEDICO SOCIOS E DEPENDENTES"</f>
        <v>CONVENIO MEDICO SOCIOS E DEPENDENTES</v>
      </c>
      <c r="I6" t="str">
        <f t="shared" si="3"/>
        <v>01/12/2025</v>
      </c>
      <c r="J6" t="str">
        <f>("11/11/2025")</f>
        <v>11/11/2025</v>
      </c>
      <c r="K6" t="str">
        <f>("01/12/2025")</f>
        <v>01/12/2025</v>
      </c>
      <c r="L6">
        <v>2816.02</v>
      </c>
      <c r="M6">
        <v>2816.02</v>
      </c>
      <c r="N6">
        <v>192</v>
      </c>
      <c r="O6" t="str">
        <f>"PLANOS E SEGUROS"</f>
        <v>PLANOS E SEGUROS</v>
      </c>
      <c r="P6">
        <v>2816.02</v>
      </c>
      <c r="S6" t="str">
        <f>"BANCO CORA (102)"</f>
        <v>BANCO CORA (102)</v>
      </c>
      <c r="T6">
        <v>3211</v>
      </c>
      <c r="U6">
        <v>2212</v>
      </c>
      <c r="V6" t="s">
        <v>22</v>
      </c>
    </row>
    <row r="7" spans="1:22">
      <c r="A7" t="str">
        <f t="shared" si="0"/>
        <v>01/12/2025</v>
      </c>
      <c r="B7" t="str">
        <f t="shared" si="1"/>
        <v>SAÍDA</v>
      </c>
      <c r="C7" t="str">
        <f>"BOLETO"</f>
        <v>BOLETO</v>
      </c>
      <c r="D7" t="str">
        <f>"19983"</f>
        <v>19983</v>
      </c>
      <c r="E7" t="str">
        <f>"9"</f>
        <v>9</v>
      </c>
      <c r="F7" t="str">
        <f t="shared" si="2"/>
        <v>COM</v>
      </c>
      <c r="G7" t="str">
        <f>"SUL AMERICA COMPANHIA DE SEGURO SAUDE (20080)"</f>
        <v>SUL AMERICA COMPANHIA DE SEGURO SAUDE (20080)</v>
      </c>
      <c r="H7" t="s">
        <v>27</v>
      </c>
      <c r="I7" t="str">
        <f t="shared" si="3"/>
        <v>01/12/2025</v>
      </c>
      <c r="J7" t="str">
        <f>("11/11/2025")</f>
        <v>11/11/2025</v>
      </c>
      <c r="K7">
        <v>45992</v>
      </c>
      <c r="N7">
        <v>192</v>
      </c>
      <c r="O7" t="s">
        <v>28</v>
      </c>
      <c r="Q7">
        <v>2816.02</v>
      </c>
      <c r="R7" t="str">
        <f>"SUL AMERICA COMPANHIA DE SEGURO SAUDE (20080)"</f>
        <v>SUL AMERICA COMPANHIA DE SEGURO SAUDE (20080)</v>
      </c>
      <c r="S7" t="s">
        <v>22</v>
      </c>
      <c r="T7">
        <v>3211</v>
      </c>
      <c r="U7">
        <v>2212</v>
      </c>
      <c r="V7" t="s">
        <v>22</v>
      </c>
    </row>
    <row r="8" spans="1:22">
      <c r="A8" t="str">
        <f t="shared" si="0"/>
        <v>01/12/2025</v>
      </c>
      <c r="B8" t="str">
        <f>"ENTRADA"</f>
        <v>ENTRADA</v>
      </c>
      <c r="C8" t="str">
        <f>"NFSE"</f>
        <v>NFSE</v>
      </c>
      <c r="D8" t="str">
        <f>"3880"</f>
        <v>3880</v>
      </c>
      <c r="E8" t="str">
        <f>"1"</f>
        <v>1</v>
      </c>
      <c r="F8" t="str">
        <f t="shared" si="2"/>
        <v>COM</v>
      </c>
      <c r="G8" t="str">
        <f>"DROGARIA VAZ (10179)"</f>
        <v>DROGARIA VAZ (10179)</v>
      </c>
      <c r="H8" t="str">
        <f>"Serv.Prest. 17/11/2025 a 23/11/2025 - RPS: 1643 - NFSe: 3880"</f>
        <v>Serv.Prest. 17/11/2025 a 23/11/2025 - RPS: 1643 - NFSe: 3880</v>
      </c>
      <c r="I8" t="str">
        <f>("26/11/2025")</f>
        <v>26/11/2025</v>
      </c>
      <c r="J8" t="str">
        <f>("24/11/2025")</f>
        <v>24/11/2025</v>
      </c>
      <c r="K8" t="str">
        <f>("01/12/2025")</f>
        <v>01/12/2025</v>
      </c>
      <c r="L8">
        <v>221.35</v>
      </c>
      <c r="M8">
        <v>226.13</v>
      </c>
      <c r="N8">
        <v>303</v>
      </c>
      <c r="O8" t="str">
        <f>"RECEITAS COM ENTREGAS"</f>
        <v>RECEITAS COM ENTREGAS</v>
      </c>
      <c r="P8">
        <v>226.13</v>
      </c>
      <c r="S8" t="str">
        <f>"RECEITAS COM ENTREGAS (303)"</f>
        <v>RECEITAS COM ENTREGAS (303)</v>
      </c>
      <c r="T8">
        <v>3426</v>
      </c>
      <c r="U8">
        <v>2791</v>
      </c>
      <c r="V8" t="s">
        <v>22</v>
      </c>
    </row>
    <row r="9" spans="1:22">
      <c r="A9" t="str">
        <f t="shared" si="0"/>
        <v>01/12/2025</v>
      </c>
      <c r="B9" t="str">
        <f>"ENTRADA"</f>
        <v>ENTRADA</v>
      </c>
      <c r="C9" t="str">
        <f>"NFSE"</f>
        <v>NFSE</v>
      </c>
      <c r="D9" t="str">
        <f>"3880"</f>
        <v>3880</v>
      </c>
      <c r="E9" t="str">
        <f>"1"</f>
        <v>1</v>
      </c>
      <c r="F9" t="str">
        <f t="shared" si="2"/>
        <v>COM</v>
      </c>
      <c r="G9" t="str">
        <f>"DROGARIA VAZ (10179)"</f>
        <v>DROGARIA VAZ (10179)</v>
      </c>
      <c r="H9" t="s">
        <v>29</v>
      </c>
      <c r="I9" t="str">
        <f>("26/11/2025")</f>
        <v>26/11/2025</v>
      </c>
      <c r="J9" t="str">
        <f>("24/11/2025")</f>
        <v>24/11/2025</v>
      </c>
      <c r="K9">
        <v>45992</v>
      </c>
      <c r="N9">
        <v>303</v>
      </c>
      <c r="O9" t="s">
        <v>30</v>
      </c>
      <c r="Q9">
        <v>226.13</v>
      </c>
      <c r="R9" t="str">
        <f>"DROGARIA VAZ (10179)"</f>
        <v>DROGARIA VAZ (10179)</v>
      </c>
      <c r="S9" t="s">
        <v>31</v>
      </c>
      <c r="T9">
        <v>3426</v>
      </c>
      <c r="U9">
        <v>2791</v>
      </c>
      <c r="V9" t="s">
        <v>22</v>
      </c>
    </row>
    <row r="10" spans="1:22">
      <c r="A10" t="str">
        <f t="shared" si="0"/>
        <v>01/12/2025</v>
      </c>
      <c r="B10" t="str">
        <f>"SAÍDA"</f>
        <v>SAÍDA</v>
      </c>
      <c r="C10" t="str">
        <f>""</f>
        <v/>
      </c>
      <c r="D10" t="str">
        <f>""</f>
        <v/>
      </c>
      <c r="F10" t="str">
        <f>"CXA"</f>
        <v>CXA</v>
      </c>
      <c r="G10" t="str">
        <f>""</f>
        <v/>
      </c>
      <c r="H10" t="str">
        <f>"COMPRA MACBOOK"</f>
        <v>COMPRA MACBOOK</v>
      </c>
      <c r="I10" t="str">
        <f>("01/12/2025")</f>
        <v>01/12/2025</v>
      </c>
      <c r="J10" t="str">
        <f>("01/12/2025")</f>
        <v>01/12/2025</v>
      </c>
      <c r="K10" t="str">
        <f>("01/12/2025")</f>
        <v>01/12/2025</v>
      </c>
      <c r="L10">
        <v>4200</v>
      </c>
      <c r="M10">
        <v>4200</v>
      </c>
      <c r="N10">
        <v>130</v>
      </c>
      <c r="O10" t="str">
        <f>"EQUIPAMENTOS DE INFORMATICA"</f>
        <v>EQUIPAMENTOS DE INFORMATICA</v>
      </c>
      <c r="P10">
        <v>4200</v>
      </c>
      <c r="S10" t="str">
        <f>"BANCO CORA (102)"</f>
        <v>BANCO CORA (102)</v>
      </c>
      <c r="T10">
        <v>3427</v>
      </c>
      <c r="U10">
        <v>0</v>
      </c>
      <c r="V10" t="s">
        <v>32</v>
      </c>
    </row>
    <row r="11" spans="1:22">
      <c r="A11" t="str">
        <f t="shared" si="0"/>
        <v>01/12/2025</v>
      </c>
      <c r="B11" t="str">
        <f>"SAÍDA"</f>
        <v>SAÍDA</v>
      </c>
      <c r="C11" t="str">
        <f>"BOLETO"</f>
        <v>BOLETO</v>
      </c>
      <c r="D11" t="str">
        <f>"011125"</f>
        <v>011125</v>
      </c>
      <c r="E11" t="str">
        <f>"2"</f>
        <v>2</v>
      </c>
      <c r="F11" t="str">
        <f>"COM"</f>
        <v>COM</v>
      </c>
      <c r="G11" t="str">
        <f>"CORA SOCIEDADE DE CREDITO, FINANCIAMENTO E INVESTIMENTO (20035)"</f>
        <v>CORA SOCIEDADE DE CREDITO, FINANCIAMENTO E INVESTIMENTO (20035)</v>
      </c>
      <c r="H11" t="str">
        <f>"TAXA BOLETO CORA"</f>
        <v>TAXA BOLETO CORA</v>
      </c>
      <c r="I11" t="str">
        <f t="shared" ref="I11:I16" si="4">("01/12/2025")</f>
        <v>01/12/2025</v>
      </c>
      <c r="J11" t="str">
        <f>("01/11/2025")</f>
        <v>01/11/2025</v>
      </c>
      <c r="K11" t="str">
        <f>("01/12/2025")</f>
        <v>01/12/2025</v>
      </c>
      <c r="L11">
        <v>0.5</v>
      </c>
      <c r="M11">
        <v>0.5</v>
      </c>
      <c r="N11">
        <v>401</v>
      </c>
      <c r="O11" t="str">
        <f>"IOF/JUROS/DESP.FINANCEIRA"</f>
        <v>IOF/JUROS/DESP.FINANCEIRA</v>
      </c>
      <c r="P11">
        <v>0.5</v>
      </c>
      <c r="S11" t="str">
        <f>"BANCO CORA (102)"</f>
        <v>BANCO CORA (102)</v>
      </c>
      <c r="T11">
        <v>3428</v>
      </c>
      <c r="U11">
        <v>2979</v>
      </c>
      <c r="V11" t="s">
        <v>22</v>
      </c>
    </row>
    <row r="12" spans="1:22">
      <c r="A12" t="str">
        <f t="shared" si="0"/>
        <v>01/12/2025</v>
      </c>
      <c r="B12" t="str">
        <f>"SAÍDA"</f>
        <v>SAÍDA</v>
      </c>
      <c r="C12" t="str">
        <f>"BOLETO"</f>
        <v>BOLETO</v>
      </c>
      <c r="D12" t="str">
        <f>"011125"</f>
        <v>011125</v>
      </c>
      <c r="E12" t="str">
        <f>"2"</f>
        <v>2</v>
      </c>
      <c r="F12" t="str">
        <f>"COM"</f>
        <v>COM</v>
      </c>
      <c r="G12" t="str">
        <f>"CORA SOCIEDADE DE CREDITO, FINANCIAMENTO E INVESTIMENTO (20035)"</f>
        <v>CORA SOCIEDADE DE CREDITO, FINANCIAMENTO E INVESTIMENTO (20035)</v>
      </c>
      <c r="H12" t="s">
        <v>33</v>
      </c>
      <c r="I12" t="str">
        <f t="shared" si="4"/>
        <v>01/12/2025</v>
      </c>
      <c r="J12" t="str">
        <f>("01/11/2025")</f>
        <v>01/11/2025</v>
      </c>
      <c r="K12">
        <v>45992</v>
      </c>
      <c r="N12">
        <v>401</v>
      </c>
      <c r="O12" t="s">
        <v>34</v>
      </c>
      <c r="Q12">
        <v>0.5</v>
      </c>
      <c r="R12" t="str">
        <f>"CORA SOCIEDADE DE CREDITO, FINANCIAMENTO E INVESTIMENTO (20035)"</f>
        <v>CORA SOCIEDADE DE CREDITO, FINANCIAMENTO E INVESTIMENTO (20035)</v>
      </c>
      <c r="S12" t="s">
        <v>22</v>
      </c>
      <c r="T12">
        <v>3428</v>
      </c>
      <c r="U12">
        <v>2979</v>
      </c>
      <c r="V12" t="s">
        <v>22</v>
      </c>
    </row>
    <row r="13" spans="1:22">
      <c r="A13" t="str">
        <f t="shared" si="0"/>
        <v>01/12/2025</v>
      </c>
      <c r="B13" t="str">
        <f>"ENTRADA"</f>
        <v>ENTRADA</v>
      </c>
      <c r="C13" t="str">
        <f>"APLICACAO"</f>
        <v>APLICACAO</v>
      </c>
      <c r="D13" t="str">
        <f>""</f>
        <v/>
      </c>
      <c r="F13" t="str">
        <f>"APL"</f>
        <v>APL</v>
      </c>
      <c r="G13" t="str">
        <f>""</f>
        <v/>
      </c>
      <c r="H13" t="str">
        <f>"APLICAÇÃO FINANCEIRA BANCO SICREDI "</f>
        <v xml:space="preserve">APLICAÇÃO FINANCEIRA BANCO SICREDI </v>
      </c>
      <c r="I13" t="str">
        <f t="shared" si="4"/>
        <v>01/12/2025</v>
      </c>
      <c r="J13" t="str">
        <f t="shared" ref="J13:K15" si="5">("01/12/2025")</f>
        <v>01/12/2025</v>
      </c>
      <c r="K13" t="str">
        <f t="shared" si="5"/>
        <v>01/12/2025</v>
      </c>
      <c r="N13">
        <v>121</v>
      </c>
      <c r="O13" t="str">
        <f>"APLICAÇÃO BANCO A"</f>
        <v>APLICAÇÃO BANCO A</v>
      </c>
      <c r="P13">
        <v>199940</v>
      </c>
      <c r="S13" t="str">
        <f>"APLICAÇÃO BANCO A (121)"</f>
        <v>APLICAÇÃO BANCO A (121)</v>
      </c>
      <c r="T13">
        <v>3550</v>
      </c>
      <c r="U13">
        <v>0</v>
      </c>
      <c r="V13" t="s">
        <v>35</v>
      </c>
    </row>
    <row r="14" spans="1:22">
      <c r="A14" t="str">
        <f t="shared" si="0"/>
        <v>01/12/2025</v>
      </c>
      <c r="B14" t="str">
        <f>"SAÍDA"</f>
        <v>SAÍDA</v>
      </c>
      <c r="C14" t="str">
        <f>"APLICACAO"</f>
        <v>APLICACAO</v>
      </c>
      <c r="D14" t="str">
        <f>""</f>
        <v/>
      </c>
      <c r="F14" t="str">
        <f>"APL"</f>
        <v>APL</v>
      </c>
      <c r="G14" t="str">
        <f>""</f>
        <v/>
      </c>
      <c r="H14" t="str">
        <f>"APLICAÇÃO FINANCEIRA BANCO SICREDI "</f>
        <v xml:space="preserve">APLICAÇÃO FINANCEIRA BANCO SICREDI </v>
      </c>
      <c r="I14" t="str">
        <f t="shared" si="4"/>
        <v>01/12/2025</v>
      </c>
      <c r="J14" t="str">
        <f t="shared" si="5"/>
        <v>01/12/2025</v>
      </c>
      <c r="K14" t="str">
        <f t="shared" si="5"/>
        <v>01/12/2025</v>
      </c>
      <c r="N14">
        <v>131</v>
      </c>
      <c r="O14" t="str">
        <f>"BANCO SICREDI"</f>
        <v>BANCO SICREDI</v>
      </c>
      <c r="S14" t="str">
        <f>"BANCO SICREDI (131)"</f>
        <v>BANCO SICREDI (131)</v>
      </c>
      <c r="T14">
        <v>3550</v>
      </c>
      <c r="U14">
        <v>0</v>
      </c>
      <c r="V14" t="s">
        <v>36</v>
      </c>
    </row>
    <row r="15" spans="1:22">
      <c r="A15" t="str">
        <f t="shared" si="0"/>
        <v>01/12/2025</v>
      </c>
      <c r="B15" t="str">
        <f t="shared" ref="B15:B46" si="6">"ENTRADA"</f>
        <v>ENTRADA</v>
      </c>
      <c r="C15" t="str">
        <f>"BOLETO"</f>
        <v>BOLETO</v>
      </c>
      <c r="D15" t="str">
        <f>"01122025"</f>
        <v>01122025</v>
      </c>
      <c r="E15" t="str">
        <f t="shared" ref="E15:E46" si="7">"1"</f>
        <v>1</v>
      </c>
      <c r="F15" t="str">
        <f t="shared" ref="F15:F46" si="8">"COM"</f>
        <v>COM</v>
      </c>
      <c r="G15" t="str">
        <f>"S &amp; M BELLESE LTDA (10279)"</f>
        <v>S &amp; M BELLESE LTDA (10279)</v>
      </c>
      <c r="H15" t="str">
        <f>"SET UP INICIO DE OPERAÇÃO "</f>
        <v xml:space="preserve">SET UP INICIO DE OPERAÇÃO </v>
      </c>
      <c r="I15" t="str">
        <f t="shared" si="4"/>
        <v>01/12/2025</v>
      </c>
      <c r="J15" t="str">
        <f t="shared" si="5"/>
        <v>01/12/2025</v>
      </c>
      <c r="K15" t="str">
        <f t="shared" si="5"/>
        <v>01/12/2025</v>
      </c>
      <c r="L15">
        <v>2500</v>
      </c>
      <c r="M15">
        <v>2500</v>
      </c>
      <c r="N15">
        <v>117</v>
      </c>
      <c r="O15" t="str">
        <f>"RECEITAS COM SETUP"</f>
        <v>RECEITAS COM SETUP</v>
      </c>
      <c r="P15">
        <v>2500</v>
      </c>
      <c r="S15" t="str">
        <f>"RECEITAS COM SETUP (117)"</f>
        <v>RECEITAS COM SETUP (117)</v>
      </c>
      <c r="T15">
        <v>3560</v>
      </c>
      <c r="U15">
        <v>3085</v>
      </c>
      <c r="V15" t="s">
        <v>22</v>
      </c>
    </row>
    <row r="16" spans="1:22">
      <c r="A16" t="str">
        <f t="shared" si="0"/>
        <v>01/12/2025</v>
      </c>
      <c r="B16" t="str">
        <f t="shared" si="6"/>
        <v>ENTRADA</v>
      </c>
      <c r="C16" t="str">
        <f>"BOLETO"</f>
        <v>BOLETO</v>
      </c>
      <c r="D16" t="str">
        <f>"01122025"</f>
        <v>01122025</v>
      </c>
      <c r="E16" t="str">
        <f t="shared" si="7"/>
        <v>1</v>
      </c>
      <c r="F16" t="str">
        <f t="shared" si="8"/>
        <v>COM</v>
      </c>
      <c r="G16" t="str">
        <f>"S &amp; M BELLESE LTDA (10279)"</f>
        <v>S &amp; M BELLESE LTDA (10279)</v>
      </c>
      <c r="H16" t="s">
        <v>37</v>
      </c>
      <c r="I16" t="str">
        <f t="shared" si="4"/>
        <v>01/12/2025</v>
      </c>
      <c r="J16" t="str">
        <f>("01/12/2025")</f>
        <v>01/12/2025</v>
      </c>
      <c r="K16">
        <v>45992</v>
      </c>
      <c r="N16">
        <v>117</v>
      </c>
      <c r="O16" t="s">
        <v>38</v>
      </c>
      <c r="Q16">
        <v>2500</v>
      </c>
      <c r="R16" t="str">
        <f>"S &amp; M BELLESE LTDA (10279)"</f>
        <v>S &amp; M BELLESE LTDA (10279)</v>
      </c>
      <c r="S16" t="s">
        <v>39</v>
      </c>
      <c r="T16">
        <v>3560</v>
      </c>
      <c r="U16">
        <v>3085</v>
      </c>
      <c r="V16" t="s">
        <v>22</v>
      </c>
    </row>
    <row r="17" spans="1:22">
      <c r="A17" t="str">
        <f t="shared" ref="A17:A48" si="9">("03/12/2025")</f>
        <v>03/12/2025</v>
      </c>
      <c r="B17" t="str">
        <f t="shared" si="6"/>
        <v>ENTRADA</v>
      </c>
      <c r="C17" t="str">
        <f t="shared" ref="C17:C48" si="10">"NFSE"</f>
        <v>NFSE</v>
      </c>
      <c r="D17" t="str">
        <f t="shared" ref="D17:D48" si="11">"3910"</f>
        <v>3910</v>
      </c>
      <c r="E17" t="str">
        <f t="shared" si="7"/>
        <v>1</v>
      </c>
      <c r="F17" t="str">
        <f t="shared" si="8"/>
        <v>COM</v>
      </c>
      <c r="G17" t="str">
        <f t="shared" ref="G17:G48" si="12">"FARMÁCIA INDIANA LJ 1 (10126)"</f>
        <v>FARMÁCIA INDIANA LJ 1 (10126)</v>
      </c>
      <c r="H17" t="str">
        <f>"Serv.Prest. 17/11/2025 a 23/11/2025 - RPS: 1673 - NFSe: 3910"</f>
        <v>Serv.Prest. 17/11/2025 a 23/11/2025 - RPS: 1673 - NFSe: 3910</v>
      </c>
      <c r="I17" t="str">
        <f t="shared" ref="I17:I48" si="13">("03/12/2025")</f>
        <v>03/12/2025</v>
      </c>
      <c r="J17" t="str">
        <f t="shared" ref="J17:J48" si="14">("25/11/2025")</f>
        <v>25/11/2025</v>
      </c>
      <c r="K17" t="str">
        <f>("03/12/2025")</f>
        <v>03/12/2025</v>
      </c>
      <c r="L17">
        <v>12884.92</v>
      </c>
      <c r="M17">
        <v>12884.92</v>
      </c>
      <c r="N17">
        <v>303</v>
      </c>
      <c r="O17" t="str">
        <f>"RECEITAS COM ENTREGAS"</f>
        <v>RECEITAS COM ENTREGAS</v>
      </c>
      <c r="P17">
        <v>12884.92</v>
      </c>
      <c r="S17" t="str">
        <f>"RECEITAS COM ENTREGAS (303)"</f>
        <v>RECEITAS COM ENTREGAS (303)</v>
      </c>
      <c r="T17">
        <v>3429</v>
      </c>
      <c r="U17">
        <v>2821</v>
      </c>
      <c r="V17" t="s">
        <v>22</v>
      </c>
    </row>
    <row r="18" spans="1:22">
      <c r="A18" t="str">
        <f t="shared" si="9"/>
        <v>03/12/2025</v>
      </c>
      <c r="B18" t="str">
        <f t="shared" si="6"/>
        <v>ENTRADA</v>
      </c>
      <c r="C18" t="str">
        <f t="shared" si="10"/>
        <v>NFSE</v>
      </c>
      <c r="D18" t="str">
        <f t="shared" si="11"/>
        <v>3910</v>
      </c>
      <c r="E18" t="str">
        <f t="shared" si="7"/>
        <v>1</v>
      </c>
      <c r="F18" t="str">
        <f t="shared" si="8"/>
        <v>COM</v>
      </c>
      <c r="G18" t="str">
        <f t="shared" si="12"/>
        <v>FARMÁCIA INDIANA LJ 1 (10126)</v>
      </c>
      <c r="H18" t="s">
        <v>40</v>
      </c>
      <c r="I18" t="str">
        <f t="shared" si="13"/>
        <v>03/12/2025</v>
      </c>
      <c r="J18" t="str">
        <f t="shared" si="14"/>
        <v>25/11/2025</v>
      </c>
      <c r="K18">
        <v>45994</v>
      </c>
      <c r="N18">
        <v>303</v>
      </c>
      <c r="O18" t="s">
        <v>30</v>
      </c>
      <c r="Q18">
        <v>1953.38</v>
      </c>
      <c r="R18" t="str">
        <f>"FARMÁCIA INDIANA LJ 06 (10006)"</f>
        <v>FARMÁCIA INDIANA LJ 06 (10006)</v>
      </c>
      <c r="S18" t="s">
        <v>31</v>
      </c>
      <c r="T18">
        <v>3429</v>
      </c>
      <c r="U18">
        <v>2821</v>
      </c>
      <c r="V18" t="s">
        <v>22</v>
      </c>
    </row>
    <row r="19" spans="1:22">
      <c r="A19" t="str">
        <f t="shared" si="9"/>
        <v>03/12/2025</v>
      </c>
      <c r="B19" t="str">
        <f t="shared" si="6"/>
        <v>ENTRADA</v>
      </c>
      <c r="C19" t="str">
        <f t="shared" si="10"/>
        <v>NFSE</v>
      </c>
      <c r="D19" t="str">
        <f t="shared" si="11"/>
        <v>3910</v>
      </c>
      <c r="E19" t="str">
        <f t="shared" si="7"/>
        <v>1</v>
      </c>
      <c r="F19" t="str">
        <f t="shared" si="8"/>
        <v>COM</v>
      </c>
      <c r="G19" t="str">
        <f t="shared" si="12"/>
        <v>FARMÁCIA INDIANA LJ 1 (10126)</v>
      </c>
      <c r="H19" t="s">
        <v>40</v>
      </c>
      <c r="I19" t="str">
        <f t="shared" si="13"/>
        <v>03/12/2025</v>
      </c>
      <c r="J19" t="str">
        <f t="shared" si="14"/>
        <v>25/11/2025</v>
      </c>
      <c r="K19">
        <v>45994</v>
      </c>
      <c r="N19">
        <v>303</v>
      </c>
      <c r="O19" t="s">
        <v>30</v>
      </c>
      <c r="Q19">
        <v>1376.11</v>
      </c>
      <c r="R19" t="str">
        <f>"FARMÁCIA INDIANA LJ 07 (10007)"</f>
        <v>FARMÁCIA INDIANA LJ 07 (10007)</v>
      </c>
      <c r="S19" t="s">
        <v>31</v>
      </c>
      <c r="T19">
        <v>3429</v>
      </c>
      <c r="U19">
        <v>2821</v>
      </c>
      <c r="V19" t="s">
        <v>22</v>
      </c>
    </row>
    <row r="20" spans="1:22">
      <c r="A20" t="str">
        <f t="shared" si="9"/>
        <v>03/12/2025</v>
      </c>
      <c r="B20" t="str">
        <f t="shared" si="6"/>
        <v>ENTRADA</v>
      </c>
      <c r="C20" t="str">
        <f t="shared" si="10"/>
        <v>NFSE</v>
      </c>
      <c r="D20" t="str">
        <f t="shared" si="11"/>
        <v>3910</v>
      </c>
      <c r="E20" t="str">
        <f t="shared" si="7"/>
        <v>1</v>
      </c>
      <c r="F20" t="str">
        <f t="shared" si="8"/>
        <v>COM</v>
      </c>
      <c r="G20" t="str">
        <f t="shared" si="12"/>
        <v>FARMÁCIA INDIANA LJ 1 (10126)</v>
      </c>
      <c r="H20" t="s">
        <v>40</v>
      </c>
      <c r="I20" t="str">
        <f t="shared" si="13"/>
        <v>03/12/2025</v>
      </c>
      <c r="J20" t="str">
        <f t="shared" si="14"/>
        <v>25/11/2025</v>
      </c>
      <c r="K20">
        <v>45994</v>
      </c>
      <c r="N20">
        <v>303</v>
      </c>
      <c r="O20" t="s">
        <v>30</v>
      </c>
      <c r="Q20">
        <v>891.64</v>
      </c>
      <c r="R20" t="str">
        <f>"FARMÁCIA INDIANA LJ 11 (10008)"</f>
        <v>FARMÁCIA INDIANA LJ 11 (10008)</v>
      </c>
      <c r="S20" t="s">
        <v>31</v>
      </c>
      <c r="T20">
        <v>3429</v>
      </c>
      <c r="U20">
        <v>2821</v>
      </c>
      <c r="V20" t="s">
        <v>22</v>
      </c>
    </row>
    <row r="21" spans="1:22">
      <c r="A21" t="str">
        <f t="shared" si="9"/>
        <v>03/12/2025</v>
      </c>
      <c r="B21" t="str">
        <f t="shared" si="6"/>
        <v>ENTRADA</v>
      </c>
      <c r="C21" t="str">
        <f t="shared" si="10"/>
        <v>NFSE</v>
      </c>
      <c r="D21" t="str">
        <f t="shared" si="11"/>
        <v>3910</v>
      </c>
      <c r="E21" t="str">
        <f t="shared" si="7"/>
        <v>1</v>
      </c>
      <c r="F21" t="str">
        <f t="shared" si="8"/>
        <v>COM</v>
      </c>
      <c r="G21" t="str">
        <f t="shared" si="12"/>
        <v>FARMÁCIA INDIANA LJ 1 (10126)</v>
      </c>
      <c r="H21" t="s">
        <v>40</v>
      </c>
      <c r="I21" t="str">
        <f t="shared" si="13"/>
        <v>03/12/2025</v>
      </c>
      <c r="J21" t="str">
        <f t="shared" si="14"/>
        <v>25/11/2025</v>
      </c>
      <c r="K21">
        <v>45994</v>
      </c>
      <c r="N21">
        <v>303</v>
      </c>
      <c r="O21" t="s">
        <v>30</v>
      </c>
      <c r="Q21">
        <v>443.24</v>
      </c>
      <c r="R21" t="str">
        <f>"FARMÁCIA INDIANA LJ 14 (10009)"</f>
        <v>FARMÁCIA INDIANA LJ 14 (10009)</v>
      </c>
      <c r="S21" t="s">
        <v>31</v>
      </c>
      <c r="T21">
        <v>3429</v>
      </c>
      <c r="U21">
        <v>2821</v>
      </c>
      <c r="V21" t="s">
        <v>22</v>
      </c>
    </row>
    <row r="22" spans="1:22">
      <c r="A22" t="str">
        <f t="shared" si="9"/>
        <v>03/12/2025</v>
      </c>
      <c r="B22" t="str">
        <f t="shared" si="6"/>
        <v>ENTRADA</v>
      </c>
      <c r="C22" t="str">
        <f t="shared" si="10"/>
        <v>NFSE</v>
      </c>
      <c r="D22" t="str">
        <f t="shared" si="11"/>
        <v>3910</v>
      </c>
      <c r="E22" t="str">
        <f t="shared" si="7"/>
        <v>1</v>
      </c>
      <c r="F22" t="str">
        <f t="shared" si="8"/>
        <v>COM</v>
      </c>
      <c r="G22" t="str">
        <f t="shared" si="12"/>
        <v>FARMÁCIA INDIANA LJ 1 (10126)</v>
      </c>
      <c r="H22" t="s">
        <v>40</v>
      </c>
      <c r="I22" t="str">
        <f t="shared" si="13"/>
        <v>03/12/2025</v>
      </c>
      <c r="J22" t="str">
        <f t="shared" si="14"/>
        <v>25/11/2025</v>
      </c>
      <c r="K22">
        <v>45994</v>
      </c>
      <c r="N22">
        <v>303</v>
      </c>
      <c r="O22" t="s">
        <v>30</v>
      </c>
      <c r="Q22">
        <v>323.41000000000003</v>
      </c>
      <c r="R22" t="str">
        <f>"FARMÁCIA INDIANA LJ 18 (10011)"</f>
        <v>FARMÁCIA INDIANA LJ 18 (10011)</v>
      </c>
      <c r="S22" t="s">
        <v>31</v>
      </c>
      <c r="T22">
        <v>3429</v>
      </c>
      <c r="U22">
        <v>2821</v>
      </c>
      <c r="V22" t="s">
        <v>22</v>
      </c>
    </row>
    <row r="23" spans="1:22">
      <c r="A23" t="str">
        <f t="shared" si="9"/>
        <v>03/12/2025</v>
      </c>
      <c r="B23" t="str">
        <f t="shared" si="6"/>
        <v>ENTRADA</v>
      </c>
      <c r="C23" t="str">
        <f t="shared" si="10"/>
        <v>NFSE</v>
      </c>
      <c r="D23" t="str">
        <f t="shared" si="11"/>
        <v>3910</v>
      </c>
      <c r="E23" t="str">
        <f t="shared" si="7"/>
        <v>1</v>
      </c>
      <c r="F23" t="str">
        <f t="shared" si="8"/>
        <v>COM</v>
      </c>
      <c r="G23" t="str">
        <f t="shared" si="12"/>
        <v>FARMÁCIA INDIANA LJ 1 (10126)</v>
      </c>
      <c r="H23" t="s">
        <v>40</v>
      </c>
      <c r="I23" t="str">
        <f t="shared" si="13"/>
        <v>03/12/2025</v>
      </c>
      <c r="J23" t="str">
        <f t="shared" si="14"/>
        <v>25/11/2025</v>
      </c>
      <c r="K23">
        <v>45994</v>
      </c>
      <c r="N23">
        <v>303</v>
      </c>
      <c r="O23" t="s">
        <v>30</v>
      </c>
      <c r="Q23">
        <v>344.03</v>
      </c>
      <c r="R23" t="str">
        <f>"FARMÁCIA INDIANA LJ 19 (10012)"</f>
        <v>FARMÁCIA INDIANA LJ 19 (10012)</v>
      </c>
      <c r="S23" t="s">
        <v>31</v>
      </c>
      <c r="T23">
        <v>3429</v>
      </c>
      <c r="U23">
        <v>2821</v>
      </c>
      <c r="V23" t="s">
        <v>22</v>
      </c>
    </row>
    <row r="24" spans="1:22">
      <c r="A24" t="str">
        <f t="shared" si="9"/>
        <v>03/12/2025</v>
      </c>
      <c r="B24" t="str">
        <f t="shared" si="6"/>
        <v>ENTRADA</v>
      </c>
      <c r="C24" t="str">
        <f t="shared" si="10"/>
        <v>NFSE</v>
      </c>
      <c r="D24" t="str">
        <f t="shared" si="11"/>
        <v>3910</v>
      </c>
      <c r="E24" t="str">
        <f t="shared" si="7"/>
        <v>1</v>
      </c>
      <c r="F24" t="str">
        <f t="shared" si="8"/>
        <v>COM</v>
      </c>
      <c r="G24" t="str">
        <f t="shared" si="12"/>
        <v>FARMÁCIA INDIANA LJ 1 (10126)</v>
      </c>
      <c r="H24" t="s">
        <v>40</v>
      </c>
      <c r="I24" t="str">
        <f t="shared" si="13"/>
        <v>03/12/2025</v>
      </c>
      <c r="J24" t="str">
        <f t="shared" si="14"/>
        <v>25/11/2025</v>
      </c>
      <c r="K24">
        <v>45994</v>
      </c>
      <c r="N24">
        <v>303</v>
      </c>
      <c r="O24" t="s">
        <v>30</v>
      </c>
      <c r="Q24">
        <v>517.97</v>
      </c>
      <c r="R24" t="str">
        <f>"FARMÁCIA INDIANA LJ 40 (10016)"</f>
        <v>FARMÁCIA INDIANA LJ 40 (10016)</v>
      </c>
      <c r="S24" t="s">
        <v>31</v>
      </c>
      <c r="T24">
        <v>3429</v>
      </c>
      <c r="U24">
        <v>2821</v>
      </c>
      <c r="V24" t="s">
        <v>22</v>
      </c>
    </row>
    <row r="25" spans="1:22">
      <c r="A25" t="str">
        <f t="shared" si="9"/>
        <v>03/12/2025</v>
      </c>
      <c r="B25" t="str">
        <f t="shared" si="6"/>
        <v>ENTRADA</v>
      </c>
      <c r="C25" t="str">
        <f t="shared" si="10"/>
        <v>NFSE</v>
      </c>
      <c r="D25" t="str">
        <f t="shared" si="11"/>
        <v>3910</v>
      </c>
      <c r="E25" t="str">
        <f t="shared" si="7"/>
        <v>1</v>
      </c>
      <c r="F25" t="str">
        <f t="shared" si="8"/>
        <v>COM</v>
      </c>
      <c r="G25" t="str">
        <f t="shared" si="12"/>
        <v>FARMÁCIA INDIANA LJ 1 (10126)</v>
      </c>
      <c r="H25" t="s">
        <v>40</v>
      </c>
      <c r="I25" t="str">
        <f t="shared" si="13"/>
        <v>03/12/2025</v>
      </c>
      <c r="J25" t="str">
        <f t="shared" si="14"/>
        <v>25/11/2025</v>
      </c>
      <c r="K25">
        <v>45994</v>
      </c>
      <c r="N25">
        <v>303</v>
      </c>
      <c r="O25" t="s">
        <v>30</v>
      </c>
      <c r="Q25">
        <v>207.45</v>
      </c>
      <c r="R25" t="str">
        <f>"FARMÁCIA INDIANA LJ 59 (10026)"</f>
        <v>FARMÁCIA INDIANA LJ 59 (10026)</v>
      </c>
      <c r="S25" t="s">
        <v>31</v>
      </c>
      <c r="T25">
        <v>3429</v>
      </c>
      <c r="U25">
        <v>2821</v>
      </c>
      <c r="V25" t="s">
        <v>22</v>
      </c>
    </row>
    <row r="26" spans="1:22">
      <c r="A26" t="str">
        <f t="shared" si="9"/>
        <v>03/12/2025</v>
      </c>
      <c r="B26" t="str">
        <f t="shared" si="6"/>
        <v>ENTRADA</v>
      </c>
      <c r="C26" t="str">
        <f t="shared" si="10"/>
        <v>NFSE</v>
      </c>
      <c r="D26" t="str">
        <f t="shared" si="11"/>
        <v>3910</v>
      </c>
      <c r="E26" t="str">
        <f t="shared" si="7"/>
        <v>1</v>
      </c>
      <c r="F26" t="str">
        <f t="shared" si="8"/>
        <v>COM</v>
      </c>
      <c r="G26" t="str">
        <f t="shared" si="12"/>
        <v>FARMÁCIA INDIANA LJ 1 (10126)</v>
      </c>
      <c r="H26" t="s">
        <v>40</v>
      </c>
      <c r="I26" t="str">
        <f t="shared" si="13"/>
        <v>03/12/2025</v>
      </c>
      <c r="J26" t="str">
        <f t="shared" si="14"/>
        <v>25/11/2025</v>
      </c>
      <c r="K26">
        <v>45994</v>
      </c>
      <c r="N26">
        <v>303</v>
      </c>
      <c r="O26" t="s">
        <v>30</v>
      </c>
      <c r="Q26">
        <v>450.97</v>
      </c>
      <c r="R26" t="str">
        <f>"FARMÁCIA INDIANA LJ 61 (10027)"</f>
        <v>FARMÁCIA INDIANA LJ 61 (10027)</v>
      </c>
      <c r="S26" t="s">
        <v>31</v>
      </c>
      <c r="T26">
        <v>3429</v>
      </c>
      <c r="U26">
        <v>2821</v>
      </c>
      <c r="V26" t="s">
        <v>22</v>
      </c>
    </row>
    <row r="27" spans="1:22">
      <c r="A27" t="str">
        <f t="shared" si="9"/>
        <v>03/12/2025</v>
      </c>
      <c r="B27" t="str">
        <f t="shared" si="6"/>
        <v>ENTRADA</v>
      </c>
      <c r="C27" t="str">
        <f t="shared" si="10"/>
        <v>NFSE</v>
      </c>
      <c r="D27" t="str">
        <f t="shared" si="11"/>
        <v>3910</v>
      </c>
      <c r="E27" t="str">
        <f t="shared" si="7"/>
        <v>1</v>
      </c>
      <c r="F27" t="str">
        <f t="shared" si="8"/>
        <v>COM</v>
      </c>
      <c r="G27" t="str">
        <f t="shared" si="12"/>
        <v>FARMÁCIA INDIANA LJ 1 (10126)</v>
      </c>
      <c r="H27" t="s">
        <v>40</v>
      </c>
      <c r="I27" t="str">
        <f t="shared" si="13"/>
        <v>03/12/2025</v>
      </c>
      <c r="J27" t="str">
        <f t="shared" si="14"/>
        <v>25/11/2025</v>
      </c>
      <c r="K27">
        <v>45994</v>
      </c>
      <c r="N27">
        <v>303</v>
      </c>
      <c r="O27" t="s">
        <v>30</v>
      </c>
      <c r="Q27">
        <v>235.79</v>
      </c>
      <c r="R27" t="str">
        <f>"FARMÁCIA INDIANA LJ 62 (10028)"</f>
        <v>FARMÁCIA INDIANA LJ 62 (10028)</v>
      </c>
      <c r="S27" t="s">
        <v>31</v>
      </c>
      <c r="T27">
        <v>3429</v>
      </c>
      <c r="U27">
        <v>2821</v>
      </c>
      <c r="V27" t="s">
        <v>22</v>
      </c>
    </row>
    <row r="28" spans="1:22">
      <c r="A28" t="str">
        <f t="shared" si="9"/>
        <v>03/12/2025</v>
      </c>
      <c r="B28" t="str">
        <f t="shared" si="6"/>
        <v>ENTRADA</v>
      </c>
      <c r="C28" t="str">
        <f t="shared" si="10"/>
        <v>NFSE</v>
      </c>
      <c r="D28" t="str">
        <f t="shared" si="11"/>
        <v>3910</v>
      </c>
      <c r="E28" t="str">
        <f t="shared" si="7"/>
        <v>1</v>
      </c>
      <c r="F28" t="str">
        <f t="shared" si="8"/>
        <v>COM</v>
      </c>
      <c r="G28" t="str">
        <f t="shared" si="12"/>
        <v>FARMÁCIA INDIANA LJ 1 (10126)</v>
      </c>
      <c r="H28" t="s">
        <v>40</v>
      </c>
      <c r="I28" t="str">
        <f t="shared" si="13"/>
        <v>03/12/2025</v>
      </c>
      <c r="J28" t="str">
        <f t="shared" si="14"/>
        <v>25/11/2025</v>
      </c>
      <c r="K28">
        <v>45994</v>
      </c>
      <c r="N28">
        <v>303</v>
      </c>
      <c r="O28" t="s">
        <v>30</v>
      </c>
      <c r="Q28">
        <v>86.33</v>
      </c>
      <c r="R28" t="str">
        <f>"FARMÁCIA INDIANA LJ 64 (10029)"</f>
        <v>FARMÁCIA INDIANA LJ 64 (10029)</v>
      </c>
      <c r="S28" t="s">
        <v>31</v>
      </c>
      <c r="T28">
        <v>3429</v>
      </c>
      <c r="U28">
        <v>2821</v>
      </c>
      <c r="V28" t="s">
        <v>22</v>
      </c>
    </row>
    <row r="29" spans="1:22">
      <c r="A29" t="str">
        <f t="shared" si="9"/>
        <v>03/12/2025</v>
      </c>
      <c r="B29" t="str">
        <f t="shared" si="6"/>
        <v>ENTRADA</v>
      </c>
      <c r="C29" t="str">
        <f t="shared" si="10"/>
        <v>NFSE</v>
      </c>
      <c r="D29" t="str">
        <f t="shared" si="11"/>
        <v>3910</v>
      </c>
      <c r="E29" t="str">
        <f t="shared" si="7"/>
        <v>1</v>
      </c>
      <c r="F29" t="str">
        <f t="shared" si="8"/>
        <v>COM</v>
      </c>
      <c r="G29" t="str">
        <f t="shared" si="12"/>
        <v>FARMÁCIA INDIANA LJ 1 (10126)</v>
      </c>
      <c r="H29" t="s">
        <v>40</v>
      </c>
      <c r="I29" t="str">
        <f t="shared" si="13"/>
        <v>03/12/2025</v>
      </c>
      <c r="J29" t="str">
        <f t="shared" si="14"/>
        <v>25/11/2025</v>
      </c>
      <c r="K29">
        <v>45994</v>
      </c>
      <c r="N29">
        <v>303</v>
      </c>
      <c r="O29" t="s">
        <v>30</v>
      </c>
      <c r="Q29">
        <v>67</v>
      </c>
      <c r="R29" t="str">
        <f>"FARMÁCIA INDIANA LJ 97 (10040)"</f>
        <v>FARMÁCIA INDIANA LJ 97 (10040)</v>
      </c>
      <c r="S29" t="s">
        <v>31</v>
      </c>
      <c r="T29">
        <v>3429</v>
      </c>
      <c r="U29">
        <v>2821</v>
      </c>
      <c r="V29" t="s">
        <v>22</v>
      </c>
    </row>
    <row r="30" spans="1:22">
      <c r="A30" t="str">
        <f t="shared" si="9"/>
        <v>03/12/2025</v>
      </c>
      <c r="B30" t="str">
        <f t="shared" si="6"/>
        <v>ENTRADA</v>
      </c>
      <c r="C30" t="str">
        <f t="shared" si="10"/>
        <v>NFSE</v>
      </c>
      <c r="D30" t="str">
        <f t="shared" si="11"/>
        <v>3910</v>
      </c>
      <c r="E30" t="str">
        <f t="shared" si="7"/>
        <v>1</v>
      </c>
      <c r="F30" t="str">
        <f t="shared" si="8"/>
        <v>COM</v>
      </c>
      <c r="G30" t="str">
        <f t="shared" si="12"/>
        <v>FARMÁCIA INDIANA LJ 1 (10126)</v>
      </c>
      <c r="H30" t="s">
        <v>40</v>
      </c>
      <c r="I30" t="str">
        <f t="shared" si="13"/>
        <v>03/12/2025</v>
      </c>
      <c r="J30" t="str">
        <f t="shared" si="14"/>
        <v>25/11/2025</v>
      </c>
      <c r="K30">
        <v>45994</v>
      </c>
      <c r="N30">
        <v>303</v>
      </c>
      <c r="O30" t="s">
        <v>30</v>
      </c>
      <c r="Q30">
        <v>199.72</v>
      </c>
      <c r="R30" t="str">
        <f>"FARMÁCIA INDIANA LJ 100 (10042)"</f>
        <v>FARMÁCIA INDIANA LJ 100 (10042)</v>
      </c>
      <c r="S30" t="s">
        <v>31</v>
      </c>
      <c r="T30">
        <v>3429</v>
      </c>
      <c r="U30">
        <v>2821</v>
      </c>
      <c r="V30" t="s">
        <v>22</v>
      </c>
    </row>
    <row r="31" spans="1:22">
      <c r="A31" t="str">
        <f t="shared" si="9"/>
        <v>03/12/2025</v>
      </c>
      <c r="B31" t="str">
        <f t="shared" si="6"/>
        <v>ENTRADA</v>
      </c>
      <c r="C31" t="str">
        <f t="shared" si="10"/>
        <v>NFSE</v>
      </c>
      <c r="D31" t="str">
        <f t="shared" si="11"/>
        <v>3910</v>
      </c>
      <c r="E31" t="str">
        <f t="shared" si="7"/>
        <v>1</v>
      </c>
      <c r="F31" t="str">
        <f t="shared" si="8"/>
        <v>COM</v>
      </c>
      <c r="G31" t="str">
        <f t="shared" si="12"/>
        <v>FARMÁCIA INDIANA LJ 1 (10126)</v>
      </c>
      <c r="H31" t="s">
        <v>40</v>
      </c>
      <c r="I31" t="str">
        <f t="shared" si="13"/>
        <v>03/12/2025</v>
      </c>
      <c r="J31" t="str">
        <f t="shared" si="14"/>
        <v>25/11/2025</v>
      </c>
      <c r="K31">
        <v>45994</v>
      </c>
      <c r="N31">
        <v>303</v>
      </c>
      <c r="O31" t="s">
        <v>30</v>
      </c>
      <c r="Q31">
        <v>744.75</v>
      </c>
      <c r="R31" t="str">
        <f>"FARMÁCIA INDIANA LJ 101 (10043)"</f>
        <v>FARMÁCIA INDIANA LJ 101 (10043)</v>
      </c>
      <c r="S31" t="s">
        <v>31</v>
      </c>
      <c r="T31">
        <v>3429</v>
      </c>
      <c r="U31">
        <v>2821</v>
      </c>
      <c r="V31" t="s">
        <v>22</v>
      </c>
    </row>
    <row r="32" spans="1:22">
      <c r="A32" t="str">
        <f t="shared" si="9"/>
        <v>03/12/2025</v>
      </c>
      <c r="B32" t="str">
        <f t="shared" si="6"/>
        <v>ENTRADA</v>
      </c>
      <c r="C32" t="str">
        <f t="shared" si="10"/>
        <v>NFSE</v>
      </c>
      <c r="D32" t="str">
        <f t="shared" si="11"/>
        <v>3910</v>
      </c>
      <c r="E32" t="str">
        <f t="shared" si="7"/>
        <v>1</v>
      </c>
      <c r="F32" t="str">
        <f t="shared" si="8"/>
        <v>COM</v>
      </c>
      <c r="G32" t="str">
        <f t="shared" si="12"/>
        <v>FARMÁCIA INDIANA LJ 1 (10126)</v>
      </c>
      <c r="H32" t="s">
        <v>40</v>
      </c>
      <c r="I32" t="str">
        <f t="shared" si="13"/>
        <v>03/12/2025</v>
      </c>
      <c r="J32" t="str">
        <f t="shared" si="14"/>
        <v>25/11/2025</v>
      </c>
      <c r="K32">
        <v>45994</v>
      </c>
      <c r="N32">
        <v>303</v>
      </c>
      <c r="O32" t="s">
        <v>30</v>
      </c>
      <c r="Q32">
        <v>97.93</v>
      </c>
      <c r="R32" t="str">
        <f>"FARMÁCIA INDIANA LJ 103 (10044)"</f>
        <v>FARMÁCIA INDIANA LJ 103 (10044)</v>
      </c>
      <c r="S32" t="s">
        <v>31</v>
      </c>
      <c r="T32">
        <v>3429</v>
      </c>
      <c r="U32">
        <v>2821</v>
      </c>
      <c r="V32" t="s">
        <v>22</v>
      </c>
    </row>
    <row r="33" spans="1:22">
      <c r="A33" t="str">
        <f t="shared" si="9"/>
        <v>03/12/2025</v>
      </c>
      <c r="B33" t="str">
        <f t="shared" si="6"/>
        <v>ENTRADA</v>
      </c>
      <c r="C33" t="str">
        <f t="shared" si="10"/>
        <v>NFSE</v>
      </c>
      <c r="D33" t="str">
        <f t="shared" si="11"/>
        <v>3910</v>
      </c>
      <c r="E33" t="str">
        <f t="shared" si="7"/>
        <v>1</v>
      </c>
      <c r="F33" t="str">
        <f t="shared" si="8"/>
        <v>COM</v>
      </c>
      <c r="G33" t="str">
        <f t="shared" si="12"/>
        <v>FARMÁCIA INDIANA LJ 1 (10126)</v>
      </c>
      <c r="H33" t="s">
        <v>40</v>
      </c>
      <c r="I33" t="str">
        <f t="shared" si="13"/>
        <v>03/12/2025</v>
      </c>
      <c r="J33" t="str">
        <f t="shared" si="14"/>
        <v>25/11/2025</v>
      </c>
      <c r="K33">
        <v>45994</v>
      </c>
      <c r="N33">
        <v>303</v>
      </c>
      <c r="O33" t="s">
        <v>30</v>
      </c>
      <c r="Q33">
        <v>237.08</v>
      </c>
      <c r="R33" t="str">
        <f>"FARMÁCIA INDIANA LJ 109 (10047)"</f>
        <v>FARMÁCIA INDIANA LJ 109 (10047)</v>
      </c>
      <c r="S33" t="s">
        <v>31</v>
      </c>
      <c r="T33">
        <v>3429</v>
      </c>
      <c r="U33">
        <v>2821</v>
      </c>
      <c r="V33" t="s">
        <v>22</v>
      </c>
    </row>
    <row r="34" spans="1:22">
      <c r="A34" t="str">
        <f t="shared" si="9"/>
        <v>03/12/2025</v>
      </c>
      <c r="B34" t="str">
        <f t="shared" si="6"/>
        <v>ENTRADA</v>
      </c>
      <c r="C34" t="str">
        <f t="shared" si="10"/>
        <v>NFSE</v>
      </c>
      <c r="D34" t="str">
        <f t="shared" si="11"/>
        <v>3910</v>
      </c>
      <c r="E34" t="str">
        <f t="shared" si="7"/>
        <v>1</v>
      </c>
      <c r="F34" t="str">
        <f t="shared" si="8"/>
        <v>COM</v>
      </c>
      <c r="G34" t="str">
        <f t="shared" si="12"/>
        <v>FARMÁCIA INDIANA LJ 1 (10126)</v>
      </c>
      <c r="H34" t="s">
        <v>40</v>
      </c>
      <c r="I34" t="str">
        <f t="shared" si="13"/>
        <v>03/12/2025</v>
      </c>
      <c r="J34" t="str">
        <f t="shared" si="14"/>
        <v>25/11/2025</v>
      </c>
      <c r="K34">
        <v>45994</v>
      </c>
      <c r="N34">
        <v>303</v>
      </c>
      <c r="O34" t="s">
        <v>30</v>
      </c>
      <c r="Q34">
        <v>340.16</v>
      </c>
      <c r="R34" t="str">
        <f>"FARMÁCIA INDIANA LJ 110 (10048)"</f>
        <v>FARMÁCIA INDIANA LJ 110 (10048)</v>
      </c>
      <c r="S34" t="s">
        <v>31</v>
      </c>
      <c r="T34">
        <v>3429</v>
      </c>
      <c r="U34">
        <v>2821</v>
      </c>
      <c r="V34" t="s">
        <v>22</v>
      </c>
    </row>
    <row r="35" spans="1:22">
      <c r="A35" t="str">
        <f t="shared" si="9"/>
        <v>03/12/2025</v>
      </c>
      <c r="B35" t="str">
        <f t="shared" si="6"/>
        <v>ENTRADA</v>
      </c>
      <c r="C35" t="str">
        <f t="shared" si="10"/>
        <v>NFSE</v>
      </c>
      <c r="D35" t="str">
        <f t="shared" si="11"/>
        <v>3910</v>
      </c>
      <c r="E35" t="str">
        <f t="shared" si="7"/>
        <v>1</v>
      </c>
      <c r="F35" t="str">
        <f t="shared" si="8"/>
        <v>COM</v>
      </c>
      <c r="G35" t="str">
        <f t="shared" si="12"/>
        <v>FARMÁCIA INDIANA LJ 1 (10126)</v>
      </c>
      <c r="H35" t="s">
        <v>40</v>
      </c>
      <c r="I35" t="str">
        <f t="shared" si="13"/>
        <v>03/12/2025</v>
      </c>
      <c r="J35" t="str">
        <f t="shared" si="14"/>
        <v>25/11/2025</v>
      </c>
      <c r="K35">
        <v>45994</v>
      </c>
      <c r="N35">
        <v>303</v>
      </c>
      <c r="O35" t="s">
        <v>30</v>
      </c>
      <c r="Q35">
        <v>65.709999999999994</v>
      </c>
      <c r="R35" t="str">
        <f>"FARMÁCIA INDIANA LJ 111 (10049)"</f>
        <v>FARMÁCIA INDIANA LJ 111 (10049)</v>
      </c>
      <c r="S35" t="s">
        <v>31</v>
      </c>
      <c r="T35">
        <v>3429</v>
      </c>
      <c r="U35">
        <v>2821</v>
      </c>
      <c r="V35" t="s">
        <v>22</v>
      </c>
    </row>
    <row r="36" spans="1:22">
      <c r="A36" t="str">
        <f t="shared" si="9"/>
        <v>03/12/2025</v>
      </c>
      <c r="B36" t="str">
        <f t="shared" si="6"/>
        <v>ENTRADA</v>
      </c>
      <c r="C36" t="str">
        <f t="shared" si="10"/>
        <v>NFSE</v>
      </c>
      <c r="D36" t="str">
        <f t="shared" si="11"/>
        <v>3910</v>
      </c>
      <c r="E36" t="str">
        <f t="shared" si="7"/>
        <v>1</v>
      </c>
      <c r="F36" t="str">
        <f t="shared" si="8"/>
        <v>COM</v>
      </c>
      <c r="G36" t="str">
        <f t="shared" si="12"/>
        <v>FARMÁCIA INDIANA LJ 1 (10126)</v>
      </c>
      <c r="H36" t="s">
        <v>40</v>
      </c>
      <c r="I36" t="str">
        <f t="shared" si="13"/>
        <v>03/12/2025</v>
      </c>
      <c r="J36" t="str">
        <f t="shared" si="14"/>
        <v>25/11/2025</v>
      </c>
      <c r="K36">
        <v>45994</v>
      </c>
      <c r="N36">
        <v>303</v>
      </c>
      <c r="O36" t="s">
        <v>30</v>
      </c>
      <c r="Q36">
        <v>100.5</v>
      </c>
      <c r="R36" t="str">
        <f>"FARMÁCIA INDIANA LJ 112 (10050)"</f>
        <v>FARMÁCIA INDIANA LJ 112 (10050)</v>
      </c>
      <c r="S36" t="s">
        <v>31</v>
      </c>
      <c r="T36">
        <v>3429</v>
      </c>
      <c r="U36">
        <v>2821</v>
      </c>
      <c r="V36" t="s">
        <v>22</v>
      </c>
    </row>
    <row r="37" spans="1:22">
      <c r="A37" t="str">
        <f t="shared" si="9"/>
        <v>03/12/2025</v>
      </c>
      <c r="B37" t="str">
        <f t="shared" si="6"/>
        <v>ENTRADA</v>
      </c>
      <c r="C37" t="str">
        <f t="shared" si="10"/>
        <v>NFSE</v>
      </c>
      <c r="D37" t="str">
        <f t="shared" si="11"/>
        <v>3910</v>
      </c>
      <c r="E37" t="str">
        <f t="shared" si="7"/>
        <v>1</v>
      </c>
      <c r="F37" t="str">
        <f t="shared" si="8"/>
        <v>COM</v>
      </c>
      <c r="G37" t="str">
        <f t="shared" si="12"/>
        <v>FARMÁCIA INDIANA LJ 1 (10126)</v>
      </c>
      <c r="H37" t="s">
        <v>40</v>
      </c>
      <c r="I37" t="str">
        <f t="shared" si="13"/>
        <v>03/12/2025</v>
      </c>
      <c r="J37" t="str">
        <f t="shared" si="14"/>
        <v>25/11/2025</v>
      </c>
      <c r="K37">
        <v>45994</v>
      </c>
      <c r="N37">
        <v>303</v>
      </c>
      <c r="O37" t="s">
        <v>30</v>
      </c>
      <c r="Q37">
        <v>100.5</v>
      </c>
      <c r="R37" t="str">
        <f>"FARMÁCIA INDIANA LJ 116 (10051)"</f>
        <v>FARMÁCIA INDIANA LJ 116 (10051)</v>
      </c>
      <c r="S37" t="s">
        <v>31</v>
      </c>
      <c r="T37">
        <v>3429</v>
      </c>
      <c r="U37">
        <v>2821</v>
      </c>
      <c r="V37" t="s">
        <v>22</v>
      </c>
    </row>
    <row r="38" spans="1:22">
      <c r="A38" t="str">
        <f t="shared" si="9"/>
        <v>03/12/2025</v>
      </c>
      <c r="B38" t="str">
        <f t="shared" si="6"/>
        <v>ENTRADA</v>
      </c>
      <c r="C38" t="str">
        <f t="shared" si="10"/>
        <v>NFSE</v>
      </c>
      <c r="D38" t="str">
        <f t="shared" si="11"/>
        <v>3910</v>
      </c>
      <c r="E38" t="str">
        <f t="shared" si="7"/>
        <v>1</v>
      </c>
      <c r="F38" t="str">
        <f t="shared" si="8"/>
        <v>COM</v>
      </c>
      <c r="G38" t="str">
        <f t="shared" si="12"/>
        <v>FARMÁCIA INDIANA LJ 1 (10126)</v>
      </c>
      <c r="H38" t="s">
        <v>40</v>
      </c>
      <c r="I38" t="str">
        <f t="shared" si="13"/>
        <v>03/12/2025</v>
      </c>
      <c r="J38" t="str">
        <f t="shared" si="14"/>
        <v>25/11/2025</v>
      </c>
      <c r="K38">
        <v>45994</v>
      </c>
      <c r="N38">
        <v>303</v>
      </c>
      <c r="O38" t="s">
        <v>30</v>
      </c>
      <c r="Q38">
        <v>143.02000000000001</v>
      </c>
      <c r="R38" t="str">
        <f>"FARMÁCIA INDIANA LJ 118 (10052)"</f>
        <v>FARMÁCIA INDIANA LJ 118 (10052)</v>
      </c>
      <c r="S38" t="s">
        <v>31</v>
      </c>
      <c r="T38">
        <v>3429</v>
      </c>
      <c r="U38">
        <v>2821</v>
      </c>
      <c r="V38" t="s">
        <v>22</v>
      </c>
    </row>
    <row r="39" spans="1:22">
      <c r="A39" t="str">
        <f t="shared" si="9"/>
        <v>03/12/2025</v>
      </c>
      <c r="B39" t="str">
        <f t="shared" si="6"/>
        <v>ENTRADA</v>
      </c>
      <c r="C39" t="str">
        <f t="shared" si="10"/>
        <v>NFSE</v>
      </c>
      <c r="D39" t="str">
        <f t="shared" si="11"/>
        <v>3910</v>
      </c>
      <c r="E39" t="str">
        <f t="shared" si="7"/>
        <v>1</v>
      </c>
      <c r="F39" t="str">
        <f t="shared" si="8"/>
        <v>COM</v>
      </c>
      <c r="G39" t="str">
        <f t="shared" si="12"/>
        <v>FARMÁCIA INDIANA LJ 1 (10126)</v>
      </c>
      <c r="H39" t="s">
        <v>40</v>
      </c>
      <c r="I39" t="str">
        <f t="shared" si="13"/>
        <v>03/12/2025</v>
      </c>
      <c r="J39" t="str">
        <f t="shared" si="14"/>
        <v>25/11/2025</v>
      </c>
      <c r="K39">
        <v>45994</v>
      </c>
      <c r="N39">
        <v>303</v>
      </c>
      <c r="O39" t="s">
        <v>30</v>
      </c>
      <c r="Q39">
        <v>100.5</v>
      </c>
      <c r="R39" t="str">
        <f>"FARMÁCIA INDIANA LJ 121 (10054)"</f>
        <v>FARMÁCIA INDIANA LJ 121 (10054)</v>
      </c>
      <c r="S39" t="s">
        <v>31</v>
      </c>
      <c r="T39">
        <v>3429</v>
      </c>
      <c r="U39">
        <v>2821</v>
      </c>
      <c r="V39" t="s">
        <v>22</v>
      </c>
    </row>
    <row r="40" spans="1:22">
      <c r="A40" t="str">
        <f t="shared" si="9"/>
        <v>03/12/2025</v>
      </c>
      <c r="B40" t="str">
        <f t="shared" si="6"/>
        <v>ENTRADA</v>
      </c>
      <c r="C40" t="str">
        <f t="shared" si="10"/>
        <v>NFSE</v>
      </c>
      <c r="D40" t="str">
        <f t="shared" si="11"/>
        <v>3910</v>
      </c>
      <c r="E40" t="str">
        <f t="shared" si="7"/>
        <v>1</v>
      </c>
      <c r="F40" t="str">
        <f t="shared" si="8"/>
        <v>COM</v>
      </c>
      <c r="G40" t="str">
        <f t="shared" si="12"/>
        <v>FARMÁCIA INDIANA LJ 1 (10126)</v>
      </c>
      <c r="H40" t="s">
        <v>40</v>
      </c>
      <c r="I40" t="str">
        <f t="shared" si="13"/>
        <v>03/12/2025</v>
      </c>
      <c r="J40" t="str">
        <f t="shared" si="14"/>
        <v>25/11/2025</v>
      </c>
      <c r="K40">
        <v>45994</v>
      </c>
      <c r="N40">
        <v>303</v>
      </c>
      <c r="O40" t="s">
        <v>30</v>
      </c>
      <c r="Q40">
        <v>100.5</v>
      </c>
      <c r="R40" t="str">
        <f>"FARMÁCIA INDIANA LJ 128 (10057)"</f>
        <v>FARMÁCIA INDIANA LJ 128 (10057)</v>
      </c>
      <c r="S40" t="s">
        <v>31</v>
      </c>
      <c r="T40">
        <v>3429</v>
      </c>
      <c r="U40">
        <v>2821</v>
      </c>
      <c r="V40" t="s">
        <v>22</v>
      </c>
    </row>
    <row r="41" spans="1:22">
      <c r="A41" t="str">
        <f t="shared" si="9"/>
        <v>03/12/2025</v>
      </c>
      <c r="B41" t="str">
        <f t="shared" si="6"/>
        <v>ENTRADA</v>
      </c>
      <c r="C41" t="str">
        <f t="shared" si="10"/>
        <v>NFSE</v>
      </c>
      <c r="D41" t="str">
        <f t="shared" si="11"/>
        <v>3910</v>
      </c>
      <c r="E41" t="str">
        <f t="shared" si="7"/>
        <v>1</v>
      </c>
      <c r="F41" t="str">
        <f t="shared" si="8"/>
        <v>COM</v>
      </c>
      <c r="G41" t="str">
        <f t="shared" si="12"/>
        <v>FARMÁCIA INDIANA LJ 1 (10126)</v>
      </c>
      <c r="H41" t="s">
        <v>40</v>
      </c>
      <c r="I41" t="str">
        <f t="shared" si="13"/>
        <v>03/12/2025</v>
      </c>
      <c r="J41" t="str">
        <f t="shared" si="14"/>
        <v>25/11/2025</v>
      </c>
      <c r="K41">
        <v>45994</v>
      </c>
      <c r="N41">
        <v>303</v>
      </c>
      <c r="O41" t="s">
        <v>30</v>
      </c>
      <c r="Q41">
        <v>23.19</v>
      </c>
      <c r="R41" t="str">
        <f>"FARMÁCIA INDIANA LJ 140 (10064)"</f>
        <v>FARMÁCIA INDIANA LJ 140 (10064)</v>
      </c>
      <c r="S41" t="s">
        <v>31</v>
      </c>
      <c r="T41">
        <v>3429</v>
      </c>
      <c r="U41">
        <v>2821</v>
      </c>
      <c r="V41" t="s">
        <v>22</v>
      </c>
    </row>
    <row r="42" spans="1:22">
      <c r="A42" t="str">
        <f t="shared" si="9"/>
        <v>03/12/2025</v>
      </c>
      <c r="B42" t="str">
        <f t="shared" si="6"/>
        <v>ENTRADA</v>
      </c>
      <c r="C42" t="str">
        <f t="shared" si="10"/>
        <v>NFSE</v>
      </c>
      <c r="D42" t="str">
        <f t="shared" si="11"/>
        <v>3910</v>
      </c>
      <c r="E42" t="str">
        <f t="shared" si="7"/>
        <v>1</v>
      </c>
      <c r="F42" t="str">
        <f t="shared" si="8"/>
        <v>COM</v>
      </c>
      <c r="G42" t="str">
        <f t="shared" si="12"/>
        <v>FARMÁCIA INDIANA LJ 1 (10126)</v>
      </c>
      <c r="H42" t="s">
        <v>40</v>
      </c>
      <c r="I42" t="str">
        <f t="shared" si="13"/>
        <v>03/12/2025</v>
      </c>
      <c r="J42" t="str">
        <f t="shared" si="14"/>
        <v>25/11/2025</v>
      </c>
      <c r="K42">
        <v>45994</v>
      </c>
      <c r="N42">
        <v>303</v>
      </c>
      <c r="O42" t="s">
        <v>30</v>
      </c>
      <c r="Q42">
        <v>12.88</v>
      </c>
      <c r="R42" t="str">
        <f>"FARMÁCIA INDIANA LJ 141 (10065)"</f>
        <v>FARMÁCIA INDIANA LJ 141 (10065)</v>
      </c>
      <c r="S42" t="s">
        <v>31</v>
      </c>
      <c r="T42">
        <v>3429</v>
      </c>
      <c r="U42">
        <v>2821</v>
      </c>
      <c r="V42" t="s">
        <v>22</v>
      </c>
    </row>
    <row r="43" spans="1:22">
      <c r="A43" t="str">
        <f t="shared" si="9"/>
        <v>03/12/2025</v>
      </c>
      <c r="B43" t="str">
        <f t="shared" si="6"/>
        <v>ENTRADA</v>
      </c>
      <c r="C43" t="str">
        <f t="shared" si="10"/>
        <v>NFSE</v>
      </c>
      <c r="D43" t="str">
        <f t="shared" si="11"/>
        <v>3910</v>
      </c>
      <c r="E43" t="str">
        <f t="shared" si="7"/>
        <v>1</v>
      </c>
      <c r="F43" t="str">
        <f t="shared" si="8"/>
        <v>COM</v>
      </c>
      <c r="G43" t="str">
        <f t="shared" si="12"/>
        <v>FARMÁCIA INDIANA LJ 1 (10126)</v>
      </c>
      <c r="H43" t="s">
        <v>40</v>
      </c>
      <c r="I43" t="str">
        <f t="shared" si="13"/>
        <v>03/12/2025</v>
      </c>
      <c r="J43" t="str">
        <f t="shared" si="14"/>
        <v>25/11/2025</v>
      </c>
      <c r="K43">
        <v>45994</v>
      </c>
      <c r="N43">
        <v>303</v>
      </c>
      <c r="O43" t="s">
        <v>30</v>
      </c>
      <c r="Q43">
        <v>730.57</v>
      </c>
      <c r="R43" t="str">
        <f>"FARMÁCIA INDIANA LJ 142 (10066)"</f>
        <v>FARMÁCIA INDIANA LJ 142 (10066)</v>
      </c>
      <c r="S43" t="s">
        <v>31</v>
      </c>
      <c r="T43">
        <v>3429</v>
      </c>
      <c r="U43">
        <v>2821</v>
      </c>
      <c r="V43" t="s">
        <v>22</v>
      </c>
    </row>
    <row r="44" spans="1:22">
      <c r="A44" t="str">
        <f t="shared" si="9"/>
        <v>03/12/2025</v>
      </c>
      <c r="B44" t="str">
        <f t="shared" si="6"/>
        <v>ENTRADA</v>
      </c>
      <c r="C44" t="str">
        <f t="shared" si="10"/>
        <v>NFSE</v>
      </c>
      <c r="D44" t="str">
        <f t="shared" si="11"/>
        <v>3910</v>
      </c>
      <c r="E44" t="str">
        <f t="shared" si="7"/>
        <v>1</v>
      </c>
      <c r="F44" t="str">
        <f t="shared" si="8"/>
        <v>COM</v>
      </c>
      <c r="G44" t="str">
        <f t="shared" si="12"/>
        <v>FARMÁCIA INDIANA LJ 1 (10126)</v>
      </c>
      <c r="H44" t="s">
        <v>40</v>
      </c>
      <c r="I44" t="str">
        <f t="shared" si="13"/>
        <v>03/12/2025</v>
      </c>
      <c r="J44" t="str">
        <f t="shared" si="14"/>
        <v>25/11/2025</v>
      </c>
      <c r="K44">
        <v>45994</v>
      </c>
      <c r="N44">
        <v>303</v>
      </c>
      <c r="O44" t="s">
        <v>30</v>
      </c>
      <c r="Q44">
        <v>67</v>
      </c>
      <c r="R44" t="str">
        <f>"FARMÁCIA INDIANA LJ 143 (10067)"</f>
        <v>FARMÁCIA INDIANA LJ 143 (10067)</v>
      </c>
      <c r="S44" t="s">
        <v>31</v>
      </c>
      <c r="T44">
        <v>3429</v>
      </c>
      <c r="U44">
        <v>2821</v>
      </c>
      <c r="V44" t="s">
        <v>22</v>
      </c>
    </row>
    <row r="45" spans="1:22">
      <c r="A45" t="str">
        <f t="shared" si="9"/>
        <v>03/12/2025</v>
      </c>
      <c r="B45" t="str">
        <f t="shared" si="6"/>
        <v>ENTRADA</v>
      </c>
      <c r="C45" t="str">
        <f t="shared" si="10"/>
        <v>NFSE</v>
      </c>
      <c r="D45" t="str">
        <f t="shared" si="11"/>
        <v>3910</v>
      </c>
      <c r="E45" t="str">
        <f t="shared" si="7"/>
        <v>1</v>
      </c>
      <c r="F45" t="str">
        <f t="shared" si="8"/>
        <v>COM</v>
      </c>
      <c r="G45" t="str">
        <f t="shared" si="12"/>
        <v>FARMÁCIA INDIANA LJ 1 (10126)</v>
      </c>
      <c r="H45" t="s">
        <v>40</v>
      </c>
      <c r="I45" t="str">
        <f t="shared" si="13"/>
        <v>03/12/2025</v>
      </c>
      <c r="J45" t="str">
        <f t="shared" si="14"/>
        <v>25/11/2025</v>
      </c>
      <c r="K45">
        <v>45994</v>
      </c>
      <c r="N45">
        <v>303</v>
      </c>
      <c r="O45" t="s">
        <v>30</v>
      </c>
      <c r="Q45">
        <v>318.26</v>
      </c>
      <c r="R45" t="str">
        <f>"FARMÁCIA INDIANA LJ 152 (10069)"</f>
        <v>FARMÁCIA INDIANA LJ 152 (10069)</v>
      </c>
      <c r="S45" t="s">
        <v>31</v>
      </c>
      <c r="T45">
        <v>3429</v>
      </c>
      <c r="U45">
        <v>2821</v>
      </c>
      <c r="V45" t="s">
        <v>22</v>
      </c>
    </row>
    <row r="46" spans="1:22">
      <c r="A46" t="str">
        <f t="shared" si="9"/>
        <v>03/12/2025</v>
      </c>
      <c r="B46" t="str">
        <f t="shared" si="6"/>
        <v>ENTRADA</v>
      </c>
      <c r="C46" t="str">
        <f t="shared" si="10"/>
        <v>NFSE</v>
      </c>
      <c r="D46" t="str">
        <f t="shared" si="11"/>
        <v>3910</v>
      </c>
      <c r="E46" t="str">
        <f t="shared" si="7"/>
        <v>1</v>
      </c>
      <c r="F46" t="str">
        <f t="shared" si="8"/>
        <v>COM</v>
      </c>
      <c r="G46" t="str">
        <f t="shared" si="12"/>
        <v>FARMÁCIA INDIANA LJ 1 (10126)</v>
      </c>
      <c r="H46" t="s">
        <v>40</v>
      </c>
      <c r="I46" t="str">
        <f t="shared" si="13"/>
        <v>03/12/2025</v>
      </c>
      <c r="J46" t="str">
        <f t="shared" si="14"/>
        <v>25/11/2025</v>
      </c>
      <c r="K46">
        <v>45994</v>
      </c>
      <c r="N46">
        <v>303</v>
      </c>
      <c r="O46" t="s">
        <v>30</v>
      </c>
      <c r="Q46">
        <v>24.48</v>
      </c>
      <c r="R46" t="str">
        <f>"FARMÁCIA INDIANA LJ 154 (10070)"</f>
        <v>FARMÁCIA INDIANA LJ 154 (10070)</v>
      </c>
      <c r="S46" t="s">
        <v>31</v>
      </c>
      <c r="T46">
        <v>3429</v>
      </c>
      <c r="U46">
        <v>2821</v>
      </c>
      <c r="V46" t="s">
        <v>22</v>
      </c>
    </row>
    <row r="47" spans="1:22">
      <c r="A47" t="str">
        <f t="shared" si="9"/>
        <v>03/12/2025</v>
      </c>
      <c r="B47" t="str">
        <f t="shared" ref="B47:B78" si="15">"ENTRADA"</f>
        <v>ENTRADA</v>
      </c>
      <c r="C47" t="str">
        <f t="shared" si="10"/>
        <v>NFSE</v>
      </c>
      <c r="D47" t="str">
        <f t="shared" si="11"/>
        <v>3910</v>
      </c>
      <c r="E47" t="str">
        <f t="shared" ref="E47:E78" si="16">"1"</f>
        <v>1</v>
      </c>
      <c r="F47" t="str">
        <f t="shared" ref="F47:F78" si="17">"COM"</f>
        <v>COM</v>
      </c>
      <c r="G47" t="str">
        <f t="shared" si="12"/>
        <v>FARMÁCIA INDIANA LJ 1 (10126)</v>
      </c>
      <c r="H47" t="s">
        <v>40</v>
      </c>
      <c r="I47" t="str">
        <f t="shared" si="13"/>
        <v>03/12/2025</v>
      </c>
      <c r="J47" t="str">
        <f t="shared" si="14"/>
        <v>25/11/2025</v>
      </c>
      <c r="K47">
        <v>45994</v>
      </c>
      <c r="N47">
        <v>303</v>
      </c>
      <c r="O47" t="s">
        <v>30</v>
      </c>
      <c r="Q47">
        <v>213.89</v>
      </c>
      <c r="R47" t="str">
        <f>"FARMÁCIA INDIANA LJ 171 (10074)"</f>
        <v>FARMÁCIA INDIANA LJ 171 (10074)</v>
      </c>
      <c r="S47" t="s">
        <v>31</v>
      </c>
      <c r="T47">
        <v>3429</v>
      </c>
      <c r="U47">
        <v>2821</v>
      </c>
      <c r="V47" t="s">
        <v>22</v>
      </c>
    </row>
    <row r="48" spans="1:22">
      <c r="A48" t="str">
        <f t="shared" si="9"/>
        <v>03/12/2025</v>
      </c>
      <c r="B48" t="str">
        <f t="shared" si="15"/>
        <v>ENTRADA</v>
      </c>
      <c r="C48" t="str">
        <f t="shared" si="10"/>
        <v>NFSE</v>
      </c>
      <c r="D48" t="str">
        <f t="shared" si="11"/>
        <v>3910</v>
      </c>
      <c r="E48" t="str">
        <f t="shared" si="16"/>
        <v>1</v>
      </c>
      <c r="F48" t="str">
        <f t="shared" si="17"/>
        <v>COM</v>
      </c>
      <c r="G48" t="str">
        <f t="shared" si="12"/>
        <v>FARMÁCIA INDIANA LJ 1 (10126)</v>
      </c>
      <c r="H48" t="s">
        <v>40</v>
      </c>
      <c r="I48" t="str">
        <f t="shared" si="13"/>
        <v>03/12/2025</v>
      </c>
      <c r="J48" t="str">
        <f t="shared" si="14"/>
        <v>25/11/2025</v>
      </c>
      <c r="K48">
        <v>45994</v>
      </c>
      <c r="N48">
        <v>303</v>
      </c>
      <c r="O48" t="s">
        <v>30</v>
      </c>
      <c r="Q48">
        <v>82.46</v>
      </c>
      <c r="R48" t="str">
        <f>"FARMÁCIA INDIANA LJ 175 (10076)"</f>
        <v>FARMÁCIA INDIANA LJ 175 (10076)</v>
      </c>
      <c r="S48" t="s">
        <v>31</v>
      </c>
      <c r="T48">
        <v>3429</v>
      </c>
      <c r="U48">
        <v>2821</v>
      </c>
      <c r="V48" t="s">
        <v>22</v>
      </c>
    </row>
    <row r="49" spans="1:22">
      <c r="A49" t="str">
        <f t="shared" ref="A49:A80" si="18">("03/12/2025")</f>
        <v>03/12/2025</v>
      </c>
      <c r="B49" t="str">
        <f t="shared" si="15"/>
        <v>ENTRADA</v>
      </c>
      <c r="C49" t="str">
        <f t="shared" ref="C49:C80" si="19">"NFSE"</f>
        <v>NFSE</v>
      </c>
      <c r="D49" t="str">
        <f t="shared" ref="D49:D65" si="20">"3910"</f>
        <v>3910</v>
      </c>
      <c r="E49" t="str">
        <f t="shared" si="16"/>
        <v>1</v>
      </c>
      <c r="F49" t="str">
        <f t="shared" si="17"/>
        <v>COM</v>
      </c>
      <c r="G49" t="str">
        <f t="shared" ref="G49:G65" si="21">"FARMÁCIA INDIANA LJ 1 (10126)"</f>
        <v>FARMÁCIA INDIANA LJ 1 (10126)</v>
      </c>
      <c r="H49" t="s">
        <v>40</v>
      </c>
      <c r="I49" t="str">
        <f t="shared" ref="I49:I80" si="22">("03/12/2025")</f>
        <v>03/12/2025</v>
      </c>
      <c r="J49" t="str">
        <f t="shared" ref="J49:J80" si="23">("25/11/2025")</f>
        <v>25/11/2025</v>
      </c>
      <c r="K49">
        <v>45994</v>
      </c>
      <c r="N49">
        <v>303</v>
      </c>
      <c r="O49" t="s">
        <v>30</v>
      </c>
      <c r="Q49">
        <v>128.85</v>
      </c>
      <c r="R49" t="str">
        <f>"FARMÁCIA INDIANA LJ 178 (10077)"</f>
        <v>FARMÁCIA INDIANA LJ 178 (10077)</v>
      </c>
      <c r="S49" t="s">
        <v>31</v>
      </c>
      <c r="T49">
        <v>3429</v>
      </c>
      <c r="U49">
        <v>2821</v>
      </c>
      <c r="V49" t="s">
        <v>22</v>
      </c>
    </row>
    <row r="50" spans="1:22">
      <c r="A50" t="str">
        <f t="shared" si="18"/>
        <v>03/12/2025</v>
      </c>
      <c r="B50" t="str">
        <f t="shared" si="15"/>
        <v>ENTRADA</v>
      </c>
      <c r="C50" t="str">
        <f t="shared" si="19"/>
        <v>NFSE</v>
      </c>
      <c r="D50" t="str">
        <f t="shared" si="20"/>
        <v>3910</v>
      </c>
      <c r="E50" t="str">
        <f t="shared" si="16"/>
        <v>1</v>
      </c>
      <c r="F50" t="str">
        <f t="shared" si="17"/>
        <v>COM</v>
      </c>
      <c r="G50" t="str">
        <f t="shared" si="21"/>
        <v>FARMÁCIA INDIANA LJ 1 (10126)</v>
      </c>
      <c r="H50" t="s">
        <v>40</v>
      </c>
      <c r="I50" t="str">
        <f t="shared" si="22"/>
        <v>03/12/2025</v>
      </c>
      <c r="J50" t="str">
        <f t="shared" si="23"/>
        <v>25/11/2025</v>
      </c>
      <c r="K50">
        <v>45994</v>
      </c>
      <c r="N50">
        <v>303</v>
      </c>
      <c r="O50" t="s">
        <v>30</v>
      </c>
      <c r="Q50">
        <v>50.25</v>
      </c>
      <c r="R50" t="str">
        <f>"FARMÁCIA INDIANA LJ 182 (10079)"</f>
        <v>FARMÁCIA INDIANA LJ 182 (10079)</v>
      </c>
      <c r="S50" t="s">
        <v>31</v>
      </c>
      <c r="T50">
        <v>3429</v>
      </c>
      <c r="U50">
        <v>2821</v>
      </c>
      <c r="V50" t="s">
        <v>22</v>
      </c>
    </row>
    <row r="51" spans="1:22">
      <c r="A51" t="str">
        <f t="shared" si="18"/>
        <v>03/12/2025</v>
      </c>
      <c r="B51" t="str">
        <f t="shared" si="15"/>
        <v>ENTRADA</v>
      </c>
      <c r="C51" t="str">
        <f t="shared" si="19"/>
        <v>NFSE</v>
      </c>
      <c r="D51" t="str">
        <f t="shared" si="20"/>
        <v>3910</v>
      </c>
      <c r="E51" t="str">
        <f t="shared" si="16"/>
        <v>1</v>
      </c>
      <c r="F51" t="str">
        <f t="shared" si="17"/>
        <v>COM</v>
      </c>
      <c r="G51" t="str">
        <f t="shared" si="21"/>
        <v>FARMÁCIA INDIANA LJ 1 (10126)</v>
      </c>
      <c r="H51" t="s">
        <v>40</v>
      </c>
      <c r="I51" t="str">
        <f t="shared" si="22"/>
        <v>03/12/2025</v>
      </c>
      <c r="J51" t="str">
        <f t="shared" si="23"/>
        <v>25/11/2025</v>
      </c>
      <c r="K51">
        <v>45994</v>
      </c>
      <c r="N51">
        <v>303</v>
      </c>
      <c r="O51" t="s">
        <v>30</v>
      </c>
      <c r="Q51">
        <v>39.94</v>
      </c>
      <c r="R51" t="str">
        <f>"FARMÁCIA INDIANA LJ 184 (10080)"</f>
        <v>FARMÁCIA INDIANA LJ 184 (10080)</v>
      </c>
      <c r="S51" t="s">
        <v>31</v>
      </c>
      <c r="T51">
        <v>3429</v>
      </c>
      <c r="U51">
        <v>2821</v>
      </c>
      <c r="V51" t="s">
        <v>22</v>
      </c>
    </row>
    <row r="52" spans="1:22">
      <c r="A52" t="str">
        <f t="shared" si="18"/>
        <v>03/12/2025</v>
      </c>
      <c r="B52" t="str">
        <f t="shared" si="15"/>
        <v>ENTRADA</v>
      </c>
      <c r="C52" t="str">
        <f t="shared" si="19"/>
        <v>NFSE</v>
      </c>
      <c r="D52" t="str">
        <f t="shared" si="20"/>
        <v>3910</v>
      </c>
      <c r="E52" t="str">
        <f t="shared" si="16"/>
        <v>1</v>
      </c>
      <c r="F52" t="str">
        <f t="shared" si="17"/>
        <v>COM</v>
      </c>
      <c r="G52" t="str">
        <f t="shared" si="21"/>
        <v>FARMÁCIA INDIANA LJ 1 (10126)</v>
      </c>
      <c r="H52" t="s">
        <v>40</v>
      </c>
      <c r="I52" t="str">
        <f t="shared" si="22"/>
        <v>03/12/2025</v>
      </c>
      <c r="J52" t="str">
        <f t="shared" si="23"/>
        <v>25/11/2025</v>
      </c>
      <c r="K52">
        <v>45994</v>
      </c>
      <c r="N52">
        <v>303</v>
      </c>
      <c r="O52" t="s">
        <v>30</v>
      </c>
      <c r="Q52">
        <v>50.25</v>
      </c>
      <c r="R52" t="str">
        <f>"FARMÁCIA INDIANA LJ 186 (10081)"</f>
        <v>FARMÁCIA INDIANA LJ 186 (10081)</v>
      </c>
      <c r="S52" t="s">
        <v>31</v>
      </c>
      <c r="T52">
        <v>3429</v>
      </c>
      <c r="U52">
        <v>2821</v>
      </c>
      <c r="V52" t="s">
        <v>22</v>
      </c>
    </row>
    <row r="53" spans="1:22">
      <c r="A53" t="str">
        <f t="shared" si="18"/>
        <v>03/12/2025</v>
      </c>
      <c r="B53" t="str">
        <f t="shared" si="15"/>
        <v>ENTRADA</v>
      </c>
      <c r="C53" t="str">
        <f t="shared" si="19"/>
        <v>NFSE</v>
      </c>
      <c r="D53" t="str">
        <f t="shared" si="20"/>
        <v>3910</v>
      </c>
      <c r="E53" t="str">
        <f t="shared" si="16"/>
        <v>1</v>
      </c>
      <c r="F53" t="str">
        <f t="shared" si="17"/>
        <v>COM</v>
      </c>
      <c r="G53" t="str">
        <f t="shared" si="21"/>
        <v>FARMÁCIA INDIANA LJ 1 (10126)</v>
      </c>
      <c r="H53" t="s">
        <v>40</v>
      </c>
      <c r="I53" t="str">
        <f t="shared" si="22"/>
        <v>03/12/2025</v>
      </c>
      <c r="J53" t="str">
        <f t="shared" si="23"/>
        <v>25/11/2025</v>
      </c>
      <c r="K53">
        <v>45994</v>
      </c>
      <c r="N53">
        <v>303</v>
      </c>
      <c r="O53" t="s">
        <v>30</v>
      </c>
      <c r="Q53">
        <v>137.87</v>
      </c>
      <c r="R53" t="str">
        <f>"FARMÁCIA INDIANA LJ 192 (10082)"</f>
        <v>FARMÁCIA INDIANA LJ 192 (10082)</v>
      </c>
      <c r="S53" t="s">
        <v>31</v>
      </c>
      <c r="T53">
        <v>3429</v>
      </c>
      <c r="U53">
        <v>2821</v>
      </c>
      <c r="V53" t="s">
        <v>22</v>
      </c>
    </row>
    <row r="54" spans="1:22">
      <c r="A54" t="str">
        <f t="shared" si="18"/>
        <v>03/12/2025</v>
      </c>
      <c r="B54" t="str">
        <f t="shared" si="15"/>
        <v>ENTRADA</v>
      </c>
      <c r="C54" t="str">
        <f t="shared" si="19"/>
        <v>NFSE</v>
      </c>
      <c r="D54" t="str">
        <f t="shared" si="20"/>
        <v>3910</v>
      </c>
      <c r="E54" t="str">
        <f t="shared" si="16"/>
        <v>1</v>
      </c>
      <c r="F54" t="str">
        <f t="shared" si="17"/>
        <v>COM</v>
      </c>
      <c r="G54" t="str">
        <f t="shared" si="21"/>
        <v>FARMÁCIA INDIANA LJ 1 (10126)</v>
      </c>
      <c r="H54" t="s">
        <v>40</v>
      </c>
      <c r="I54" t="str">
        <f t="shared" si="22"/>
        <v>03/12/2025</v>
      </c>
      <c r="J54" t="str">
        <f t="shared" si="23"/>
        <v>25/11/2025</v>
      </c>
      <c r="K54">
        <v>45994</v>
      </c>
      <c r="N54">
        <v>303</v>
      </c>
      <c r="O54" t="s">
        <v>30</v>
      </c>
      <c r="Q54">
        <v>39.94</v>
      </c>
      <c r="R54" t="str">
        <f>"FARMÁCIA INDIANA LJ 195 (10083)"</f>
        <v>FARMÁCIA INDIANA LJ 195 (10083)</v>
      </c>
      <c r="S54" t="s">
        <v>31</v>
      </c>
      <c r="T54">
        <v>3429</v>
      </c>
      <c r="U54">
        <v>2821</v>
      </c>
      <c r="V54" t="s">
        <v>22</v>
      </c>
    </row>
    <row r="55" spans="1:22">
      <c r="A55" t="str">
        <f t="shared" si="18"/>
        <v>03/12/2025</v>
      </c>
      <c r="B55" t="str">
        <f t="shared" si="15"/>
        <v>ENTRADA</v>
      </c>
      <c r="C55" t="str">
        <f t="shared" si="19"/>
        <v>NFSE</v>
      </c>
      <c r="D55" t="str">
        <f t="shared" si="20"/>
        <v>3910</v>
      </c>
      <c r="E55" t="str">
        <f t="shared" si="16"/>
        <v>1</v>
      </c>
      <c r="F55" t="str">
        <f t="shared" si="17"/>
        <v>COM</v>
      </c>
      <c r="G55" t="str">
        <f t="shared" si="21"/>
        <v>FARMÁCIA INDIANA LJ 1 (10126)</v>
      </c>
      <c r="H55" t="s">
        <v>40</v>
      </c>
      <c r="I55" t="str">
        <f t="shared" si="22"/>
        <v>03/12/2025</v>
      </c>
      <c r="J55" t="str">
        <f t="shared" si="23"/>
        <v>25/11/2025</v>
      </c>
      <c r="K55">
        <v>45994</v>
      </c>
      <c r="N55">
        <v>303</v>
      </c>
      <c r="O55" t="s">
        <v>30</v>
      </c>
      <c r="Q55">
        <v>99.21</v>
      </c>
      <c r="R55" t="str">
        <f>"FARMÁCIA INDIANA LJ 202 (10085)"</f>
        <v>FARMÁCIA INDIANA LJ 202 (10085)</v>
      </c>
      <c r="S55" t="s">
        <v>31</v>
      </c>
      <c r="T55">
        <v>3429</v>
      </c>
      <c r="U55">
        <v>2821</v>
      </c>
      <c r="V55" t="s">
        <v>22</v>
      </c>
    </row>
    <row r="56" spans="1:22">
      <c r="A56" t="str">
        <f t="shared" si="18"/>
        <v>03/12/2025</v>
      </c>
      <c r="B56" t="str">
        <f t="shared" si="15"/>
        <v>ENTRADA</v>
      </c>
      <c r="C56" t="str">
        <f t="shared" si="19"/>
        <v>NFSE</v>
      </c>
      <c r="D56" t="str">
        <f t="shared" si="20"/>
        <v>3910</v>
      </c>
      <c r="E56" t="str">
        <f t="shared" si="16"/>
        <v>1</v>
      </c>
      <c r="F56" t="str">
        <f t="shared" si="17"/>
        <v>COM</v>
      </c>
      <c r="G56" t="str">
        <f t="shared" si="21"/>
        <v>FARMÁCIA INDIANA LJ 1 (10126)</v>
      </c>
      <c r="H56" t="s">
        <v>40</v>
      </c>
      <c r="I56" t="str">
        <f t="shared" si="22"/>
        <v>03/12/2025</v>
      </c>
      <c r="J56" t="str">
        <f t="shared" si="23"/>
        <v>25/11/2025</v>
      </c>
      <c r="K56">
        <v>45994</v>
      </c>
      <c r="N56">
        <v>303</v>
      </c>
      <c r="O56" t="s">
        <v>30</v>
      </c>
      <c r="Q56">
        <v>79.89</v>
      </c>
      <c r="R56" t="str">
        <f>"FARMÁCIA INDIANA LJ 204 (10087)"</f>
        <v>FARMÁCIA INDIANA LJ 204 (10087)</v>
      </c>
      <c r="S56" t="s">
        <v>31</v>
      </c>
      <c r="T56">
        <v>3429</v>
      </c>
      <c r="U56">
        <v>2821</v>
      </c>
      <c r="V56" t="s">
        <v>22</v>
      </c>
    </row>
    <row r="57" spans="1:22">
      <c r="A57" t="str">
        <f t="shared" si="18"/>
        <v>03/12/2025</v>
      </c>
      <c r="B57" t="str">
        <f t="shared" si="15"/>
        <v>ENTRADA</v>
      </c>
      <c r="C57" t="str">
        <f t="shared" si="19"/>
        <v>NFSE</v>
      </c>
      <c r="D57" t="str">
        <f t="shared" si="20"/>
        <v>3910</v>
      </c>
      <c r="E57" t="str">
        <f t="shared" si="16"/>
        <v>1</v>
      </c>
      <c r="F57" t="str">
        <f t="shared" si="17"/>
        <v>COM</v>
      </c>
      <c r="G57" t="str">
        <f t="shared" si="21"/>
        <v>FARMÁCIA INDIANA LJ 1 (10126)</v>
      </c>
      <c r="H57" t="s">
        <v>40</v>
      </c>
      <c r="I57" t="str">
        <f t="shared" si="22"/>
        <v>03/12/2025</v>
      </c>
      <c r="J57" t="str">
        <f t="shared" si="23"/>
        <v>25/11/2025</v>
      </c>
      <c r="K57">
        <v>45994</v>
      </c>
      <c r="N57">
        <v>303</v>
      </c>
      <c r="O57" t="s">
        <v>30</v>
      </c>
      <c r="Q57">
        <v>146.88999999999999</v>
      </c>
      <c r="R57" t="str">
        <f>"FARMÁCIA INDIANA LJ 207 (10088)"</f>
        <v>FARMÁCIA INDIANA LJ 207 (10088)</v>
      </c>
      <c r="S57" t="s">
        <v>31</v>
      </c>
      <c r="T57">
        <v>3429</v>
      </c>
      <c r="U57">
        <v>2821</v>
      </c>
      <c r="V57" t="s">
        <v>22</v>
      </c>
    </row>
    <row r="58" spans="1:22">
      <c r="A58" t="str">
        <f t="shared" si="18"/>
        <v>03/12/2025</v>
      </c>
      <c r="B58" t="str">
        <f t="shared" si="15"/>
        <v>ENTRADA</v>
      </c>
      <c r="C58" t="str">
        <f t="shared" si="19"/>
        <v>NFSE</v>
      </c>
      <c r="D58" t="str">
        <f t="shared" si="20"/>
        <v>3910</v>
      </c>
      <c r="E58" t="str">
        <f t="shared" si="16"/>
        <v>1</v>
      </c>
      <c r="F58" t="str">
        <f t="shared" si="17"/>
        <v>COM</v>
      </c>
      <c r="G58" t="str">
        <f t="shared" si="21"/>
        <v>FARMÁCIA INDIANA LJ 1 (10126)</v>
      </c>
      <c r="H58" t="s">
        <v>40</v>
      </c>
      <c r="I58" t="str">
        <f t="shared" si="22"/>
        <v>03/12/2025</v>
      </c>
      <c r="J58" t="str">
        <f t="shared" si="23"/>
        <v>25/11/2025</v>
      </c>
      <c r="K58">
        <v>45994</v>
      </c>
      <c r="N58">
        <v>303</v>
      </c>
      <c r="O58" t="s">
        <v>30</v>
      </c>
      <c r="Q58">
        <v>124.98</v>
      </c>
      <c r="R58" t="str">
        <f>"FARMÁCIA INDIANA LJ 209 (10089)"</f>
        <v>FARMÁCIA INDIANA LJ 209 (10089)</v>
      </c>
      <c r="S58" t="s">
        <v>31</v>
      </c>
      <c r="T58">
        <v>3429</v>
      </c>
      <c r="U58">
        <v>2821</v>
      </c>
      <c r="V58" t="s">
        <v>22</v>
      </c>
    </row>
    <row r="59" spans="1:22">
      <c r="A59" t="str">
        <f t="shared" si="18"/>
        <v>03/12/2025</v>
      </c>
      <c r="B59" t="str">
        <f t="shared" si="15"/>
        <v>ENTRADA</v>
      </c>
      <c r="C59" t="str">
        <f t="shared" si="19"/>
        <v>NFSE</v>
      </c>
      <c r="D59" t="str">
        <f t="shared" si="20"/>
        <v>3910</v>
      </c>
      <c r="E59" t="str">
        <f t="shared" si="16"/>
        <v>1</v>
      </c>
      <c r="F59" t="str">
        <f t="shared" si="17"/>
        <v>COM</v>
      </c>
      <c r="G59" t="str">
        <f t="shared" si="21"/>
        <v>FARMÁCIA INDIANA LJ 1 (10126)</v>
      </c>
      <c r="H59" t="s">
        <v>40</v>
      </c>
      <c r="I59" t="str">
        <f t="shared" si="22"/>
        <v>03/12/2025</v>
      </c>
      <c r="J59" t="str">
        <f t="shared" si="23"/>
        <v>25/11/2025</v>
      </c>
      <c r="K59">
        <v>45994</v>
      </c>
      <c r="N59">
        <v>303</v>
      </c>
      <c r="O59" t="s">
        <v>30</v>
      </c>
      <c r="Q59">
        <v>216.47</v>
      </c>
      <c r="R59" t="str">
        <f>"FARMÁCIA INDIANA LJ 219 (10091)"</f>
        <v>FARMÁCIA INDIANA LJ 219 (10091)</v>
      </c>
      <c r="S59" t="s">
        <v>31</v>
      </c>
      <c r="T59">
        <v>3429</v>
      </c>
      <c r="U59">
        <v>2821</v>
      </c>
      <c r="V59" t="s">
        <v>22</v>
      </c>
    </row>
    <row r="60" spans="1:22">
      <c r="A60" t="str">
        <f t="shared" si="18"/>
        <v>03/12/2025</v>
      </c>
      <c r="B60" t="str">
        <f t="shared" si="15"/>
        <v>ENTRADA</v>
      </c>
      <c r="C60" t="str">
        <f t="shared" si="19"/>
        <v>NFSE</v>
      </c>
      <c r="D60" t="str">
        <f t="shared" si="20"/>
        <v>3910</v>
      </c>
      <c r="E60" t="str">
        <f t="shared" si="16"/>
        <v>1</v>
      </c>
      <c r="F60" t="str">
        <f t="shared" si="17"/>
        <v>COM</v>
      </c>
      <c r="G60" t="str">
        <f t="shared" si="21"/>
        <v>FARMÁCIA INDIANA LJ 1 (10126)</v>
      </c>
      <c r="H60" t="s">
        <v>40</v>
      </c>
      <c r="I60" t="str">
        <f t="shared" si="22"/>
        <v>03/12/2025</v>
      </c>
      <c r="J60" t="str">
        <f t="shared" si="23"/>
        <v>25/11/2025</v>
      </c>
      <c r="K60">
        <v>45994</v>
      </c>
      <c r="N60">
        <v>303</v>
      </c>
      <c r="O60" t="s">
        <v>30</v>
      </c>
      <c r="Q60">
        <v>282.18</v>
      </c>
      <c r="R60" t="str">
        <f>"FARMÁCIA INDIANA LJ 220 (10092)"</f>
        <v>FARMÁCIA INDIANA LJ 220 (10092)</v>
      </c>
      <c r="S60" t="s">
        <v>31</v>
      </c>
      <c r="T60">
        <v>3429</v>
      </c>
      <c r="U60">
        <v>2821</v>
      </c>
      <c r="V60" t="s">
        <v>22</v>
      </c>
    </row>
    <row r="61" spans="1:22">
      <c r="A61" t="str">
        <f t="shared" si="18"/>
        <v>03/12/2025</v>
      </c>
      <c r="B61" t="str">
        <f t="shared" si="15"/>
        <v>ENTRADA</v>
      </c>
      <c r="C61" t="str">
        <f t="shared" si="19"/>
        <v>NFSE</v>
      </c>
      <c r="D61" t="str">
        <f t="shared" si="20"/>
        <v>3910</v>
      </c>
      <c r="E61" t="str">
        <f t="shared" si="16"/>
        <v>1</v>
      </c>
      <c r="F61" t="str">
        <f t="shared" si="17"/>
        <v>COM</v>
      </c>
      <c r="G61" t="str">
        <f t="shared" si="21"/>
        <v>FARMÁCIA INDIANA LJ 1 (10126)</v>
      </c>
      <c r="H61" t="s">
        <v>40</v>
      </c>
      <c r="I61" t="str">
        <f t="shared" si="22"/>
        <v>03/12/2025</v>
      </c>
      <c r="J61" t="str">
        <f t="shared" si="23"/>
        <v>25/11/2025</v>
      </c>
      <c r="K61">
        <v>45994</v>
      </c>
      <c r="N61">
        <v>303</v>
      </c>
      <c r="O61" t="s">
        <v>30</v>
      </c>
      <c r="Q61">
        <v>114.68</v>
      </c>
      <c r="R61" t="str">
        <f>"FARMÁCIA INDIANA LJ 185 (10141)"</f>
        <v>FARMÁCIA INDIANA LJ 185 (10141)</v>
      </c>
      <c r="S61" t="s">
        <v>31</v>
      </c>
      <c r="T61">
        <v>3429</v>
      </c>
      <c r="U61">
        <v>2821</v>
      </c>
      <c r="V61" t="s">
        <v>22</v>
      </c>
    </row>
    <row r="62" spans="1:22">
      <c r="A62" t="str">
        <f t="shared" si="18"/>
        <v>03/12/2025</v>
      </c>
      <c r="B62" t="str">
        <f t="shared" si="15"/>
        <v>ENTRADA</v>
      </c>
      <c r="C62" t="str">
        <f t="shared" si="19"/>
        <v>NFSE</v>
      </c>
      <c r="D62" t="str">
        <f t="shared" si="20"/>
        <v>3910</v>
      </c>
      <c r="E62" t="str">
        <f t="shared" si="16"/>
        <v>1</v>
      </c>
      <c r="F62" t="str">
        <f t="shared" si="17"/>
        <v>COM</v>
      </c>
      <c r="G62" t="str">
        <f t="shared" si="21"/>
        <v>FARMÁCIA INDIANA LJ 1 (10126)</v>
      </c>
      <c r="H62" t="s">
        <v>40</v>
      </c>
      <c r="I62" t="str">
        <f t="shared" si="22"/>
        <v>03/12/2025</v>
      </c>
      <c r="J62" t="str">
        <f t="shared" si="23"/>
        <v>25/11/2025</v>
      </c>
      <c r="K62">
        <v>45994</v>
      </c>
      <c r="N62">
        <v>303</v>
      </c>
      <c r="O62" t="s">
        <v>30</v>
      </c>
      <c r="Q62">
        <v>106.94</v>
      </c>
      <c r="R62" t="str">
        <f>"FARMÁCIA INDIANA LJ 205 (10150)"</f>
        <v>FARMÁCIA INDIANA LJ 205 (10150)</v>
      </c>
      <c r="S62" t="s">
        <v>31</v>
      </c>
      <c r="T62">
        <v>3429</v>
      </c>
      <c r="U62">
        <v>2821</v>
      </c>
      <c r="V62" t="s">
        <v>22</v>
      </c>
    </row>
    <row r="63" spans="1:22">
      <c r="A63" t="str">
        <f t="shared" si="18"/>
        <v>03/12/2025</v>
      </c>
      <c r="B63" t="str">
        <f t="shared" si="15"/>
        <v>ENTRADA</v>
      </c>
      <c r="C63" t="str">
        <f t="shared" si="19"/>
        <v>NFSE</v>
      </c>
      <c r="D63" t="str">
        <f t="shared" si="20"/>
        <v>3910</v>
      </c>
      <c r="E63" t="str">
        <f t="shared" si="16"/>
        <v>1</v>
      </c>
      <c r="F63" t="str">
        <f t="shared" si="17"/>
        <v>COM</v>
      </c>
      <c r="G63" t="str">
        <f t="shared" si="21"/>
        <v>FARMÁCIA INDIANA LJ 1 (10126)</v>
      </c>
      <c r="H63" t="s">
        <v>40</v>
      </c>
      <c r="I63" t="str">
        <f t="shared" si="22"/>
        <v>03/12/2025</v>
      </c>
      <c r="J63" t="str">
        <f t="shared" si="23"/>
        <v>25/11/2025</v>
      </c>
      <c r="K63">
        <v>45994</v>
      </c>
      <c r="N63">
        <v>303</v>
      </c>
      <c r="O63" t="s">
        <v>30</v>
      </c>
      <c r="Q63">
        <v>583.69000000000005</v>
      </c>
      <c r="R63" t="str">
        <f>"FARMÁCIA INDIANA LJ 172 (10161)"</f>
        <v>FARMÁCIA INDIANA LJ 172 (10161)</v>
      </c>
      <c r="S63" t="s">
        <v>31</v>
      </c>
      <c r="T63">
        <v>3429</v>
      </c>
      <c r="U63">
        <v>2821</v>
      </c>
      <c r="V63" t="s">
        <v>22</v>
      </c>
    </row>
    <row r="64" spans="1:22">
      <c r="A64" t="str">
        <f t="shared" si="18"/>
        <v>03/12/2025</v>
      </c>
      <c r="B64" t="str">
        <f t="shared" si="15"/>
        <v>ENTRADA</v>
      </c>
      <c r="C64" t="str">
        <f t="shared" si="19"/>
        <v>NFSE</v>
      </c>
      <c r="D64" t="str">
        <f t="shared" si="20"/>
        <v>3910</v>
      </c>
      <c r="E64" t="str">
        <f t="shared" si="16"/>
        <v>1</v>
      </c>
      <c r="F64" t="str">
        <f t="shared" si="17"/>
        <v>COM</v>
      </c>
      <c r="G64" t="str">
        <f t="shared" si="21"/>
        <v>FARMÁCIA INDIANA LJ 1 (10126)</v>
      </c>
      <c r="H64" t="s">
        <v>40</v>
      </c>
      <c r="I64" t="str">
        <f t="shared" si="22"/>
        <v>03/12/2025</v>
      </c>
      <c r="J64" t="str">
        <f t="shared" si="23"/>
        <v>25/11/2025</v>
      </c>
      <c r="K64">
        <v>45994</v>
      </c>
      <c r="N64">
        <v>303</v>
      </c>
      <c r="O64" t="s">
        <v>30</v>
      </c>
      <c r="Q64">
        <v>79.89</v>
      </c>
      <c r="R64" t="str">
        <f>"FARMÁCIA INDIANA LJ 266 (10186)"</f>
        <v>FARMÁCIA INDIANA LJ 266 (10186)</v>
      </c>
      <c r="S64" t="s">
        <v>31</v>
      </c>
      <c r="T64">
        <v>3429</v>
      </c>
      <c r="U64">
        <v>2821</v>
      </c>
      <c r="V64" t="s">
        <v>22</v>
      </c>
    </row>
    <row r="65" spans="1:22">
      <c r="A65" t="str">
        <f t="shared" si="18"/>
        <v>03/12/2025</v>
      </c>
      <c r="B65" t="str">
        <f t="shared" si="15"/>
        <v>ENTRADA</v>
      </c>
      <c r="C65" t="str">
        <f t="shared" si="19"/>
        <v>NFSE</v>
      </c>
      <c r="D65" t="str">
        <f t="shared" si="20"/>
        <v>3910</v>
      </c>
      <c r="E65" t="str">
        <f t="shared" si="16"/>
        <v>1</v>
      </c>
      <c r="F65" t="str">
        <f t="shared" si="17"/>
        <v>COM</v>
      </c>
      <c r="G65" t="str">
        <f t="shared" si="21"/>
        <v>FARMÁCIA INDIANA LJ 1 (10126)</v>
      </c>
      <c r="H65" t="s">
        <v>40</v>
      </c>
      <c r="I65" t="str">
        <f t="shared" si="22"/>
        <v>03/12/2025</v>
      </c>
      <c r="J65" t="str">
        <f t="shared" si="23"/>
        <v>25/11/2025</v>
      </c>
      <c r="K65">
        <v>45994</v>
      </c>
      <c r="N65">
        <v>303</v>
      </c>
      <c r="O65" t="s">
        <v>30</v>
      </c>
      <c r="Q65">
        <v>2.58</v>
      </c>
      <c r="R65" t="str">
        <f>"FARMÁCIA INDIANA LJ 257 (10267)"</f>
        <v>FARMÁCIA INDIANA LJ 257 (10267)</v>
      </c>
      <c r="S65" t="s">
        <v>31</v>
      </c>
      <c r="T65">
        <v>3429</v>
      </c>
      <c r="U65">
        <v>2821</v>
      </c>
      <c r="V65" t="s">
        <v>22</v>
      </c>
    </row>
    <row r="66" spans="1:22">
      <c r="A66" t="str">
        <f t="shared" si="18"/>
        <v>03/12/2025</v>
      </c>
      <c r="B66" t="str">
        <f t="shared" si="15"/>
        <v>ENTRADA</v>
      </c>
      <c r="C66" t="str">
        <f t="shared" si="19"/>
        <v>NFSE</v>
      </c>
      <c r="D66" t="str">
        <f t="shared" ref="D66:D80" si="24">"3911"</f>
        <v>3911</v>
      </c>
      <c r="E66" t="str">
        <f t="shared" si="16"/>
        <v>1</v>
      </c>
      <c r="F66" t="str">
        <f t="shared" si="17"/>
        <v>COM</v>
      </c>
      <c r="G66" t="str">
        <f t="shared" ref="G66:G80" si="25">"FARMÁCIA INDIANA LJ 30 (10127)"</f>
        <v>FARMÁCIA INDIANA LJ 30 (10127)</v>
      </c>
      <c r="H66" t="str">
        <f>"Serv.Prest. 17/11/2025 a 23/11/2025 - RPS: 1674 - NFSe: 3911"</f>
        <v>Serv.Prest. 17/11/2025 a 23/11/2025 - RPS: 1674 - NFSe: 3911</v>
      </c>
      <c r="I66" t="str">
        <f t="shared" si="22"/>
        <v>03/12/2025</v>
      </c>
      <c r="J66" t="str">
        <f t="shared" si="23"/>
        <v>25/11/2025</v>
      </c>
      <c r="K66" t="str">
        <f>("03/12/2025")</f>
        <v>03/12/2025</v>
      </c>
      <c r="L66">
        <v>3000.11</v>
      </c>
      <c r="M66">
        <v>3000.11</v>
      </c>
      <c r="N66">
        <v>303</v>
      </c>
      <c r="O66" t="str">
        <f>"RECEITAS COM ENTREGAS"</f>
        <v>RECEITAS COM ENTREGAS</v>
      </c>
      <c r="P66">
        <v>3000.11</v>
      </c>
      <c r="S66" t="str">
        <f>"RECEITAS COM ENTREGAS (303)"</f>
        <v>RECEITAS COM ENTREGAS (303)</v>
      </c>
      <c r="T66">
        <v>3430</v>
      </c>
      <c r="U66">
        <v>2822</v>
      </c>
      <c r="V66" t="s">
        <v>22</v>
      </c>
    </row>
    <row r="67" spans="1:22">
      <c r="A67" t="str">
        <f t="shared" si="18"/>
        <v>03/12/2025</v>
      </c>
      <c r="B67" t="str">
        <f t="shared" si="15"/>
        <v>ENTRADA</v>
      </c>
      <c r="C67" t="str">
        <f t="shared" si="19"/>
        <v>NFSE</v>
      </c>
      <c r="D67" t="str">
        <f t="shared" si="24"/>
        <v>3911</v>
      </c>
      <c r="E67" t="str">
        <f t="shared" si="16"/>
        <v>1</v>
      </c>
      <c r="F67" t="str">
        <f t="shared" si="17"/>
        <v>COM</v>
      </c>
      <c r="G67" t="str">
        <f t="shared" si="25"/>
        <v>FARMÁCIA INDIANA LJ 30 (10127)</v>
      </c>
      <c r="H67" t="s">
        <v>41</v>
      </c>
      <c r="I67" t="str">
        <f t="shared" si="22"/>
        <v>03/12/2025</v>
      </c>
      <c r="J67" t="str">
        <f t="shared" si="23"/>
        <v>25/11/2025</v>
      </c>
      <c r="K67">
        <v>45994</v>
      </c>
      <c r="N67">
        <v>303</v>
      </c>
      <c r="O67" t="s">
        <v>30</v>
      </c>
      <c r="Q67">
        <v>271.82</v>
      </c>
      <c r="R67" t="str">
        <f>"FARMÁCIA INDIANA LJ 34 (10014)"</f>
        <v>FARMÁCIA INDIANA LJ 34 (10014)</v>
      </c>
      <c r="S67" t="s">
        <v>31</v>
      </c>
      <c r="T67">
        <v>3430</v>
      </c>
      <c r="U67">
        <v>2822</v>
      </c>
      <c r="V67" t="s">
        <v>22</v>
      </c>
    </row>
    <row r="68" spans="1:22">
      <c r="A68" t="str">
        <f t="shared" si="18"/>
        <v>03/12/2025</v>
      </c>
      <c r="B68" t="str">
        <f t="shared" si="15"/>
        <v>ENTRADA</v>
      </c>
      <c r="C68" t="str">
        <f t="shared" si="19"/>
        <v>NFSE</v>
      </c>
      <c r="D68" t="str">
        <f t="shared" si="24"/>
        <v>3911</v>
      </c>
      <c r="E68" t="str">
        <f t="shared" si="16"/>
        <v>1</v>
      </c>
      <c r="F68" t="str">
        <f t="shared" si="17"/>
        <v>COM</v>
      </c>
      <c r="G68" t="str">
        <f t="shared" si="25"/>
        <v>FARMÁCIA INDIANA LJ 30 (10127)</v>
      </c>
      <c r="H68" t="s">
        <v>41</v>
      </c>
      <c r="I68" t="str">
        <f t="shared" si="22"/>
        <v>03/12/2025</v>
      </c>
      <c r="J68" t="str">
        <f t="shared" si="23"/>
        <v>25/11/2025</v>
      </c>
      <c r="K68">
        <v>45994</v>
      </c>
      <c r="N68">
        <v>303</v>
      </c>
      <c r="O68" t="s">
        <v>30</v>
      </c>
      <c r="Q68">
        <v>168.01</v>
      </c>
      <c r="R68" t="str">
        <f>"FARMÁCIA INDIANA LJ 35 (10015)"</f>
        <v>FARMÁCIA INDIANA LJ 35 (10015)</v>
      </c>
      <c r="S68" t="s">
        <v>31</v>
      </c>
      <c r="T68">
        <v>3430</v>
      </c>
      <c r="U68">
        <v>2822</v>
      </c>
      <c r="V68" t="s">
        <v>22</v>
      </c>
    </row>
    <row r="69" spans="1:22">
      <c r="A69" t="str">
        <f t="shared" si="18"/>
        <v>03/12/2025</v>
      </c>
      <c r="B69" t="str">
        <f t="shared" si="15"/>
        <v>ENTRADA</v>
      </c>
      <c r="C69" t="str">
        <f t="shared" si="19"/>
        <v>NFSE</v>
      </c>
      <c r="D69" t="str">
        <f t="shared" si="24"/>
        <v>3911</v>
      </c>
      <c r="E69" t="str">
        <f t="shared" si="16"/>
        <v>1</v>
      </c>
      <c r="F69" t="str">
        <f t="shared" si="17"/>
        <v>COM</v>
      </c>
      <c r="G69" t="str">
        <f t="shared" si="25"/>
        <v>FARMÁCIA INDIANA LJ 30 (10127)</v>
      </c>
      <c r="H69" t="s">
        <v>41</v>
      </c>
      <c r="I69" t="str">
        <f t="shared" si="22"/>
        <v>03/12/2025</v>
      </c>
      <c r="J69" t="str">
        <f t="shared" si="23"/>
        <v>25/11/2025</v>
      </c>
      <c r="K69">
        <v>45994</v>
      </c>
      <c r="N69">
        <v>303</v>
      </c>
      <c r="O69" t="s">
        <v>30</v>
      </c>
      <c r="Q69">
        <v>248.41</v>
      </c>
      <c r="R69" t="str">
        <f>"FARMÁCIA INDIANA LJ 48 (10018)"</f>
        <v>FARMÁCIA INDIANA LJ 48 (10018)</v>
      </c>
      <c r="S69" t="s">
        <v>31</v>
      </c>
      <c r="T69">
        <v>3430</v>
      </c>
      <c r="U69">
        <v>2822</v>
      </c>
      <c r="V69" t="s">
        <v>22</v>
      </c>
    </row>
    <row r="70" spans="1:22">
      <c r="A70" t="str">
        <f t="shared" si="18"/>
        <v>03/12/2025</v>
      </c>
      <c r="B70" t="str">
        <f t="shared" si="15"/>
        <v>ENTRADA</v>
      </c>
      <c r="C70" t="str">
        <f t="shared" si="19"/>
        <v>NFSE</v>
      </c>
      <c r="D70" t="str">
        <f t="shared" si="24"/>
        <v>3911</v>
      </c>
      <c r="E70" t="str">
        <f t="shared" si="16"/>
        <v>1</v>
      </c>
      <c r="F70" t="str">
        <f t="shared" si="17"/>
        <v>COM</v>
      </c>
      <c r="G70" t="str">
        <f t="shared" si="25"/>
        <v>FARMÁCIA INDIANA LJ 30 (10127)</v>
      </c>
      <c r="H70" t="s">
        <v>41</v>
      </c>
      <c r="I70" t="str">
        <f t="shared" si="22"/>
        <v>03/12/2025</v>
      </c>
      <c r="J70" t="str">
        <f t="shared" si="23"/>
        <v>25/11/2025</v>
      </c>
      <c r="K70">
        <v>45994</v>
      </c>
      <c r="N70">
        <v>303</v>
      </c>
      <c r="O70" t="s">
        <v>30</v>
      </c>
      <c r="Q70">
        <v>348.91</v>
      </c>
      <c r="R70" t="str">
        <f>"FARMÁCIA INDIANA LJ 65 (10030)"</f>
        <v>FARMÁCIA INDIANA LJ 65 (10030)</v>
      </c>
      <c r="S70" t="s">
        <v>31</v>
      </c>
      <c r="T70">
        <v>3430</v>
      </c>
      <c r="U70">
        <v>2822</v>
      </c>
      <c r="V70" t="s">
        <v>22</v>
      </c>
    </row>
    <row r="71" spans="1:22">
      <c r="A71" t="str">
        <f t="shared" si="18"/>
        <v>03/12/2025</v>
      </c>
      <c r="B71" t="str">
        <f t="shared" si="15"/>
        <v>ENTRADA</v>
      </c>
      <c r="C71" t="str">
        <f t="shared" si="19"/>
        <v>NFSE</v>
      </c>
      <c r="D71" t="str">
        <f t="shared" si="24"/>
        <v>3911</v>
      </c>
      <c r="E71" t="str">
        <f t="shared" si="16"/>
        <v>1</v>
      </c>
      <c r="F71" t="str">
        <f t="shared" si="17"/>
        <v>COM</v>
      </c>
      <c r="G71" t="str">
        <f t="shared" si="25"/>
        <v>FARMÁCIA INDIANA LJ 30 (10127)</v>
      </c>
      <c r="H71" t="s">
        <v>41</v>
      </c>
      <c r="I71" t="str">
        <f t="shared" si="22"/>
        <v>03/12/2025</v>
      </c>
      <c r="J71" t="str">
        <f t="shared" si="23"/>
        <v>25/11/2025</v>
      </c>
      <c r="K71">
        <v>45994</v>
      </c>
      <c r="N71">
        <v>303</v>
      </c>
      <c r="O71" t="s">
        <v>30</v>
      </c>
      <c r="Q71">
        <v>85.8</v>
      </c>
      <c r="R71" t="str">
        <f>"FARMÁCIA INDIANA LJ 77 (10034)"</f>
        <v>FARMÁCIA INDIANA LJ 77 (10034)</v>
      </c>
      <c r="S71" t="s">
        <v>31</v>
      </c>
      <c r="T71">
        <v>3430</v>
      </c>
      <c r="U71">
        <v>2822</v>
      </c>
      <c r="V71" t="s">
        <v>22</v>
      </c>
    </row>
    <row r="72" spans="1:22">
      <c r="A72" t="str">
        <f t="shared" si="18"/>
        <v>03/12/2025</v>
      </c>
      <c r="B72" t="str">
        <f t="shared" si="15"/>
        <v>ENTRADA</v>
      </c>
      <c r="C72" t="str">
        <f t="shared" si="19"/>
        <v>NFSE</v>
      </c>
      <c r="D72" t="str">
        <f t="shared" si="24"/>
        <v>3911</v>
      </c>
      <c r="E72" t="str">
        <f t="shared" si="16"/>
        <v>1</v>
      </c>
      <c r="F72" t="str">
        <f t="shared" si="17"/>
        <v>COM</v>
      </c>
      <c r="G72" t="str">
        <f t="shared" si="25"/>
        <v>FARMÁCIA INDIANA LJ 30 (10127)</v>
      </c>
      <c r="H72" t="s">
        <v>41</v>
      </c>
      <c r="I72" t="str">
        <f t="shared" si="22"/>
        <v>03/12/2025</v>
      </c>
      <c r="J72" t="str">
        <f t="shared" si="23"/>
        <v>25/11/2025</v>
      </c>
      <c r="K72">
        <v>45994</v>
      </c>
      <c r="N72">
        <v>303</v>
      </c>
      <c r="O72" t="s">
        <v>30</v>
      </c>
      <c r="Q72">
        <v>608.72</v>
      </c>
      <c r="R72" t="str">
        <f>"FARMÁCIA INDIANA LJ 91 (10037)"</f>
        <v>FARMÁCIA INDIANA LJ 91 (10037)</v>
      </c>
      <c r="S72" t="s">
        <v>31</v>
      </c>
      <c r="T72">
        <v>3430</v>
      </c>
      <c r="U72">
        <v>2822</v>
      </c>
      <c r="V72" t="s">
        <v>22</v>
      </c>
    </row>
    <row r="73" spans="1:22">
      <c r="A73" t="str">
        <f t="shared" si="18"/>
        <v>03/12/2025</v>
      </c>
      <c r="B73" t="str">
        <f t="shared" si="15"/>
        <v>ENTRADA</v>
      </c>
      <c r="C73" t="str">
        <f t="shared" si="19"/>
        <v>NFSE</v>
      </c>
      <c r="D73" t="str">
        <f t="shared" si="24"/>
        <v>3911</v>
      </c>
      <c r="E73" t="str">
        <f t="shared" si="16"/>
        <v>1</v>
      </c>
      <c r="F73" t="str">
        <f t="shared" si="17"/>
        <v>COM</v>
      </c>
      <c r="G73" t="str">
        <f t="shared" si="25"/>
        <v>FARMÁCIA INDIANA LJ 30 (10127)</v>
      </c>
      <c r="H73" t="s">
        <v>41</v>
      </c>
      <c r="I73" t="str">
        <f t="shared" si="22"/>
        <v>03/12/2025</v>
      </c>
      <c r="J73" t="str">
        <f t="shared" si="23"/>
        <v>25/11/2025</v>
      </c>
      <c r="K73">
        <v>45994</v>
      </c>
      <c r="N73">
        <v>303</v>
      </c>
      <c r="O73" t="s">
        <v>30</v>
      </c>
      <c r="Q73">
        <v>201.61</v>
      </c>
      <c r="R73" t="str">
        <f>"FARMÁCIA INDIANA LJ 95 (10039)"</f>
        <v>FARMÁCIA INDIANA LJ 95 (10039)</v>
      </c>
      <c r="S73" t="s">
        <v>31</v>
      </c>
      <c r="T73">
        <v>3430</v>
      </c>
      <c r="U73">
        <v>2822</v>
      </c>
      <c r="V73" t="s">
        <v>22</v>
      </c>
    </row>
    <row r="74" spans="1:22">
      <c r="A74" t="str">
        <f t="shared" si="18"/>
        <v>03/12/2025</v>
      </c>
      <c r="B74" t="str">
        <f t="shared" si="15"/>
        <v>ENTRADA</v>
      </c>
      <c r="C74" t="str">
        <f t="shared" si="19"/>
        <v>NFSE</v>
      </c>
      <c r="D74" t="str">
        <f t="shared" si="24"/>
        <v>3911</v>
      </c>
      <c r="E74" t="str">
        <f t="shared" si="16"/>
        <v>1</v>
      </c>
      <c r="F74" t="str">
        <f t="shared" si="17"/>
        <v>COM</v>
      </c>
      <c r="G74" t="str">
        <f t="shared" si="25"/>
        <v>FARMÁCIA INDIANA LJ 30 (10127)</v>
      </c>
      <c r="H74" t="s">
        <v>41</v>
      </c>
      <c r="I74" t="str">
        <f t="shared" si="22"/>
        <v>03/12/2025</v>
      </c>
      <c r="J74" t="str">
        <f t="shared" si="23"/>
        <v>25/11/2025</v>
      </c>
      <c r="K74">
        <v>45994</v>
      </c>
      <c r="N74">
        <v>303</v>
      </c>
      <c r="O74" t="s">
        <v>30</v>
      </c>
      <c r="Q74">
        <v>280.81</v>
      </c>
      <c r="R74" t="str">
        <f>"FARMÁCIA INDIANA LJ 145 (10068)"</f>
        <v>FARMÁCIA INDIANA LJ 145 (10068)</v>
      </c>
      <c r="S74" t="s">
        <v>31</v>
      </c>
      <c r="T74">
        <v>3430</v>
      </c>
      <c r="U74">
        <v>2822</v>
      </c>
      <c r="V74" t="s">
        <v>22</v>
      </c>
    </row>
    <row r="75" spans="1:22">
      <c r="A75" t="str">
        <f t="shared" si="18"/>
        <v>03/12/2025</v>
      </c>
      <c r="B75" t="str">
        <f t="shared" si="15"/>
        <v>ENTRADA</v>
      </c>
      <c r="C75" t="str">
        <f t="shared" si="19"/>
        <v>NFSE</v>
      </c>
      <c r="D75" t="str">
        <f t="shared" si="24"/>
        <v>3911</v>
      </c>
      <c r="E75" t="str">
        <f t="shared" si="16"/>
        <v>1</v>
      </c>
      <c r="F75" t="str">
        <f t="shared" si="17"/>
        <v>COM</v>
      </c>
      <c r="G75" t="str">
        <f t="shared" si="25"/>
        <v>FARMÁCIA INDIANA LJ 30 (10127)</v>
      </c>
      <c r="H75" t="s">
        <v>41</v>
      </c>
      <c r="I75" t="str">
        <f t="shared" si="22"/>
        <v>03/12/2025</v>
      </c>
      <c r="J75" t="str">
        <f t="shared" si="23"/>
        <v>25/11/2025</v>
      </c>
      <c r="K75">
        <v>45994</v>
      </c>
      <c r="N75">
        <v>303</v>
      </c>
      <c r="O75" t="s">
        <v>30</v>
      </c>
      <c r="Q75">
        <v>114.6</v>
      </c>
      <c r="R75" t="str">
        <f>"FARMÁCIA INDIANA LJ 169 (10073)"</f>
        <v>FARMÁCIA INDIANA LJ 169 (10073)</v>
      </c>
      <c r="S75" t="s">
        <v>31</v>
      </c>
      <c r="T75">
        <v>3430</v>
      </c>
      <c r="U75">
        <v>2822</v>
      </c>
      <c r="V75" t="s">
        <v>22</v>
      </c>
    </row>
    <row r="76" spans="1:22">
      <c r="A76" t="str">
        <f t="shared" si="18"/>
        <v>03/12/2025</v>
      </c>
      <c r="B76" t="str">
        <f t="shared" si="15"/>
        <v>ENTRADA</v>
      </c>
      <c r="C76" t="str">
        <f t="shared" si="19"/>
        <v>NFSE</v>
      </c>
      <c r="D76" t="str">
        <f t="shared" si="24"/>
        <v>3911</v>
      </c>
      <c r="E76" t="str">
        <f t="shared" si="16"/>
        <v>1</v>
      </c>
      <c r="F76" t="str">
        <f t="shared" si="17"/>
        <v>COM</v>
      </c>
      <c r="G76" t="str">
        <f t="shared" si="25"/>
        <v>FARMÁCIA INDIANA LJ 30 (10127)</v>
      </c>
      <c r="H76" t="s">
        <v>41</v>
      </c>
      <c r="I76" t="str">
        <f t="shared" si="22"/>
        <v>03/12/2025</v>
      </c>
      <c r="J76" t="str">
        <f t="shared" si="23"/>
        <v>25/11/2025</v>
      </c>
      <c r="K76">
        <v>45994</v>
      </c>
      <c r="N76">
        <v>303</v>
      </c>
      <c r="O76" t="s">
        <v>30</v>
      </c>
      <c r="Q76">
        <v>174.31</v>
      </c>
      <c r="R76" t="str">
        <f>"FARMÁCIA INDIANA LJ 173 (10075)"</f>
        <v>FARMÁCIA INDIANA LJ 173 (10075)</v>
      </c>
      <c r="S76" t="s">
        <v>31</v>
      </c>
      <c r="T76">
        <v>3430</v>
      </c>
      <c r="U76">
        <v>2822</v>
      </c>
      <c r="V76" t="s">
        <v>22</v>
      </c>
    </row>
    <row r="77" spans="1:22">
      <c r="A77" t="str">
        <f t="shared" si="18"/>
        <v>03/12/2025</v>
      </c>
      <c r="B77" t="str">
        <f t="shared" si="15"/>
        <v>ENTRADA</v>
      </c>
      <c r="C77" t="str">
        <f t="shared" si="19"/>
        <v>NFSE</v>
      </c>
      <c r="D77" t="str">
        <f t="shared" si="24"/>
        <v>3911</v>
      </c>
      <c r="E77" t="str">
        <f t="shared" si="16"/>
        <v>1</v>
      </c>
      <c r="F77" t="str">
        <f t="shared" si="17"/>
        <v>COM</v>
      </c>
      <c r="G77" t="str">
        <f t="shared" si="25"/>
        <v>FARMÁCIA INDIANA LJ 30 (10127)</v>
      </c>
      <c r="H77" t="s">
        <v>41</v>
      </c>
      <c r="I77" t="str">
        <f t="shared" si="22"/>
        <v>03/12/2025</v>
      </c>
      <c r="J77" t="str">
        <f t="shared" si="23"/>
        <v>25/11/2025</v>
      </c>
      <c r="K77">
        <v>45994</v>
      </c>
      <c r="N77">
        <v>303</v>
      </c>
      <c r="O77" t="s">
        <v>30</v>
      </c>
      <c r="Q77">
        <v>137.71</v>
      </c>
      <c r="R77" t="str">
        <f>"FARMÁCIA INDIANA LJ 213 (10090)"</f>
        <v>FARMÁCIA INDIANA LJ 213 (10090)</v>
      </c>
      <c r="S77" t="s">
        <v>31</v>
      </c>
      <c r="T77">
        <v>3430</v>
      </c>
      <c r="U77">
        <v>2822</v>
      </c>
      <c r="V77" t="s">
        <v>22</v>
      </c>
    </row>
    <row r="78" spans="1:22">
      <c r="A78" t="str">
        <f t="shared" si="18"/>
        <v>03/12/2025</v>
      </c>
      <c r="B78" t="str">
        <f t="shared" si="15"/>
        <v>ENTRADA</v>
      </c>
      <c r="C78" t="str">
        <f t="shared" si="19"/>
        <v>NFSE</v>
      </c>
      <c r="D78" t="str">
        <f t="shared" si="24"/>
        <v>3911</v>
      </c>
      <c r="E78" t="str">
        <f t="shared" si="16"/>
        <v>1</v>
      </c>
      <c r="F78" t="str">
        <f t="shared" si="17"/>
        <v>COM</v>
      </c>
      <c r="G78" t="str">
        <f t="shared" si="25"/>
        <v>FARMÁCIA INDIANA LJ 30 (10127)</v>
      </c>
      <c r="H78" t="s">
        <v>41</v>
      </c>
      <c r="I78" t="str">
        <f t="shared" si="22"/>
        <v>03/12/2025</v>
      </c>
      <c r="J78" t="str">
        <f t="shared" si="23"/>
        <v>25/11/2025</v>
      </c>
      <c r="K78">
        <v>45994</v>
      </c>
      <c r="N78">
        <v>303</v>
      </c>
      <c r="O78" t="s">
        <v>30</v>
      </c>
      <c r="Q78">
        <v>135.9</v>
      </c>
      <c r="R78" t="str">
        <f>"FARMÁCIA INDIANA LJ 200 (10155)"</f>
        <v>FARMÁCIA INDIANA LJ 200 (10155)</v>
      </c>
      <c r="S78" t="s">
        <v>31</v>
      </c>
      <c r="T78">
        <v>3430</v>
      </c>
      <c r="U78">
        <v>2822</v>
      </c>
      <c r="V78" t="s">
        <v>22</v>
      </c>
    </row>
    <row r="79" spans="1:22">
      <c r="A79" t="str">
        <f t="shared" si="18"/>
        <v>03/12/2025</v>
      </c>
      <c r="B79" t="str">
        <f t="shared" ref="B79:B109" si="26">"ENTRADA"</f>
        <v>ENTRADA</v>
      </c>
      <c r="C79" t="str">
        <f t="shared" si="19"/>
        <v>NFSE</v>
      </c>
      <c r="D79" t="str">
        <f t="shared" si="24"/>
        <v>3911</v>
      </c>
      <c r="E79" t="str">
        <f t="shared" ref="E79:E109" si="27">"1"</f>
        <v>1</v>
      </c>
      <c r="F79" t="str">
        <f t="shared" ref="F79:F110" si="28">"COM"</f>
        <v>COM</v>
      </c>
      <c r="G79" t="str">
        <f t="shared" si="25"/>
        <v>FARMÁCIA INDIANA LJ 30 (10127)</v>
      </c>
      <c r="H79" t="s">
        <v>41</v>
      </c>
      <c r="I79" t="str">
        <f t="shared" si="22"/>
        <v>03/12/2025</v>
      </c>
      <c r="J79" t="str">
        <f t="shared" si="23"/>
        <v>25/11/2025</v>
      </c>
      <c r="K79">
        <v>45994</v>
      </c>
      <c r="N79">
        <v>303</v>
      </c>
      <c r="O79" t="s">
        <v>30</v>
      </c>
      <c r="Q79">
        <v>123.9</v>
      </c>
      <c r="R79" t="str">
        <f>"FARMÁCIA INDIANA LJ 33 (10187)"</f>
        <v>FARMÁCIA INDIANA LJ 33 (10187)</v>
      </c>
      <c r="S79" t="s">
        <v>31</v>
      </c>
      <c r="T79">
        <v>3430</v>
      </c>
      <c r="U79">
        <v>2822</v>
      </c>
      <c r="V79" t="s">
        <v>22</v>
      </c>
    </row>
    <row r="80" spans="1:22">
      <c r="A80" t="str">
        <f t="shared" si="18"/>
        <v>03/12/2025</v>
      </c>
      <c r="B80" t="str">
        <f t="shared" si="26"/>
        <v>ENTRADA</v>
      </c>
      <c r="C80" t="str">
        <f t="shared" si="19"/>
        <v>NFSE</v>
      </c>
      <c r="D80" t="str">
        <f t="shared" si="24"/>
        <v>3911</v>
      </c>
      <c r="E80" t="str">
        <f t="shared" si="27"/>
        <v>1</v>
      </c>
      <c r="F80" t="str">
        <f t="shared" si="28"/>
        <v>COM</v>
      </c>
      <c r="G80" t="str">
        <f t="shared" si="25"/>
        <v>FARMÁCIA INDIANA LJ 30 (10127)</v>
      </c>
      <c r="H80" t="s">
        <v>41</v>
      </c>
      <c r="I80" t="str">
        <f t="shared" si="22"/>
        <v>03/12/2025</v>
      </c>
      <c r="J80" t="str">
        <f t="shared" si="23"/>
        <v>25/11/2025</v>
      </c>
      <c r="K80">
        <v>45994</v>
      </c>
      <c r="N80">
        <v>303</v>
      </c>
      <c r="O80" t="s">
        <v>30</v>
      </c>
      <c r="Q80">
        <v>99.6</v>
      </c>
      <c r="R80" t="str">
        <f>"FARMÁCIA INDIANA LJ 283 (10268)"</f>
        <v>FARMÁCIA INDIANA LJ 283 (10268)</v>
      </c>
      <c r="S80" t="s">
        <v>31</v>
      </c>
      <c r="T80">
        <v>3430</v>
      </c>
      <c r="U80">
        <v>2822</v>
      </c>
      <c r="V80" t="s">
        <v>22</v>
      </c>
    </row>
    <row r="81" spans="1:22">
      <c r="A81" t="str">
        <f t="shared" ref="A81:A101" si="29">("03/12/2025")</f>
        <v>03/12/2025</v>
      </c>
      <c r="B81" t="str">
        <f t="shared" si="26"/>
        <v>ENTRADA</v>
      </c>
      <c r="C81" t="str">
        <f t="shared" ref="C81:C109" si="30">"NFSE"</f>
        <v>NFSE</v>
      </c>
      <c r="D81" t="str">
        <f t="shared" ref="D81:D91" si="31">"3912"</f>
        <v>3912</v>
      </c>
      <c r="E81" t="str">
        <f t="shared" si="27"/>
        <v>1</v>
      </c>
      <c r="F81" t="str">
        <f t="shared" si="28"/>
        <v>COM</v>
      </c>
      <c r="G81" t="str">
        <f t="shared" ref="G81:G91" si="32">"FARMÁCIA INDIANA LJ 85 (10128)"</f>
        <v>FARMÁCIA INDIANA LJ 85 (10128)</v>
      </c>
      <c r="H81" t="str">
        <f>"Serv.Prest. 17/11/2025 a 23/11/2025 - RPS: 1675 - NFSe: 3912"</f>
        <v>Serv.Prest. 17/11/2025 a 23/11/2025 - RPS: 1675 - NFSe: 3912</v>
      </c>
      <c r="I81" t="str">
        <f t="shared" ref="I81:I91" si="33">("03/12/2025")</f>
        <v>03/12/2025</v>
      </c>
      <c r="J81" t="str">
        <f t="shared" ref="J81:J91" si="34">("25/11/2025")</f>
        <v>25/11/2025</v>
      </c>
      <c r="K81" t="str">
        <f>("03/12/2025")</f>
        <v>03/12/2025</v>
      </c>
      <c r="L81">
        <v>945.72</v>
      </c>
      <c r="M81">
        <v>945.72</v>
      </c>
      <c r="N81">
        <v>303</v>
      </c>
      <c r="O81" t="str">
        <f>"RECEITAS COM ENTREGAS"</f>
        <v>RECEITAS COM ENTREGAS</v>
      </c>
      <c r="P81">
        <v>945.72</v>
      </c>
      <c r="S81" t="str">
        <f>"RECEITAS COM ENTREGAS (303)"</f>
        <v>RECEITAS COM ENTREGAS (303)</v>
      </c>
      <c r="T81">
        <v>3431</v>
      </c>
      <c r="U81">
        <v>2824</v>
      </c>
      <c r="V81" t="s">
        <v>22</v>
      </c>
    </row>
    <row r="82" spans="1:22">
      <c r="A82" t="str">
        <f t="shared" si="29"/>
        <v>03/12/2025</v>
      </c>
      <c r="B82" t="str">
        <f t="shared" si="26"/>
        <v>ENTRADA</v>
      </c>
      <c r="C82" t="str">
        <f t="shared" si="30"/>
        <v>NFSE</v>
      </c>
      <c r="D82" t="str">
        <f t="shared" si="31"/>
        <v>3912</v>
      </c>
      <c r="E82" t="str">
        <f t="shared" si="27"/>
        <v>1</v>
      </c>
      <c r="F82" t="str">
        <f t="shared" si="28"/>
        <v>COM</v>
      </c>
      <c r="G82" t="str">
        <f t="shared" si="32"/>
        <v>FARMÁCIA INDIANA LJ 85 (10128)</v>
      </c>
      <c r="H82" t="s">
        <v>42</v>
      </c>
      <c r="I82" t="str">
        <f t="shared" si="33"/>
        <v>03/12/2025</v>
      </c>
      <c r="J82" t="str">
        <f t="shared" si="34"/>
        <v>25/11/2025</v>
      </c>
      <c r="K82">
        <v>45994</v>
      </c>
      <c r="N82">
        <v>303</v>
      </c>
      <c r="O82" t="s">
        <v>30</v>
      </c>
      <c r="Q82">
        <v>107.99</v>
      </c>
      <c r="R82" t="str">
        <f>"FARMÁCIA INDIANA LJ 119 (10053)"</f>
        <v>FARMÁCIA INDIANA LJ 119 (10053)</v>
      </c>
      <c r="S82" t="s">
        <v>31</v>
      </c>
      <c r="T82">
        <v>3431</v>
      </c>
      <c r="U82">
        <v>2824</v>
      </c>
      <c r="V82" t="s">
        <v>22</v>
      </c>
    </row>
    <row r="83" spans="1:22">
      <c r="A83" t="str">
        <f t="shared" si="29"/>
        <v>03/12/2025</v>
      </c>
      <c r="B83" t="str">
        <f t="shared" si="26"/>
        <v>ENTRADA</v>
      </c>
      <c r="C83" t="str">
        <f t="shared" si="30"/>
        <v>NFSE</v>
      </c>
      <c r="D83" t="str">
        <f t="shared" si="31"/>
        <v>3912</v>
      </c>
      <c r="E83" t="str">
        <f t="shared" si="27"/>
        <v>1</v>
      </c>
      <c r="F83" t="str">
        <f t="shared" si="28"/>
        <v>COM</v>
      </c>
      <c r="G83" t="str">
        <f t="shared" si="32"/>
        <v>FARMÁCIA INDIANA LJ 85 (10128)</v>
      </c>
      <c r="H83" t="s">
        <v>42</v>
      </c>
      <c r="I83" t="str">
        <f t="shared" si="33"/>
        <v>03/12/2025</v>
      </c>
      <c r="J83" t="str">
        <f t="shared" si="34"/>
        <v>25/11/2025</v>
      </c>
      <c r="K83">
        <v>45994</v>
      </c>
      <c r="N83">
        <v>303</v>
      </c>
      <c r="O83" t="s">
        <v>30</v>
      </c>
      <c r="Q83">
        <v>110.37</v>
      </c>
      <c r="R83" t="str">
        <f>"FARMÁCIA INDIANA LJ 163 (10072)"</f>
        <v>FARMÁCIA INDIANA LJ 163 (10072)</v>
      </c>
      <c r="S83" t="s">
        <v>31</v>
      </c>
      <c r="T83">
        <v>3431</v>
      </c>
      <c r="U83">
        <v>2824</v>
      </c>
      <c r="V83" t="s">
        <v>22</v>
      </c>
    </row>
    <row r="84" spans="1:22">
      <c r="A84" t="str">
        <f t="shared" si="29"/>
        <v>03/12/2025</v>
      </c>
      <c r="B84" t="str">
        <f t="shared" si="26"/>
        <v>ENTRADA</v>
      </c>
      <c r="C84" t="str">
        <f t="shared" si="30"/>
        <v>NFSE</v>
      </c>
      <c r="D84" t="str">
        <f t="shared" si="31"/>
        <v>3912</v>
      </c>
      <c r="E84" t="str">
        <f t="shared" si="27"/>
        <v>1</v>
      </c>
      <c r="F84" t="str">
        <f t="shared" si="28"/>
        <v>COM</v>
      </c>
      <c r="G84" t="str">
        <f t="shared" si="32"/>
        <v>FARMÁCIA INDIANA LJ 85 (10128)</v>
      </c>
      <c r="H84" t="s">
        <v>42</v>
      </c>
      <c r="I84" t="str">
        <f t="shared" si="33"/>
        <v>03/12/2025</v>
      </c>
      <c r="J84" t="str">
        <f t="shared" si="34"/>
        <v>25/11/2025</v>
      </c>
      <c r="K84">
        <v>45994</v>
      </c>
      <c r="N84">
        <v>303</v>
      </c>
      <c r="O84" t="s">
        <v>30</v>
      </c>
      <c r="Q84">
        <v>110.37</v>
      </c>
      <c r="R84" t="str">
        <f>"FARMÁCIA INDIANA LJ 181 (10078)"</f>
        <v>FARMÁCIA INDIANA LJ 181 (10078)</v>
      </c>
      <c r="S84" t="s">
        <v>31</v>
      </c>
      <c r="T84">
        <v>3431</v>
      </c>
      <c r="U84">
        <v>2824</v>
      </c>
      <c r="V84" t="s">
        <v>22</v>
      </c>
    </row>
    <row r="85" spans="1:22">
      <c r="A85" t="str">
        <f t="shared" si="29"/>
        <v>03/12/2025</v>
      </c>
      <c r="B85" t="str">
        <f t="shared" si="26"/>
        <v>ENTRADA</v>
      </c>
      <c r="C85" t="str">
        <f t="shared" si="30"/>
        <v>NFSE</v>
      </c>
      <c r="D85" t="str">
        <f t="shared" si="31"/>
        <v>3912</v>
      </c>
      <c r="E85" t="str">
        <f t="shared" si="27"/>
        <v>1</v>
      </c>
      <c r="F85" t="str">
        <f t="shared" si="28"/>
        <v>COM</v>
      </c>
      <c r="G85" t="str">
        <f t="shared" si="32"/>
        <v>FARMÁCIA INDIANA LJ 85 (10128)</v>
      </c>
      <c r="H85" t="s">
        <v>42</v>
      </c>
      <c r="I85" t="str">
        <f t="shared" si="33"/>
        <v>03/12/2025</v>
      </c>
      <c r="J85" t="str">
        <f t="shared" si="34"/>
        <v>25/11/2025</v>
      </c>
      <c r="K85">
        <v>45994</v>
      </c>
      <c r="N85">
        <v>303</v>
      </c>
      <c r="O85" t="s">
        <v>30</v>
      </c>
      <c r="Q85">
        <v>107.81</v>
      </c>
      <c r="R85" t="str">
        <f>"FARMÁCIA INDIANA LJ 221 (10093)"</f>
        <v>FARMÁCIA INDIANA LJ 221 (10093)</v>
      </c>
      <c r="S85" t="s">
        <v>31</v>
      </c>
      <c r="T85">
        <v>3431</v>
      </c>
      <c r="U85">
        <v>2824</v>
      </c>
      <c r="V85" t="s">
        <v>22</v>
      </c>
    </row>
    <row r="86" spans="1:22">
      <c r="A86" t="str">
        <f t="shared" si="29"/>
        <v>03/12/2025</v>
      </c>
      <c r="B86" t="str">
        <f t="shared" si="26"/>
        <v>ENTRADA</v>
      </c>
      <c r="C86" t="str">
        <f t="shared" si="30"/>
        <v>NFSE</v>
      </c>
      <c r="D86" t="str">
        <f t="shared" si="31"/>
        <v>3912</v>
      </c>
      <c r="E86" t="str">
        <f t="shared" si="27"/>
        <v>1</v>
      </c>
      <c r="F86" t="str">
        <f t="shared" si="28"/>
        <v>COM</v>
      </c>
      <c r="G86" t="str">
        <f t="shared" si="32"/>
        <v>FARMÁCIA INDIANA LJ 85 (10128)</v>
      </c>
      <c r="H86" t="s">
        <v>42</v>
      </c>
      <c r="I86" t="str">
        <f t="shared" si="33"/>
        <v>03/12/2025</v>
      </c>
      <c r="J86" t="str">
        <f t="shared" si="34"/>
        <v>25/11/2025</v>
      </c>
      <c r="K86">
        <v>45994</v>
      </c>
      <c r="N86">
        <v>303</v>
      </c>
      <c r="O86" t="s">
        <v>30</v>
      </c>
      <c r="Q86">
        <v>126.35</v>
      </c>
      <c r="R86" t="str">
        <f>"FARMÁCIA INDIANA LJ 243 (10142)"</f>
        <v>FARMÁCIA INDIANA LJ 243 (10142)</v>
      </c>
      <c r="S86" t="s">
        <v>31</v>
      </c>
      <c r="T86">
        <v>3431</v>
      </c>
      <c r="U86">
        <v>2824</v>
      </c>
      <c r="V86" t="s">
        <v>22</v>
      </c>
    </row>
    <row r="87" spans="1:22">
      <c r="A87" t="str">
        <f t="shared" si="29"/>
        <v>03/12/2025</v>
      </c>
      <c r="B87" t="str">
        <f t="shared" si="26"/>
        <v>ENTRADA</v>
      </c>
      <c r="C87" t="str">
        <f t="shared" si="30"/>
        <v>NFSE</v>
      </c>
      <c r="D87" t="str">
        <f t="shared" si="31"/>
        <v>3912</v>
      </c>
      <c r="E87" t="str">
        <f t="shared" si="27"/>
        <v>1</v>
      </c>
      <c r="F87" t="str">
        <f t="shared" si="28"/>
        <v>COM</v>
      </c>
      <c r="G87" t="str">
        <f t="shared" si="32"/>
        <v>FARMÁCIA INDIANA LJ 85 (10128)</v>
      </c>
      <c r="H87" t="s">
        <v>42</v>
      </c>
      <c r="I87" t="str">
        <f t="shared" si="33"/>
        <v>03/12/2025</v>
      </c>
      <c r="J87" t="str">
        <f t="shared" si="34"/>
        <v>25/11/2025</v>
      </c>
      <c r="K87">
        <v>45994</v>
      </c>
      <c r="N87">
        <v>303</v>
      </c>
      <c r="O87" t="s">
        <v>30</v>
      </c>
      <c r="Q87">
        <v>57.41</v>
      </c>
      <c r="R87" t="str">
        <f>"FARMÁCIA INDIANA LJ 211 (10168)"</f>
        <v>FARMÁCIA INDIANA LJ 211 (10168)</v>
      </c>
      <c r="S87" t="s">
        <v>31</v>
      </c>
      <c r="T87">
        <v>3431</v>
      </c>
      <c r="U87">
        <v>2824</v>
      </c>
      <c r="V87" t="s">
        <v>22</v>
      </c>
    </row>
    <row r="88" spans="1:22">
      <c r="A88" t="str">
        <f t="shared" si="29"/>
        <v>03/12/2025</v>
      </c>
      <c r="B88" t="str">
        <f t="shared" si="26"/>
        <v>ENTRADA</v>
      </c>
      <c r="C88" t="str">
        <f t="shared" si="30"/>
        <v>NFSE</v>
      </c>
      <c r="D88" t="str">
        <f t="shared" si="31"/>
        <v>3912</v>
      </c>
      <c r="E88" t="str">
        <f t="shared" si="27"/>
        <v>1</v>
      </c>
      <c r="F88" t="str">
        <f t="shared" si="28"/>
        <v>COM</v>
      </c>
      <c r="G88" t="str">
        <f t="shared" si="32"/>
        <v>FARMÁCIA INDIANA LJ 85 (10128)</v>
      </c>
      <c r="H88" t="s">
        <v>42</v>
      </c>
      <c r="I88" t="str">
        <f t="shared" si="33"/>
        <v>03/12/2025</v>
      </c>
      <c r="J88" t="str">
        <f t="shared" si="34"/>
        <v>25/11/2025</v>
      </c>
      <c r="K88">
        <v>45994</v>
      </c>
      <c r="N88">
        <v>303</v>
      </c>
      <c r="O88" t="s">
        <v>30</v>
      </c>
      <c r="Q88">
        <v>57.41</v>
      </c>
      <c r="R88" t="str">
        <f>"FARMÁCIA INDIANA LJ 236 (10169)"</f>
        <v>FARMÁCIA INDIANA LJ 236 (10169)</v>
      </c>
      <c r="S88" t="s">
        <v>31</v>
      </c>
      <c r="T88">
        <v>3431</v>
      </c>
      <c r="U88">
        <v>2824</v>
      </c>
      <c r="V88" t="s">
        <v>22</v>
      </c>
    </row>
    <row r="89" spans="1:22">
      <c r="A89" t="str">
        <f t="shared" si="29"/>
        <v>03/12/2025</v>
      </c>
      <c r="B89" t="str">
        <f t="shared" si="26"/>
        <v>ENTRADA</v>
      </c>
      <c r="C89" t="str">
        <f t="shared" si="30"/>
        <v>NFSE</v>
      </c>
      <c r="D89" t="str">
        <f t="shared" si="31"/>
        <v>3912</v>
      </c>
      <c r="E89" t="str">
        <f t="shared" si="27"/>
        <v>1</v>
      </c>
      <c r="F89" t="str">
        <f t="shared" si="28"/>
        <v>COM</v>
      </c>
      <c r="G89" t="str">
        <f t="shared" si="32"/>
        <v>FARMÁCIA INDIANA LJ 85 (10128)</v>
      </c>
      <c r="H89" t="s">
        <v>42</v>
      </c>
      <c r="I89" t="str">
        <f t="shared" si="33"/>
        <v>03/12/2025</v>
      </c>
      <c r="J89" t="str">
        <f t="shared" si="34"/>
        <v>25/11/2025</v>
      </c>
      <c r="K89">
        <v>45994</v>
      </c>
      <c r="N89">
        <v>303</v>
      </c>
      <c r="O89" t="s">
        <v>30</v>
      </c>
      <c r="Q89">
        <v>114.81</v>
      </c>
      <c r="R89" t="str">
        <f>"FARMÁCIA INDIANA LJ 188 (10176)"</f>
        <v>FARMÁCIA INDIANA LJ 188 (10176)</v>
      </c>
      <c r="S89" t="s">
        <v>31</v>
      </c>
      <c r="T89">
        <v>3431</v>
      </c>
      <c r="U89">
        <v>2824</v>
      </c>
      <c r="V89" t="s">
        <v>22</v>
      </c>
    </row>
    <row r="90" spans="1:22">
      <c r="A90" t="str">
        <f t="shared" si="29"/>
        <v>03/12/2025</v>
      </c>
      <c r="B90" t="str">
        <f t="shared" si="26"/>
        <v>ENTRADA</v>
      </c>
      <c r="C90" t="str">
        <f t="shared" si="30"/>
        <v>NFSE</v>
      </c>
      <c r="D90" t="str">
        <f t="shared" si="31"/>
        <v>3912</v>
      </c>
      <c r="E90" t="str">
        <f t="shared" si="27"/>
        <v>1</v>
      </c>
      <c r="F90" t="str">
        <f t="shared" si="28"/>
        <v>COM</v>
      </c>
      <c r="G90" t="str">
        <f t="shared" si="32"/>
        <v>FARMÁCIA INDIANA LJ 85 (10128)</v>
      </c>
      <c r="H90" t="s">
        <v>42</v>
      </c>
      <c r="I90" t="str">
        <f t="shared" si="33"/>
        <v>03/12/2025</v>
      </c>
      <c r="J90" t="str">
        <f t="shared" si="34"/>
        <v>25/11/2025</v>
      </c>
      <c r="K90">
        <v>45994</v>
      </c>
      <c r="N90">
        <v>303</v>
      </c>
      <c r="O90" t="s">
        <v>30</v>
      </c>
      <c r="Q90">
        <v>134.94999999999999</v>
      </c>
      <c r="R90" t="str">
        <f>"FARMÁCIA INDIANA LJ 273 (10188)"</f>
        <v>FARMÁCIA INDIANA LJ 273 (10188)</v>
      </c>
      <c r="S90" t="s">
        <v>31</v>
      </c>
      <c r="T90">
        <v>3431</v>
      </c>
      <c r="U90">
        <v>2824</v>
      </c>
      <c r="V90" t="s">
        <v>22</v>
      </c>
    </row>
    <row r="91" spans="1:22">
      <c r="A91" t="str">
        <f t="shared" si="29"/>
        <v>03/12/2025</v>
      </c>
      <c r="B91" t="str">
        <f t="shared" si="26"/>
        <v>ENTRADA</v>
      </c>
      <c r="C91" t="str">
        <f t="shared" si="30"/>
        <v>NFSE</v>
      </c>
      <c r="D91" t="str">
        <f t="shared" si="31"/>
        <v>3912</v>
      </c>
      <c r="E91" t="str">
        <f t="shared" si="27"/>
        <v>1</v>
      </c>
      <c r="F91" t="str">
        <f t="shared" si="28"/>
        <v>COM</v>
      </c>
      <c r="G91" t="str">
        <f t="shared" si="32"/>
        <v>FARMÁCIA INDIANA LJ 85 (10128)</v>
      </c>
      <c r="H91" t="s">
        <v>42</v>
      </c>
      <c r="I91" t="str">
        <f t="shared" si="33"/>
        <v>03/12/2025</v>
      </c>
      <c r="J91" t="str">
        <f t="shared" si="34"/>
        <v>25/11/2025</v>
      </c>
      <c r="K91">
        <v>45994</v>
      </c>
      <c r="N91">
        <v>303</v>
      </c>
      <c r="O91" t="s">
        <v>30</v>
      </c>
      <c r="Q91">
        <v>18.25</v>
      </c>
      <c r="R91" t="str">
        <f>"FARMÁCIA INDIANA LJ 235 (10190)"</f>
        <v>FARMÁCIA INDIANA LJ 235 (10190)</v>
      </c>
      <c r="S91" t="s">
        <v>31</v>
      </c>
      <c r="T91">
        <v>3431</v>
      </c>
      <c r="U91">
        <v>2824</v>
      </c>
      <c r="V91" t="s">
        <v>22</v>
      </c>
    </row>
    <row r="92" spans="1:22">
      <c r="A92" t="str">
        <f t="shared" si="29"/>
        <v>03/12/2025</v>
      </c>
      <c r="B92" t="str">
        <f t="shared" si="26"/>
        <v>ENTRADA</v>
      </c>
      <c r="C92" t="str">
        <f t="shared" si="30"/>
        <v>NFSE</v>
      </c>
      <c r="D92" t="str">
        <f>"3842"</f>
        <v>3842</v>
      </c>
      <c r="E92" t="str">
        <f t="shared" si="27"/>
        <v>1</v>
      </c>
      <c r="F92" t="str">
        <f t="shared" si="28"/>
        <v>COM</v>
      </c>
      <c r="G92" t="str">
        <f>"PAGMENOS - LJ 326 (10264)"</f>
        <v>PAGMENOS - LJ 326 (10264)</v>
      </c>
      <c r="H92" t="str">
        <f>"Serv.Prest. 10/11/2025 a 16/11/2025 - RPS: 1605 - NFSe: 3842"</f>
        <v>Serv.Prest. 10/11/2025 a 16/11/2025 - RPS: 1605 - NFSe: 3842</v>
      </c>
      <c r="I92" t="str">
        <f t="shared" ref="I92:I101" si="35">("26/11/2025")</f>
        <v>26/11/2025</v>
      </c>
      <c r="J92" t="str">
        <f t="shared" ref="J92:J101" si="36">("18/11/2025")</f>
        <v>18/11/2025</v>
      </c>
      <c r="K92" t="str">
        <f>("03/12/2025")</f>
        <v>03/12/2025</v>
      </c>
      <c r="L92">
        <v>20.04</v>
      </c>
      <c r="M92">
        <v>20.04</v>
      </c>
      <c r="N92">
        <v>303</v>
      </c>
      <c r="O92" t="str">
        <f>"RECEITAS COM ENTREGAS"</f>
        <v>RECEITAS COM ENTREGAS</v>
      </c>
      <c r="P92">
        <v>20.04</v>
      </c>
      <c r="S92" t="str">
        <f>"RECEITAS COM ENTREGAS (303)"</f>
        <v>RECEITAS COM ENTREGAS (303)</v>
      </c>
      <c r="T92">
        <v>3432</v>
      </c>
      <c r="U92">
        <v>2645</v>
      </c>
      <c r="V92" t="s">
        <v>22</v>
      </c>
    </row>
    <row r="93" spans="1:22">
      <c r="A93" t="str">
        <f t="shared" si="29"/>
        <v>03/12/2025</v>
      </c>
      <c r="B93" t="str">
        <f t="shared" si="26"/>
        <v>ENTRADA</v>
      </c>
      <c r="C93" t="str">
        <f t="shared" si="30"/>
        <v>NFSE</v>
      </c>
      <c r="D93" t="str">
        <f>"3842"</f>
        <v>3842</v>
      </c>
      <c r="E93" t="str">
        <f t="shared" si="27"/>
        <v>1</v>
      </c>
      <c r="F93" t="str">
        <f t="shared" si="28"/>
        <v>COM</v>
      </c>
      <c r="G93" t="str">
        <f>"PAGMENOS - LJ 326 (10264)"</f>
        <v>PAGMENOS - LJ 326 (10264)</v>
      </c>
      <c r="H93" t="s">
        <v>43</v>
      </c>
      <c r="I93" t="str">
        <f t="shared" si="35"/>
        <v>26/11/2025</v>
      </c>
      <c r="J93" t="str">
        <f t="shared" si="36"/>
        <v>18/11/2025</v>
      </c>
      <c r="K93">
        <v>45994</v>
      </c>
      <c r="N93">
        <v>303</v>
      </c>
      <c r="O93" t="s">
        <v>30</v>
      </c>
      <c r="Q93">
        <v>20.04</v>
      </c>
      <c r="R93" t="str">
        <f>"PAGMENOS - LJ 326 (10264)"</f>
        <v>PAGMENOS - LJ 326 (10264)</v>
      </c>
      <c r="S93" t="s">
        <v>31</v>
      </c>
      <c r="T93">
        <v>3432</v>
      </c>
      <c r="U93">
        <v>2645</v>
      </c>
      <c r="V93" t="s">
        <v>22</v>
      </c>
    </row>
    <row r="94" spans="1:22">
      <c r="A94" t="str">
        <f t="shared" si="29"/>
        <v>03/12/2025</v>
      </c>
      <c r="B94" t="str">
        <f t="shared" si="26"/>
        <v>ENTRADA</v>
      </c>
      <c r="C94" t="str">
        <f t="shared" si="30"/>
        <v>NFSE</v>
      </c>
      <c r="D94" t="str">
        <f>"3843"</f>
        <v>3843</v>
      </c>
      <c r="E94" t="str">
        <f t="shared" si="27"/>
        <v>1</v>
      </c>
      <c r="F94" t="str">
        <f t="shared" si="28"/>
        <v>COM</v>
      </c>
      <c r="G94" t="str">
        <f>"PAGMENOS - LJ 431 (10265)"</f>
        <v>PAGMENOS - LJ 431 (10265)</v>
      </c>
      <c r="H94" t="str">
        <f>"Serv.Prest. 10/11/2025 a 16/11/2025 - RPS: 1606 - NFSe: 3843"</f>
        <v>Serv.Prest. 10/11/2025 a 16/11/2025 - RPS: 1606 - NFSe: 3843</v>
      </c>
      <c r="I94" t="str">
        <f t="shared" si="35"/>
        <v>26/11/2025</v>
      </c>
      <c r="J94" t="str">
        <f t="shared" si="36"/>
        <v>18/11/2025</v>
      </c>
      <c r="K94" t="str">
        <f>("03/12/2025")</f>
        <v>03/12/2025</v>
      </c>
      <c r="L94">
        <v>320.62</v>
      </c>
      <c r="M94">
        <v>320.62</v>
      </c>
      <c r="N94">
        <v>303</v>
      </c>
      <c r="O94" t="str">
        <f>"RECEITAS COM ENTREGAS"</f>
        <v>RECEITAS COM ENTREGAS</v>
      </c>
      <c r="P94">
        <v>320.62</v>
      </c>
      <c r="S94" t="str">
        <f>"RECEITAS COM ENTREGAS (303)"</f>
        <v>RECEITAS COM ENTREGAS (303)</v>
      </c>
      <c r="T94">
        <v>3433</v>
      </c>
      <c r="U94">
        <v>2646</v>
      </c>
      <c r="V94" t="s">
        <v>22</v>
      </c>
    </row>
    <row r="95" spans="1:22">
      <c r="A95" t="str">
        <f t="shared" si="29"/>
        <v>03/12/2025</v>
      </c>
      <c r="B95" t="str">
        <f t="shared" si="26"/>
        <v>ENTRADA</v>
      </c>
      <c r="C95" t="str">
        <f t="shared" si="30"/>
        <v>NFSE</v>
      </c>
      <c r="D95" t="str">
        <f>"3843"</f>
        <v>3843</v>
      </c>
      <c r="E95" t="str">
        <f t="shared" si="27"/>
        <v>1</v>
      </c>
      <c r="F95" t="str">
        <f t="shared" si="28"/>
        <v>COM</v>
      </c>
      <c r="G95" t="str">
        <f>"PAGMENOS - LJ 431 (10265)"</f>
        <v>PAGMENOS - LJ 431 (10265)</v>
      </c>
      <c r="H95" t="s">
        <v>44</v>
      </c>
      <c r="I95" t="str">
        <f t="shared" si="35"/>
        <v>26/11/2025</v>
      </c>
      <c r="J95" t="str">
        <f t="shared" si="36"/>
        <v>18/11/2025</v>
      </c>
      <c r="K95">
        <v>45994</v>
      </c>
      <c r="N95">
        <v>303</v>
      </c>
      <c r="O95" t="s">
        <v>30</v>
      </c>
      <c r="Q95">
        <v>320.62</v>
      </c>
      <c r="R95" t="str">
        <f>"PAGMENOS - LJ 431 (10265)"</f>
        <v>PAGMENOS - LJ 431 (10265)</v>
      </c>
      <c r="S95" t="s">
        <v>31</v>
      </c>
      <c r="T95">
        <v>3433</v>
      </c>
      <c r="U95">
        <v>2646</v>
      </c>
      <c r="V95" t="s">
        <v>22</v>
      </c>
    </row>
    <row r="96" spans="1:22">
      <c r="A96" t="str">
        <f t="shared" si="29"/>
        <v>03/12/2025</v>
      </c>
      <c r="B96" t="str">
        <f t="shared" si="26"/>
        <v>ENTRADA</v>
      </c>
      <c r="C96" t="str">
        <f t="shared" si="30"/>
        <v>NFSE</v>
      </c>
      <c r="D96" t="str">
        <f>"3840"</f>
        <v>3840</v>
      </c>
      <c r="E96" t="str">
        <f t="shared" si="27"/>
        <v>1</v>
      </c>
      <c r="F96" t="str">
        <f t="shared" si="28"/>
        <v>COM</v>
      </c>
      <c r="G96" t="str">
        <f>"PAGMENOS - LJ 608 (10135)"</f>
        <v>PAGMENOS - LJ 608 (10135)</v>
      </c>
      <c r="H96" t="str">
        <f>"Serv.Prest. 10/11/2025 a 16/11/2025 - RPS: 1603 - NFSe: 3840"</f>
        <v>Serv.Prest. 10/11/2025 a 16/11/2025 - RPS: 1603 - NFSe: 3840</v>
      </c>
      <c r="I96" t="str">
        <f t="shared" si="35"/>
        <v>26/11/2025</v>
      </c>
      <c r="J96" t="str">
        <f t="shared" si="36"/>
        <v>18/11/2025</v>
      </c>
      <c r="K96" t="str">
        <f>("03/12/2025")</f>
        <v>03/12/2025</v>
      </c>
      <c r="L96">
        <v>220.25</v>
      </c>
      <c r="M96">
        <v>220.25</v>
      </c>
      <c r="N96">
        <v>303</v>
      </c>
      <c r="O96" t="str">
        <f>"RECEITAS COM ENTREGAS"</f>
        <v>RECEITAS COM ENTREGAS</v>
      </c>
      <c r="P96">
        <v>220.25</v>
      </c>
      <c r="S96" t="str">
        <f>"RECEITAS COM ENTREGAS (303)"</f>
        <v>RECEITAS COM ENTREGAS (303)</v>
      </c>
      <c r="T96">
        <v>3434</v>
      </c>
      <c r="U96">
        <v>2643</v>
      </c>
      <c r="V96" t="s">
        <v>22</v>
      </c>
    </row>
    <row r="97" spans="1:22">
      <c r="A97" t="str">
        <f t="shared" si="29"/>
        <v>03/12/2025</v>
      </c>
      <c r="B97" t="str">
        <f t="shared" si="26"/>
        <v>ENTRADA</v>
      </c>
      <c r="C97" t="str">
        <f t="shared" si="30"/>
        <v>NFSE</v>
      </c>
      <c r="D97" t="str">
        <f>"3840"</f>
        <v>3840</v>
      </c>
      <c r="E97" t="str">
        <f t="shared" si="27"/>
        <v>1</v>
      </c>
      <c r="F97" t="str">
        <f t="shared" si="28"/>
        <v>COM</v>
      </c>
      <c r="G97" t="str">
        <f>"PAGMENOS - LJ 608 (10135)"</f>
        <v>PAGMENOS - LJ 608 (10135)</v>
      </c>
      <c r="H97" t="s">
        <v>45</v>
      </c>
      <c r="I97" t="str">
        <f t="shared" si="35"/>
        <v>26/11/2025</v>
      </c>
      <c r="J97" t="str">
        <f t="shared" si="36"/>
        <v>18/11/2025</v>
      </c>
      <c r="K97">
        <v>45994</v>
      </c>
      <c r="N97">
        <v>303</v>
      </c>
      <c r="O97" t="s">
        <v>30</v>
      </c>
      <c r="Q97">
        <v>220.25</v>
      </c>
      <c r="R97" t="str">
        <f>"PAGMENOS - LJ 608 (10135)"</f>
        <v>PAGMENOS - LJ 608 (10135)</v>
      </c>
      <c r="S97" t="s">
        <v>31</v>
      </c>
      <c r="T97">
        <v>3434</v>
      </c>
      <c r="U97">
        <v>2643</v>
      </c>
      <c r="V97" t="s">
        <v>22</v>
      </c>
    </row>
    <row r="98" spans="1:22">
      <c r="A98" t="str">
        <f t="shared" si="29"/>
        <v>03/12/2025</v>
      </c>
      <c r="B98" t="str">
        <f t="shared" si="26"/>
        <v>ENTRADA</v>
      </c>
      <c r="C98" t="str">
        <f t="shared" si="30"/>
        <v>NFSE</v>
      </c>
      <c r="D98" t="str">
        <f>"3841"</f>
        <v>3841</v>
      </c>
      <c r="E98" t="str">
        <f t="shared" si="27"/>
        <v>1</v>
      </c>
      <c r="F98" t="str">
        <f t="shared" si="28"/>
        <v>COM</v>
      </c>
      <c r="G98" t="str">
        <f>"PAGMENOS - LJ 657 (10136)"</f>
        <v>PAGMENOS - LJ 657 (10136)</v>
      </c>
      <c r="H98" t="str">
        <f>"Serv.Prest. 10/11/2025 a 16/11/2025 - RPS: 1604 - NFSe: 3841"</f>
        <v>Serv.Prest. 10/11/2025 a 16/11/2025 - RPS: 1604 - NFSe: 3841</v>
      </c>
      <c r="I98" t="str">
        <f t="shared" si="35"/>
        <v>26/11/2025</v>
      </c>
      <c r="J98" t="str">
        <f t="shared" si="36"/>
        <v>18/11/2025</v>
      </c>
      <c r="K98" t="str">
        <f>("03/12/2025")</f>
        <v>03/12/2025</v>
      </c>
      <c r="L98">
        <v>550.62</v>
      </c>
      <c r="M98">
        <v>550.62</v>
      </c>
      <c r="N98">
        <v>303</v>
      </c>
      <c r="O98" t="str">
        <f>"RECEITAS COM ENTREGAS"</f>
        <v>RECEITAS COM ENTREGAS</v>
      </c>
      <c r="P98">
        <v>550.62</v>
      </c>
      <c r="S98" t="str">
        <f>"RECEITAS COM ENTREGAS (303)"</f>
        <v>RECEITAS COM ENTREGAS (303)</v>
      </c>
      <c r="T98">
        <v>3435</v>
      </c>
      <c r="U98">
        <v>2644</v>
      </c>
      <c r="V98" t="s">
        <v>22</v>
      </c>
    </row>
    <row r="99" spans="1:22">
      <c r="A99" t="str">
        <f t="shared" si="29"/>
        <v>03/12/2025</v>
      </c>
      <c r="B99" t="str">
        <f t="shared" si="26"/>
        <v>ENTRADA</v>
      </c>
      <c r="C99" t="str">
        <f t="shared" si="30"/>
        <v>NFSE</v>
      </c>
      <c r="D99" t="str">
        <f>"3841"</f>
        <v>3841</v>
      </c>
      <c r="E99" t="str">
        <f t="shared" si="27"/>
        <v>1</v>
      </c>
      <c r="F99" t="str">
        <f t="shared" si="28"/>
        <v>COM</v>
      </c>
      <c r="G99" t="str">
        <f>"PAGMENOS - LJ 657 (10136)"</f>
        <v>PAGMENOS - LJ 657 (10136)</v>
      </c>
      <c r="H99" t="s">
        <v>46</v>
      </c>
      <c r="I99" t="str">
        <f t="shared" si="35"/>
        <v>26/11/2025</v>
      </c>
      <c r="J99" t="str">
        <f t="shared" si="36"/>
        <v>18/11/2025</v>
      </c>
      <c r="K99">
        <v>45994</v>
      </c>
      <c r="N99">
        <v>303</v>
      </c>
      <c r="O99" t="s">
        <v>30</v>
      </c>
      <c r="Q99">
        <v>550.62</v>
      </c>
      <c r="R99" t="str">
        <f>"PAGMENOS - LJ 657 (10136)"</f>
        <v>PAGMENOS - LJ 657 (10136)</v>
      </c>
      <c r="S99" t="s">
        <v>31</v>
      </c>
      <c r="T99">
        <v>3435</v>
      </c>
      <c r="U99">
        <v>2644</v>
      </c>
      <c r="V99" t="s">
        <v>22</v>
      </c>
    </row>
    <row r="100" spans="1:22">
      <c r="A100" t="str">
        <f t="shared" si="29"/>
        <v>03/12/2025</v>
      </c>
      <c r="B100" t="str">
        <f t="shared" si="26"/>
        <v>ENTRADA</v>
      </c>
      <c r="C100" t="str">
        <f t="shared" si="30"/>
        <v>NFSE</v>
      </c>
      <c r="D100" t="str">
        <f>"3844"</f>
        <v>3844</v>
      </c>
      <c r="E100" t="str">
        <f t="shared" si="27"/>
        <v>1</v>
      </c>
      <c r="F100" t="str">
        <f t="shared" si="28"/>
        <v>COM</v>
      </c>
      <c r="G100" t="str">
        <f>"PAGMENOS - LJ 768 (10266)"</f>
        <v>PAGMENOS - LJ 768 (10266)</v>
      </c>
      <c r="H100" t="str">
        <f>"Serv.Prest. 10/11/2025 a 16/11/2025 - RPS: 1607 - NFSe: 3844"</f>
        <v>Serv.Prest. 10/11/2025 a 16/11/2025 - RPS: 1607 - NFSe: 3844</v>
      </c>
      <c r="I100" t="str">
        <f t="shared" si="35"/>
        <v>26/11/2025</v>
      </c>
      <c r="J100" t="str">
        <f t="shared" si="36"/>
        <v>18/11/2025</v>
      </c>
      <c r="K100" t="str">
        <f>("03/12/2025")</f>
        <v>03/12/2025</v>
      </c>
      <c r="L100">
        <v>272.18</v>
      </c>
      <c r="M100">
        <v>272.18</v>
      </c>
      <c r="N100">
        <v>303</v>
      </c>
      <c r="O100" t="str">
        <f>"RECEITAS COM ENTREGAS"</f>
        <v>RECEITAS COM ENTREGAS</v>
      </c>
      <c r="P100">
        <v>272.18</v>
      </c>
      <c r="S100" t="str">
        <f>"RECEITAS COM ENTREGAS (303)"</f>
        <v>RECEITAS COM ENTREGAS (303)</v>
      </c>
      <c r="T100">
        <v>3436</v>
      </c>
      <c r="U100">
        <v>2647</v>
      </c>
      <c r="V100" t="s">
        <v>22</v>
      </c>
    </row>
    <row r="101" spans="1:22">
      <c r="A101" t="str">
        <f t="shared" si="29"/>
        <v>03/12/2025</v>
      </c>
      <c r="B101" t="str">
        <f t="shared" si="26"/>
        <v>ENTRADA</v>
      </c>
      <c r="C101" t="str">
        <f t="shared" si="30"/>
        <v>NFSE</v>
      </c>
      <c r="D101" t="str">
        <f>"3844"</f>
        <v>3844</v>
      </c>
      <c r="E101" t="str">
        <f t="shared" si="27"/>
        <v>1</v>
      </c>
      <c r="F101" t="str">
        <f t="shared" si="28"/>
        <v>COM</v>
      </c>
      <c r="G101" t="str">
        <f>"PAGMENOS - LJ 768 (10266)"</f>
        <v>PAGMENOS - LJ 768 (10266)</v>
      </c>
      <c r="H101" t="s">
        <v>47</v>
      </c>
      <c r="I101" t="str">
        <f t="shared" si="35"/>
        <v>26/11/2025</v>
      </c>
      <c r="J101" t="str">
        <f t="shared" si="36"/>
        <v>18/11/2025</v>
      </c>
      <c r="K101">
        <v>45994</v>
      </c>
      <c r="N101">
        <v>303</v>
      </c>
      <c r="O101" t="s">
        <v>30</v>
      </c>
      <c r="Q101">
        <v>272.18</v>
      </c>
      <c r="R101" t="str">
        <f>"PAGMENOS - LJ 768 (10266)"</f>
        <v>PAGMENOS - LJ 768 (10266)</v>
      </c>
      <c r="S101" t="s">
        <v>31</v>
      </c>
      <c r="T101">
        <v>3436</v>
      </c>
      <c r="U101">
        <v>2647</v>
      </c>
      <c r="V101" t="s">
        <v>22</v>
      </c>
    </row>
    <row r="102" spans="1:22">
      <c r="A102" t="str">
        <f t="shared" ref="A102:A133" si="37">("04/12/2025")</f>
        <v>04/12/2025</v>
      </c>
      <c r="B102" t="str">
        <f t="shared" si="26"/>
        <v>ENTRADA</v>
      </c>
      <c r="C102" t="str">
        <f t="shared" si="30"/>
        <v>NFSE</v>
      </c>
      <c r="D102" t="str">
        <f>"3916"</f>
        <v>3916</v>
      </c>
      <c r="E102" t="str">
        <f t="shared" si="27"/>
        <v>1</v>
      </c>
      <c r="F102" t="str">
        <f t="shared" si="28"/>
        <v>COM</v>
      </c>
      <c r="G102" t="str">
        <f>"AC FARMA - CID.ALTA (10166)"</f>
        <v>AC FARMA - CID.ALTA (10166)</v>
      </c>
      <c r="H102" t="str">
        <f>"Serv.Prest. 17/11/2025 a 23/11/2025 - RPS: 1679 - NFSe: 3916"</f>
        <v>Serv.Prest. 17/11/2025 a 23/11/2025 - RPS: 1679 - NFSe: 3916</v>
      </c>
      <c r="I102" t="str">
        <f t="shared" ref="I102:I109" si="38">("03/12/2025")</f>
        <v>03/12/2025</v>
      </c>
      <c r="J102" t="str">
        <f t="shared" ref="J102:J109" si="39">("25/11/2025")</f>
        <v>25/11/2025</v>
      </c>
      <c r="K102" t="str">
        <f>("04/12/2025")</f>
        <v>04/12/2025</v>
      </c>
      <c r="L102">
        <v>954.45</v>
      </c>
      <c r="M102">
        <v>954.45</v>
      </c>
      <c r="N102">
        <v>303</v>
      </c>
      <c r="O102" t="str">
        <f>"RECEITAS COM ENTREGAS"</f>
        <v>RECEITAS COM ENTREGAS</v>
      </c>
      <c r="P102">
        <v>954.45</v>
      </c>
      <c r="S102" t="str">
        <f>"RECEITAS COM ENTREGAS (303)"</f>
        <v>RECEITAS COM ENTREGAS (303)</v>
      </c>
      <c r="T102">
        <v>3444</v>
      </c>
      <c r="U102">
        <v>2828</v>
      </c>
      <c r="V102" t="s">
        <v>22</v>
      </c>
    </row>
    <row r="103" spans="1:22">
      <c r="A103" t="str">
        <f t="shared" si="37"/>
        <v>04/12/2025</v>
      </c>
      <c r="B103" t="str">
        <f t="shared" si="26"/>
        <v>ENTRADA</v>
      </c>
      <c r="C103" t="str">
        <f t="shared" si="30"/>
        <v>NFSE</v>
      </c>
      <c r="D103" t="str">
        <f>"3916"</f>
        <v>3916</v>
      </c>
      <c r="E103" t="str">
        <f t="shared" si="27"/>
        <v>1</v>
      </c>
      <c r="F103" t="str">
        <f t="shared" si="28"/>
        <v>COM</v>
      </c>
      <c r="G103" t="str">
        <f>"AC FARMA - CID.ALTA (10166)"</f>
        <v>AC FARMA - CID.ALTA (10166)</v>
      </c>
      <c r="H103" t="s">
        <v>48</v>
      </c>
      <c r="I103" t="str">
        <f t="shared" si="38"/>
        <v>03/12/2025</v>
      </c>
      <c r="J103" t="str">
        <f t="shared" si="39"/>
        <v>25/11/2025</v>
      </c>
      <c r="K103">
        <v>45995</v>
      </c>
      <c r="N103">
        <v>303</v>
      </c>
      <c r="O103" t="s">
        <v>30</v>
      </c>
      <c r="Q103">
        <v>954.45</v>
      </c>
      <c r="R103" t="str">
        <f>"AC FARMA - CID.ALTA (10166)"</f>
        <v>AC FARMA - CID.ALTA (10166)</v>
      </c>
      <c r="S103" t="s">
        <v>31</v>
      </c>
      <c r="T103">
        <v>3444</v>
      </c>
      <c r="U103">
        <v>2828</v>
      </c>
      <c r="V103" t="s">
        <v>22</v>
      </c>
    </row>
    <row r="104" spans="1:22">
      <c r="A104" t="str">
        <f t="shared" si="37"/>
        <v>04/12/2025</v>
      </c>
      <c r="B104" t="str">
        <f t="shared" si="26"/>
        <v>ENTRADA</v>
      </c>
      <c r="C104" t="str">
        <f t="shared" si="30"/>
        <v>NFSE</v>
      </c>
      <c r="D104" t="str">
        <f>"3917"</f>
        <v>3917</v>
      </c>
      <c r="E104" t="str">
        <f t="shared" si="27"/>
        <v>1</v>
      </c>
      <c r="F104" t="str">
        <f t="shared" si="28"/>
        <v>COM</v>
      </c>
      <c r="G104" t="str">
        <f>"AC FARMA - FLEMINFARMA (10160)"</f>
        <v>AC FARMA - FLEMINFARMA (10160)</v>
      </c>
      <c r="H104" t="str">
        <f>"Serv.Prest. 17/11/2025 a 23/11/2025 - RPS: 1680 - NFSe: 3917"</f>
        <v>Serv.Prest. 17/11/2025 a 23/11/2025 - RPS: 1680 - NFSe: 3917</v>
      </c>
      <c r="I104" t="str">
        <f t="shared" si="38"/>
        <v>03/12/2025</v>
      </c>
      <c r="J104" t="str">
        <f t="shared" si="39"/>
        <v>25/11/2025</v>
      </c>
      <c r="K104" t="str">
        <f>("04/12/2025")</f>
        <v>04/12/2025</v>
      </c>
      <c r="L104">
        <v>163.35</v>
      </c>
      <c r="M104">
        <v>163.35</v>
      </c>
      <c r="N104">
        <v>303</v>
      </c>
      <c r="O104" t="str">
        <f>"RECEITAS COM ENTREGAS"</f>
        <v>RECEITAS COM ENTREGAS</v>
      </c>
      <c r="P104">
        <v>163.35</v>
      </c>
      <c r="S104" t="str">
        <f>"RECEITAS COM ENTREGAS (303)"</f>
        <v>RECEITAS COM ENTREGAS (303)</v>
      </c>
      <c r="T104">
        <v>3445</v>
      </c>
      <c r="U104">
        <v>2829</v>
      </c>
      <c r="V104" t="s">
        <v>22</v>
      </c>
    </row>
    <row r="105" spans="1:22">
      <c r="A105" t="str">
        <f t="shared" si="37"/>
        <v>04/12/2025</v>
      </c>
      <c r="B105" t="str">
        <f t="shared" si="26"/>
        <v>ENTRADA</v>
      </c>
      <c r="C105" t="str">
        <f t="shared" si="30"/>
        <v>NFSE</v>
      </c>
      <c r="D105" t="str">
        <f>"3917"</f>
        <v>3917</v>
      </c>
      <c r="E105" t="str">
        <f t="shared" si="27"/>
        <v>1</v>
      </c>
      <c r="F105" t="str">
        <f t="shared" si="28"/>
        <v>COM</v>
      </c>
      <c r="G105" t="str">
        <f>"AC FARMA - FLEMINFARMA (10160)"</f>
        <v>AC FARMA - FLEMINFARMA (10160)</v>
      </c>
      <c r="H105" t="s">
        <v>49</v>
      </c>
      <c r="I105" t="str">
        <f t="shared" si="38"/>
        <v>03/12/2025</v>
      </c>
      <c r="J105" t="str">
        <f t="shared" si="39"/>
        <v>25/11/2025</v>
      </c>
      <c r="K105">
        <v>45995</v>
      </c>
      <c r="N105">
        <v>303</v>
      </c>
      <c r="O105" t="s">
        <v>30</v>
      </c>
      <c r="Q105">
        <v>156.6</v>
      </c>
      <c r="R105" t="str">
        <f>"AC FARMA -  FLEMINFARMA (10159)"</f>
        <v>AC FARMA -  FLEMINFARMA (10159)</v>
      </c>
      <c r="S105" t="s">
        <v>31</v>
      </c>
      <c r="T105">
        <v>3445</v>
      </c>
      <c r="U105">
        <v>2829</v>
      </c>
      <c r="V105" t="s">
        <v>22</v>
      </c>
    </row>
    <row r="106" spans="1:22">
      <c r="A106" t="str">
        <f t="shared" si="37"/>
        <v>04/12/2025</v>
      </c>
      <c r="B106" t="str">
        <f t="shared" si="26"/>
        <v>ENTRADA</v>
      </c>
      <c r="C106" t="str">
        <f t="shared" si="30"/>
        <v>NFSE</v>
      </c>
      <c r="D106" t="str">
        <f>"3917"</f>
        <v>3917</v>
      </c>
      <c r="E106" t="str">
        <f t="shared" si="27"/>
        <v>1</v>
      </c>
      <c r="F106" t="str">
        <f t="shared" si="28"/>
        <v>COM</v>
      </c>
      <c r="G106" t="str">
        <f>"AC FARMA - FLEMINFARMA (10160)"</f>
        <v>AC FARMA - FLEMINFARMA (10160)</v>
      </c>
      <c r="H106" t="s">
        <v>49</v>
      </c>
      <c r="I106" t="str">
        <f t="shared" si="38"/>
        <v>03/12/2025</v>
      </c>
      <c r="J106" t="str">
        <f t="shared" si="39"/>
        <v>25/11/2025</v>
      </c>
      <c r="K106">
        <v>45995</v>
      </c>
      <c r="N106">
        <v>303</v>
      </c>
      <c r="O106" t="s">
        <v>30</v>
      </c>
      <c r="Q106">
        <v>6.75</v>
      </c>
      <c r="R106" t="str">
        <f>"AC FARMA - FLEMINFARMA (10160)"</f>
        <v>AC FARMA - FLEMINFARMA (10160)</v>
      </c>
      <c r="S106" t="s">
        <v>31</v>
      </c>
      <c r="T106">
        <v>3445</v>
      </c>
      <c r="U106">
        <v>2829</v>
      </c>
      <c r="V106" t="s">
        <v>22</v>
      </c>
    </row>
    <row r="107" spans="1:22">
      <c r="A107" t="str">
        <f t="shared" si="37"/>
        <v>04/12/2025</v>
      </c>
      <c r="B107" t="str">
        <f t="shared" si="26"/>
        <v>ENTRADA</v>
      </c>
      <c r="C107" t="str">
        <f t="shared" si="30"/>
        <v>NFSE</v>
      </c>
      <c r="D107" t="str">
        <f>"3918"</f>
        <v>3918</v>
      </c>
      <c r="E107" t="str">
        <f t="shared" si="27"/>
        <v>1</v>
      </c>
      <c r="F107" t="str">
        <f t="shared" si="28"/>
        <v>COM</v>
      </c>
      <c r="G107" t="str">
        <f>"AC FARMA - FLEMINFARMA 5 (10183)"</f>
        <v>AC FARMA - FLEMINFARMA 5 (10183)</v>
      </c>
      <c r="H107" t="str">
        <f>"Serv.Prest. 17/11/2025 a 23/11/2025 - RPS: 1681 - NFSe: 3918"</f>
        <v>Serv.Prest. 17/11/2025 a 23/11/2025 - RPS: 1681 - NFSe: 3918</v>
      </c>
      <c r="I107" t="str">
        <f t="shared" si="38"/>
        <v>03/12/2025</v>
      </c>
      <c r="J107" t="str">
        <f t="shared" si="39"/>
        <v>25/11/2025</v>
      </c>
      <c r="K107" t="str">
        <f>("04/12/2025")</f>
        <v>04/12/2025</v>
      </c>
      <c r="L107">
        <v>79.650000000000006</v>
      </c>
      <c r="M107">
        <v>79.650000000000006</v>
      </c>
      <c r="N107">
        <v>303</v>
      </c>
      <c r="O107" t="str">
        <f>"RECEITAS COM ENTREGAS"</f>
        <v>RECEITAS COM ENTREGAS</v>
      </c>
      <c r="P107">
        <v>79.650000000000006</v>
      </c>
      <c r="S107" t="str">
        <f>"RECEITAS COM ENTREGAS (303)"</f>
        <v>RECEITAS COM ENTREGAS (303)</v>
      </c>
      <c r="T107">
        <v>3446</v>
      </c>
      <c r="U107">
        <v>2830</v>
      </c>
      <c r="V107" t="s">
        <v>22</v>
      </c>
    </row>
    <row r="108" spans="1:22">
      <c r="A108" t="str">
        <f t="shared" si="37"/>
        <v>04/12/2025</v>
      </c>
      <c r="B108" t="str">
        <f t="shared" si="26"/>
        <v>ENTRADA</v>
      </c>
      <c r="C108" t="str">
        <f t="shared" si="30"/>
        <v>NFSE</v>
      </c>
      <c r="D108" t="str">
        <f>"3918"</f>
        <v>3918</v>
      </c>
      <c r="E108" t="str">
        <f t="shared" si="27"/>
        <v>1</v>
      </c>
      <c r="F108" t="str">
        <f t="shared" si="28"/>
        <v>COM</v>
      </c>
      <c r="G108" t="str">
        <f>"AC FARMA - FLEMINFARMA 5 (10183)"</f>
        <v>AC FARMA - FLEMINFARMA 5 (10183)</v>
      </c>
      <c r="H108" t="s">
        <v>50</v>
      </c>
      <c r="I108" t="str">
        <f t="shared" si="38"/>
        <v>03/12/2025</v>
      </c>
      <c r="J108" t="str">
        <f t="shared" si="39"/>
        <v>25/11/2025</v>
      </c>
      <c r="K108">
        <v>45995</v>
      </c>
      <c r="N108">
        <v>303</v>
      </c>
      <c r="O108" t="s">
        <v>30</v>
      </c>
      <c r="Q108">
        <v>74.25</v>
      </c>
      <c r="R108" t="str">
        <f>"AC FARMA - FLEMINFARMA 5 (10183)"</f>
        <v>AC FARMA - FLEMINFARMA 5 (10183)</v>
      </c>
      <c r="S108" t="s">
        <v>31</v>
      </c>
      <c r="T108">
        <v>3446</v>
      </c>
      <c r="U108">
        <v>2830</v>
      </c>
      <c r="V108" t="s">
        <v>22</v>
      </c>
    </row>
    <row r="109" spans="1:22">
      <c r="A109" t="str">
        <f t="shared" si="37"/>
        <v>04/12/2025</v>
      </c>
      <c r="B109" t="str">
        <f t="shared" si="26"/>
        <v>ENTRADA</v>
      </c>
      <c r="C109" t="str">
        <f t="shared" si="30"/>
        <v>NFSE</v>
      </c>
      <c r="D109" t="str">
        <f>"3918"</f>
        <v>3918</v>
      </c>
      <c r="E109" t="str">
        <f t="shared" si="27"/>
        <v>1</v>
      </c>
      <c r="F109" t="str">
        <f t="shared" si="28"/>
        <v>COM</v>
      </c>
      <c r="G109" t="str">
        <f>"AC FARMA - FLEMINFARMA 5 (10183)"</f>
        <v>AC FARMA - FLEMINFARMA 5 (10183)</v>
      </c>
      <c r="H109" t="s">
        <v>50</v>
      </c>
      <c r="I109" t="str">
        <f t="shared" si="38"/>
        <v>03/12/2025</v>
      </c>
      <c r="J109" t="str">
        <f t="shared" si="39"/>
        <v>25/11/2025</v>
      </c>
      <c r="K109">
        <v>45995</v>
      </c>
      <c r="N109">
        <v>303</v>
      </c>
      <c r="O109" t="s">
        <v>30</v>
      </c>
      <c r="Q109">
        <v>5.4</v>
      </c>
      <c r="R109" t="str">
        <f>"AC FARMA - FLEMINFARMA 6 (10184)"</f>
        <v>AC FARMA - FLEMINFARMA 6 (10184)</v>
      </c>
      <c r="S109" t="s">
        <v>31</v>
      </c>
      <c r="T109">
        <v>3446</v>
      </c>
      <c r="U109">
        <v>2830</v>
      </c>
      <c r="V109" t="s">
        <v>22</v>
      </c>
    </row>
    <row r="110" spans="1:22">
      <c r="A110" t="str">
        <f t="shared" si="37"/>
        <v>04/12/2025</v>
      </c>
      <c r="B110" t="str">
        <f t="shared" ref="B110:B118" si="40">"SAÍDA"</f>
        <v>SAÍDA</v>
      </c>
      <c r="C110" t="str">
        <f t="shared" ref="C110:C117" si="41">"BOLETO"</f>
        <v>BOLETO</v>
      </c>
      <c r="D110" t="str">
        <f>"011125"</f>
        <v>011125</v>
      </c>
      <c r="E110" t="str">
        <f>"2"</f>
        <v>2</v>
      </c>
      <c r="F110" t="str">
        <f t="shared" si="28"/>
        <v>COM</v>
      </c>
      <c r="G110" t="str">
        <f>"CORA SOCIEDADE DE CREDITO, FINANCIAMENTO E INVESTIMENTO (20035)"</f>
        <v>CORA SOCIEDADE DE CREDITO, FINANCIAMENTO E INVESTIMENTO (20035)</v>
      </c>
      <c r="H110" t="str">
        <f>"TAXA BOLETO CORA"</f>
        <v>TAXA BOLETO CORA</v>
      </c>
      <c r="I110" t="str">
        <f t="shared" ref="I110:I118" si="42">("04/12/2025")</f>
        <v>04/12/2025</v>
      </c>
      <c r="J110" t="str">
        <f>("01/11/2025")</f>
        <v>01/11/2025</v>
      </c>
      <c r="K110" t="str">
        <f>("04/12/2025")</f>
        <v>04/12/2025</v>
      </c>
      <c r="L110">
        <v>1.7</v>
      </c>
      <c r="M110">
        <v>1.7</v>
      </c>
      <c r="N110">
        <v>401</v>
      </c>
      <c r="O110" t="str">
        <f>"IOF/JUROS/DESP.FINANCEIRA"</f>
        <v>IOF/JUROS/DESP.FINANCEIRA</v>
      </c>
      <c r="P110">
        <v>1.7</v>
      </c>
      <c r="S110" t="str">
        <f>"BANCO CORA (102)"</f>
        <v>BANCO CORA (102)</v>
      </c>
      <c r="T110">
        <v>3447</v>
      </c>
      <c r="U110">
        <v>2983</v>
      </c>
      <c r="V110" t="s">
        <v>22</v>
      </c>
    </row>
    <row r="111" spans="1:22">
      <c r="A111" t="str">
        <f t="shared" si="37"/>
        <v>04/12/2025</v>
      </c>
      <c r="B111" t="str">
        <f t="shared" si="40"/>
        <v>SAÍDA</v>
      </c>
      <c r="C111" t="str">
        <f t="shared" si="41"/>
        <v>BOLETO</v>
      </c>
      <c r="D111" t="str">
        <f>"011125"</f>
        <v>011125</v>
      </c>
      <c r="E111" t="str">
        <f>"2"</f>
        <v>2</v>
      </c>
      <c r="F111" t="str">
        <f t="shared" ref="F111:F117" si="43">"COM"</f>
        <v>COM</v>
      </c>
      <c r="G111" t="str">
        <f>"CORA SOCIEDADE DE CREDITO, FINANCIAMENTO E INVESTIMENTO (20035)"</f>
        <v>CORA SOCIEDADE DE CREDITO, FINANCIAMENTO E INVESTIMENTO (20035)</v>
      </c>
      <c r="H111" t="s">
        <v>33</v>
      </c>
      <c r="I111" t="str">
        <f t="shared" si="42"/>
        <v>04/12/2025</v>
      </c>
      <c r="J111" t="str">
        <f>("01/11/2025")</f>
        <v>01/11/2025</v>
      </c>
      <c r="K111">
        <v>45995</v>
      </c>
      <c r="N111">
        <v>401</v>
      </c>
      <c r="O111" t="s">
        <v>34</v>
      </c>
      <c r="Q111">
        <v>1.7</v>
      </c>
      <c r="R111" t="str">
        <f>"CORA SOCIEDADE DE CREDITO, FINANCIAMENTO E INVESTIMENTO (20035)"</f>
        <v>CORA SOCIEDADE DE CREDITO, FINANCIAMENTO E INVESTIMENTO (20035)</v>
      </c>
      <c r="S111" t="s">
        <v>22</v>
      </c>
      <c r="T111">
        <v>3447</v>
      </c>
      <c r="U111">
        <v>2983</v>
      </c>
      <c r="V111" t="s">
        <v>22</v>
      </c>
    </row>
    <row r="112" spans="1:22">
      <c r="A112" t="str">
        <f t="shared" si="37"/>
        <v>04/12/2025</v>
      </c>
      <c r="B112" t="str">
        <f t="shared" si="40"/>
        <v>SAÍDA</v>
      </c>
      <c r="C112" t="str">
        <f t="shared" si="41"/>
        <v>BOLETO</v>
      </c>
      <c r="D112" t="str">
        <f>"011125"</f>
        <v>011125</v>
      </c>
      <c r="E112" t="str">
        <f>"3"</f>
        <v>3</v>
      </c>
      <c r="F112" t="str">
        <f t="shared" si="43"/>
        <v>COM</v>
      </c>
      <c r="G112" t="str">
        <f>"CORA SOCIEDADE DE CREDITO, FINANCIAMENTO E INVESTIMENTO (20035)"</f>
        <v>CORA SOCIEDADE DE CREDITO, FINANCIAMENTO E INVESTIMENTO (20035)</v>
      </c>
      <c r="H112" t="str">
        <f>"TAXA BOLETO CORA"</f>
        <v>TAXA BOLETO CORA</v>
      </c>
      <c r="I112" t="str">
        <f t="shared" si="42"/>
        <v>04/12/2025</v>
      </c>
      <c r="J112" t="str">
        <f>("01/11/2025")</f>
        <v>01/11/2025</v>
      </c>
      <c r="K112" t="str">
        <f>("04/12/2025")</f>
        <v>04/12/2025</v>
      </c>
      <c r="L112">
        <v>1.7</v>
      </c>
      <c r="M112">
        <v>1.7</v>
      </c>
      <c r="N112">
        <v>401</v>
      </c>
      <c r="O112" t="str">
        <f>"IOF/JUROS/DESP.FINANCEIRA"</f>
        <v>IOF/JUROS/DESP.FINANCEIRA</v>
      </c>
      <c r="P112">
        <v>1.7</v>
      </c>
      <c r="S112" t="str">
        <f>"BANCO CORA (102)"</f>
        <v>BANCO CORA (102)</v>
      </c>
      <c r="T112">
        <v>3448</v>
      </c>
      <c r="U112">
        <v>2984</v>
      </c>
      <c r="V112" t="s">
        <v>22</v>
      </c>
    </row>
    <row r="113" spans="1:22">
      <c r="A113" t="str">
        <f t="shared" si="37"/>
        <v>04/12/2025</v>
      </c>
      <c r="B113" t="str">
        <f t="shared" si="40"/>
        <v>SAÍDA</v>
      </c>
      <c r="C113" t="str">
        <f t="shared" si="41"/>
        <v>BOLETO</v>
      </c>
      <c r="D113" t="str">
        <f>"011125"</f>
        <v>011125</v>
      </c>
      <c r="E113" t="str">
        <f>"3"</f>
        <v>3</v>
      </c>
      <c r="F113" t="str">
        <f t="shared" si="43"/>
        <v>COM</v>
      </c>
      <c r="G113" t="str">
        <f>"CORA SOCIEDADE DE CREDITO, FINANCIAMENTO E INVESTIMENTO (20035)"</f>
        <v>CORA SOCIEDADE DE CREDITO, FINANCIAMENTO E INVESTIMENTO (20035)</v>
      </c>
      <c r="H113" t="s">
        <v>33</v>
      </c>
      <c r="I113" t="str">
        <f t="shared" si="42"/>
        <v>04/12/2025</v>
      </c>
      <c r="J113" t="str">
        <f>("01/11/2025")</f>
        <v>01/11/2025</v>
      </c>
      <c r="K113">
        <v>45995</v>
      </c>
      <c r="N113">
        <v>401</v>
      </c>
      <c r="O113" t="s">
        <v>34</v>
      </c>
      <c r="Q113">
        <v>1.7</v>
      </c>
      <c r="R113" t="str">
        <f>"CORA SOCIEDADE DE CREDITO, FINANCIAMENTO E INVESTIMENTO (20035)"</f>
        <v>CORA SOCIEDADE DE CREDITO, FINANCIAMENTO E INVESTIMENTO (20035)</v>
      </c>
      <c r="S113" t="s">
        <v>22</v>
      </c>
      <c r="T113">
        <v>3448</v>
      </c>
      <c r="U113">
        <v>2984</v>
      </c>
      <c r="V113" t="s">
        <v>22</v>
      </c>
    </row>
    <row r="114" spans="1:22">
      <c r="A114" t="str">
        <f t="shared" si="37"/>
        <v>04/12/2025</v>
      </c>
      <c r="B114" t="str">
        <f t="shared" si="40"/>
        <v>SAÍDA</v>
      </c>
      <c r="C114" t="str">
        <f t="shared" si="41"/>
        <v>BOLETO</v>
      </c>
      <c r="D114" t="str">
        <f>"847"</f>
        <v>847</v>
      </c>
      <c r="E114" t="str">
        <f>"01"</f>
        <v>01</v>
      </c>
      <c r="F114" t="str">
        <f t="shared" si="43"/>
        <v>COM</v>
      </c>
      <c r="G114" t="str">
        <f>"GRPRO TECNOLOGIA INTEGRADA E ASSESSORIA EM NEGOCIO LTDA (20129)"</f>
        <v>GRPRO TECNOLOGIA INTEGRADA E ASSESSORIA EM NEGOCIO LTDA (20129)</v>
      </c>
      <c r="H114" t="str">
        <f>"PLATAFORMA GOPRO"</f>
        <v>PLATAFORMA GOPRO</v>
      </c>
      <c r="I114" t="str">
        <f t="shared" si="42"/>
        <v>04/12/2025</v>
      </c>
      <c r="J114" t="str">
        <f>("02/12/2025")</f>
        <v>02/12/2025</v>
      </c>
      <c r="K114" t="str">
        <f>("04/12/2025")</f>
        <v>04/12/2025</v>
      </c>
      <c r="L114">
        <v>570</v>
      </c>
      <c r="M114">
        <v>570</v>
      </c>
      <c r="N114">
        <v>104</v>
      </c>
      <c r="O114" t="str">
        <f>"SOFTWARE / LICENÇAS"</f>
        <v>SOFTWARE / LICENÇAS</v>
      </c>
      <c r="P114">
        <v>570</v>
      </c>
      <c r="S114" t="str">
        <f>"BANCO CORA (102)"</f>
        <v>BANCO CORA (102)</v>
      </c>
      <c r="T114">
        <v>3449</v>
      </c>
      <c r="U114">
        <v>2880</v>
      </c>
      <c r="V114" t="s">
        <v>22</v>
      </c>
    </row>
    <row r="115" spans="1:22">
      <c r="A115" t="str">
        <f t="shared" si="37"/>
        <v>04/12/2025</v>
      </c>
      <c r="B115" t="str">
        <f t="shared" si="40"/>
        <v>SAÍDA</v>
      </c>
      <c r="C115" t="str">
        <f t="shared" si="41"/>
        <v>BOLETO</v>
      </c>
      <c r="D115" t="str">
        <f>"847"</f>
        <v>847</v>
      </c>
      <c r="E115" t="str">
        <f>"01"</f>
        <v>01</v>
      </c>
      <c r="F115" t="str">
        <f t="shared" si="43"/>
        <v>COM</v>
      </c>
      <c r="G115" t="str">
        <f>"GRPRO TECNOLOGIA INTEGRADA E ASSESSORIA EM NEGOCIO LTDA (20129)"</f>
        <v>GRPRO TECNOLOGIA INTEGRADA E ASSESSORIA EM NEGOCIO LTDA (20129)</v>
      </c>
      <c r="H115" t="s">
        <v>51</v>
      </c>
      <c r="I115" t="str">
        <f t="shared" si="42"/>
        <v>04/12/2025</v>
      </c>
      <c r="J115" t="str">
        <f>("02/12/2025")</f>
        <v>02/12/2025</v>
      </c>
      <c r="K115">
        <v>45995</v>
      </c>
      <c r="N115">
        <v>104</v>
      </c>
      <c r="O115" t="s">
        <v>52</v>
      </c>
      <c r="Q115">
        <v>570</v>
      </c>
      <c r="R115" t="str">
        <f>"GRPRO TECNOLOGIA INTEGRADA E ASSESSORIA EM NEGOCIO LTDA (20129)"</f>
        <v>GRPRO TECNOLOGIA INTEGRADA E ASSESSORIA EM NEGOCIO LTDA (20129)</v>
      </c>
      <c r="S115" t="s">
        <v>22</v>
      </c>
      <c r="T115">
        <v>3449</v>
      </c>
      <c r="U115">
        <v>2880</v>
      </c>
      <c r="V115" t="s">
        <v>22</v>
      </c>
    </row>
    <row r="116" spans="1:22">
      <c r="A116" t="str">
        <f t="shared" si="37"/>
        <v>04/12/2025</v>
      </c>
      <c r="B116" t="str">
        <f t="shared" si="40"/>
        <v>SAÍDA</v>
      </c>
      <c r="C116" t="str">
        <f t="shared" si="41"/>
        <v>BOLETO</v>
      </c>
      <c r="D116" t="str">
        <f>"011125"</f>
        <v>011125</v>
      </c>
      <c r="E116" t="str">
        <f>"2"</f>
        <v>2</v>
      </c>
      <c r="F116" t="str">
        <f t="shared" si="43"/>
        <v>COM</v>
      </c>
      <c r="G116" t="str">
        <f>"CORA SOCIEDADE DE CREDITO, FINANCIAMENTO E INVESTIMENTO (20035)"</f>
        <v>CORA SOCIEDADE DE CREDITO, FINANCIAMENTO E INVESTIMENTO (20035)</v>
      </c>
      <c r="H116" t="str">
        <f>"TAXA BOLETO CORA"</f>
        <v>TAXA BOLETO CORA</v>
      </c>
      <c r="I116" t="str">
        <f t="shared" si="42"/>
        <v>04/12/2025</v>
      </c>
      <c r="J116" t="str">
        <f>("01/11/2025")</f>
        <v>01/11/2025</v>
      </c>
      <c r="K116" t="str">
        <f>("04/12/2025")</f>
        <v>04/12/2025</v>
      </c>
      <c r="L116">
        <v>1.7</v>
      </c>
      <c r="M116">
        <v>1.7</v>
      </c>
      <c r="N116">
        <v>401</v>
      </c>
      <c r="O116" t="str">
        <f>"IOF/JUROS/DESP.FINANCEIRA"</f>
        <v>IOF/JUROS/DESP.FINANCEIRA</v>
      </c>
      <c r="P116">
        <v>1.7</v>
      </c>
      <c r="S116" t="str">
        <f>"BANCO CORA (102)"</f>
        <v>BANCO CORA (102)</v>
      </c>
      <c r="T116">
        <v>3450</v>
      </c>
      <c r="U116">
        <v>2985</v>
      </c>
      <c r="V116" t="s">
        <v>22</v>
      </c>
    </row>
    <row r="117" spans="1:22">
      <c r="A117" t="str">
        <f t="shared" si="37"/>
        <v>04/12/2025</v>
      </c>
      <c r="B117" t="str">
        <f t="shared" si="40"/>
        <v>SAÍDA</v>
      </c>
      <c r="C117" t="str">
        <f t="shared" si="41"/>
        <v>BOLETO</v>
      </c>
      <c r="D117" t="str">
        <f>"011125"</f>
        <v>011125</v>
      </c>
      <c r="E117" t="str">
        <f>"2"</f>
        <v>2</v>
      </c>
      <c r="F117" t="str">
        <f t="shared" si="43"/>
        <v>COM</v>
      </c>
      <c r="G117" t="str">
        <f>"CORA SOCIEDADE DE CREDITO, FINANCIAMENTO E INVESTIMENTO (20035)"</f>
        <v>CORA SOCIEDADE DE CREDITO, FINANCIAMENTO E INVESTIMENTO (20035)</v>
      </c>
      <c r="H117" t="s">
        <v>33</v>
      </c>
      <c r="I117" t="str">
        <f t="shared" si="42"/>
        <v>04/12/2025</v>
      </c>
      <c r="J117" t="str">
        <f>("01/11/2025")</f>
        <v>01/11/2025</v>
      </c>
      <c r="K117">
        <v>45995</v>
      </c>
      <c r="N117">
        <v>401</v>
      </c>
      <c r="O117" t="s">
        <v>34</v>
      </c>
      <c r="Q117">
        <v>1.7</v>
      </c>
      <c r="R117" t="str">
        <f>"CORA SOCIEDADE DE CREDITO, FINANCIAMENTO E INVESTIMENTO (20035)"</f>
        <v>CORA SOCIEDADE DE CREDITO, FINANCIAMENTO E INVESTIMENTO (20035)</v>
      </c>
      <c r="S117" t="s">
        <v>22</v>
      </c>
      <c r="T117">
        <v>3450</v>
      </c>
      <c r="U117">
        <v>2985</v>
      </c>
      <c r="V117" t="s">
        <v>22</v>
      </c>
    </row>
    <row r="118" spans="1:22">
      <c r="A118" t="str">
        <f t="shared" si="37"/>
        <v>04/12/2025</v>
      </c>
      <c r="B118" t="str">
        <f t="shared" si="40"/>
        <v>SAÍDA</v>
      </c>
      <c r="C118" t="str">
        <f>"JUROS"</f>
        <v>JUROS</v>
      </c>
      <c r="D118" t="str">
        <f>""</f>
        <v/>
      </c>
      <c r="F118" t="str">
        <f>"CXA"</f>
        <v>CXA</v>
      </c>
      <c r="G118" t="str">
        <f>""</f>
        <v/>
      </c>
      <c r="H118" t="str">
        <f>"TARIFA SERV.COBR.TITULOS "</f>
        <v xml:space="preserve">TARIFA SERV.COBR.TITULOS </v>
      </c>
      <c r="I118" t="str">
        <f t="shared" si="42"/>
        <v>04/12/2025</v>
      </c>
      <c r="J118" t="str">
        <f>("04/12/2025")</f>
        <v>04/12/2025</v>
      </c>
      <c r="K118" t="str">
        <f>("04/12/2025")</f>
        <v>04/12/2025</v>
      </c>
      <c r="L118">
        <v>66.72</v>
      </c>
      <c r="M118">
        <v>66.72</v>
      </c>
      <c r="N118">
        <v>401</v>
      </c>
      <c r="O118" t="str">
        <f>"IOF/JUROS/DESP.FINANCEIRA"</f>
        <v>IOF/JUROS/DESP.FINANCEIRA</v>
      </c>
      <c r="P118">
        <v>66.72</v>
      </c>
      <c r="S118" t="str">
        <f>"BANCO SICREDI (131)"</f>
        <v>BANCO SICREDI (131)</v>
      </c>
      <c r="T118">
        <v>3551</v>
      </c>
      <c r="U118">
        <v>0</v>
      </c>
      <c r="V118" t="s">
        <v>53</v>
      </c>
    </row>
    <row r="119" spans="1:22">
      <c r="A119" t="str">
        <f t="shared" si="37"/>
        <v>04/12/2025</v>
      </c>
      <c r="B119" t="str">
        <f t="shared" ref="B119:B150" si="44">"ENTRADA"</f>
        <v>ENTRADA</v>
      </c>
      <c r="C119" t="str">
        <f t="shared" ref="C119:C150" si="45">"NFSE"</f>
        <v>NFSE</v>
      </c>
      <c r="D119" t="str">
        <f>"3921"</f>
        <v>3921</v>
      </c>
      <c r="E119" t="str">
        <f t="shared" ref="E119:E150" si="46">"1"</f>
        <v>1</v>
      </c>
      <c r="F119" t="str">
        <f t="shared" ref="F119:F150" si="47">"COM"</f>
        <v>COM</v>
      </c>
      <c r="G119" t="str">
        <f>"BRASIL FARMA (10173)"</f>
        <v>BRASIL FARMA (10173)</v>
      </c>
      <c r="H119" t="str">
        <f>"Serv.Prest. 24/11/2025 a 30/11/2025 - RPS: 1683 - NFSe: 3921"</f>
        <v>Serv.Prest. 24/11/2025 a 30/11/2025 - RPS: 1683 - NFSe: 3921</v>
      </c>
      <c r="I119" t="str">
        <f t="shared" ref="I119:I150" si="48">("03/12/2025")</f>
        <v>03/12/2025</v>
      </c>
      <c r="J119" t="str">
        <f t="shared" ref="J119:J150" si="49">("01/12/2025")</f>
        <v>01/12/2025</v>
      </c>
      <c r="K119" t="str">
        <f>("04/12/2025")</f>
        <v>04/12/2025</v>
      </c>
      <c r="L119">
        <v>300.89999999999998</v>
      </c>
      <c r="M119">
        <v>300.89999999999998</v>
      </c>
      <c r="N119">
        <v>303</v>
      </c>
      <c r="O119" t="str">
        <f>"RECEITAS COM ENTREGAS"</f>
        <v>RECEITAS COM ENTREGAS</v>
      </c>
      <c r="P119">
        <v>300.89999999999998</v>
      </c>
      <c r="S119" t="str">
        <f>"RECEITAS COM ENTREGAS (303)"</f>
        <v>RECEITAS COM ENTREGAS (303)</v>
      </c>
      <c r="T119">
        <v>3751</v>
      </c>
      <c r="U119">
        <v>2833</v>
      </c>
      <c r="V119" t="s">
        <v>36</v>
      </c>
    </row>
    <row r="120" spans="1:22">
      <c r="A120" t="str">
        <f t="shared" si="37"/>
        <v>04/12/2025</v>
      </c>
      <c r="B120" t="str">
        <f t="shared" si="44"/>
        <v>ENTRADA</v>
      </c>
      <c r="C120" t="str">
        <f t="shared" si="45"/>
        <v>NFSE</v>
      </c>
      <c r="D120" t="str">
        <f>"3921"</f>
        <v>3921</v>
      </c>
      <c r="E120" t="str">
        <f t="shared" si="46"/>
        <v>1</v>
      </c>
      <c r="F120" t="str">
        <f t="shared" si="47"/>
        <v>COM</v>
      </c>
      <c r="G120" t="str">
        <f>"BRASIL FARMA (10173)"</f>
        <v>BRASIL FARMA (10173)</v>
      </c>
      <c r="H120" t="s">
        <v>54</v>
      </c>
      <c r="I120" t="str">
        <f t="shared" si="48"/>
        <v>03/12/2025</v>
      </c>
      <c r="J120" t="str">
        <f t="shared" si="49"/>
        <v>01/12/2025</v>
      </c>
      <c r="K120">
        <v>45995</v>
      </c>
      <c r="N120">
        <v>303</v>
      </c>
      <c r="O120" t="s">
        <v>30</v>
      </c>
      <c r="Q120">
        <v>300.89999999999998</v>
      </c>
      <c r="R120" t="str">
        <f>"BRASIL FARMA (10173)"</f>
        <v>BRASIL FARMA (10173)</v>
      </c>
      <c r="S120" t="s">
        <v>31</v>
      </c>
      <c r="T120">
        <v>3751</v>
      </c>
      <c r="U120">
        <v>2833</v>
      </c>
      <c r="V120" t="s">
        <v>36</v>
      </c>
    </row>
    <row r="121" spans="1:22">
      <c r="A121" t="str">
        <f t="shared" si="37"/>
        <v>04/12/2025</v>
      </c>
      <c r="B121" t="str">
        <f t="shared" si="44"/>
        <v>ENTRADA</v>
      </c>
      <c r="C121" t="str">
        <f t="shared" si="45"/>
        <v>NFSE</v>
      </c>
      <c r="D121" t="str">
        <f>"3922"</f>
        <v>3922</v>
      </c>
      <c r="E121" t="str">
        <f t="shared" si="46"/>
        <v>1</v>
      </c>
      <c r="F121" t="str">
        <f t="shared" si="47"/>
        <v>COM</v>
      </c>
      <c r="G121" t="str">
        <f>"DROGARIA AGAPEAMA (10167)"</f>
        <v>DROGARIA AGAPEAMA (10167)</v>
      </c>
      <c r="H121" t="str">
        <f>"Serv.Prest. 24/11/2025 a 30/11/2025 - RPS: 1684 - NFSe: 3922"</f>
        <v>Serv.Prest. 24/11/2025 a 30/11/2025 - RPS: 1684 - NFSe: 3922</v>
      </c>
      <c r="I121" t="str">
        <f t="shared" si="48"/>
        <v>03/12/2025</v>
      </c>
      <c r="J121" t="str">
        <f t="shared" si="49"/>
        <v>01/12/2025</v>
      </c>
      <c r="K121" t="str">
        <f>("04/12/2025")</f>
        <v>04/12/2025</v>
      </c>
      <c r="L121">
        <v>397.6</v>
      </c>
      <c r="M121">
        <v>397.6</v>
      </c>
      <c r="N121">
        <v>303</v>
      </c>
      <c r="O121" t="str">
        <f>"RECEITAS COM ENTREGAS"</f>
        <v>RECEITAS COM ENTREGAS</v>
      </c>
      <c r="P121">
        <v>397.6</v>
      </c>
      <c r="S121" t="str">
        <f>"RECEITAS COM ENTREGAS (303)"</f>
        <v>RECEITAS COM ENTREGAS (303)</v>
      </c>
      <c r="T121">
        <v>3752</v>
      </c>
      <c r="U121">
        <v>2836</v>
      </c>
      <c r="V121" t="s">
        <v>36</v>
      </c>
    </row>
    <row r="122" spans="1:22">
      <c r="A122" t="str">
        <f t="shared" si="37"/>
        <v>04/12/2025</v>
      </c>
      <c r="B122" t="str">
        <f t="shared" si="44"/>
        <v>ENTRADA</v>
      </c>
      <c r="C122" t="str">
        <f t="shared" si="45"/>
        <v>NFSE</v>
      </c>
      <c r="D122" t="str">
        <f>"3922"</f>
        <v>3922</v>
      </c>
      <c r="E122" t="str">
        <f t="shared" si="46"/>
        <v>1</v>
      </c>
      <c r="F122" t="str">
        <f t="shared" si="47"/>
        <v>COM</v>
      </c>
      <c r="G122" t="str">
        <f>"DROGARIA AGAPEAMA (10167)"</f>
        <v>DROGARIA AGAPEAMA (10167)</v>
      </c>
      <c r="H122" t="s">
        <v>55</v>
      </c>
      <c r="I122" t="str">
        <f t="shared" si="48"/>
        <v>03/12/2025</v>
      </c>
      <c r="J122" t="str">
        <f t="shared" si="49"/>
        <v>01/12/2025</v>
      </c>
      <c r="K122">
        <v>45995</v>
      </c>
      <c r="N122">
        <v>303</v>
      </c>
      <c r="O122" t="s">
        <v>30</v>
      </c>
      <c r="Q122">
        <v>397.6</v>
      </c>
      <c r="R122" t="str">
        <f>"DROGARIA AGAPEAMA (10167)"</f>
        <v>DROGARIA AGAPEAMA (10167)</v>
      </c>
      <c r="S122" t="s">
        <v>31</v>
      </c>
      <c r="T122">
        <v>3752</v>
      </c>
      <c r="U122">
        <v>2836</v>
      </c>
      <c r="V122" t="s">
        <v>36</v>
      </c>
    </row>
    <row r="123" spans="1:22">
      <c r="A123" t="str">
        <f t="shared" si="37"/>
        <v>04/12/2025</v>
      </c>
      <c r="B123" t="str">
        <f t="shared" si="44"/>
        <v>ENTRADA</v>
      </c>
      <c r="C123" t="str">
        <f t="shared" si="45"/>
        <v>NFSE</v>
      </c>
      <c r="D123" t="str">
        <f>"3923"</f>
        <v>3923</v>
      </c>
      <c r="E123" t="str">
        <f t="shared" si="46"/>
        <v>1</v>
      </c>
      <c r="F123" t="str">
        <f t="shared" si="47"/>
        <v>COM</v>
      </c>
      <c r="G123" t="str">
        <f>"DROGARIA ANA VISCONDE DO RIO BRANCO (10182)"</f>
        <v>DROGARIA ANA VISCONDE DO RIO BRANCO (10182)</v>
      </c>
      <c r="H123" t="str">
        <f>"Serv.Prest. 24/11/2025 a 30/11/2025 - RPS: 1685 - NFSe: 3923"</f>
        <v>Serv.Prest. 24/11/2025 a 30/11/2025 - RPS: 1685 - NFSe: 3923</v>
      </c>
      <c r="I123" t="str">
        <f t="shared" si="48"/>
        <v>03/12/2025</v>
      </c>
      <c r="J123" t="str">
        <f t="shared" si="49"/>
        <v>01/12/2025</v>
      </c>
      <c r="K123" t="str">
        <f>("04/12/2025")</f>
        <v>04/12/2025</v>
      </c>
      <c r="L123">
        <v>792.45</v>
      </c>
      <c r="M123">
        <v>792.45</v>
      </c>
      <c r="N123">
        <v>303</v>
      </c>
      <c r="O123" t="str">
        <f>"RECEITAS COM ENTREGAS"</f>
        <v>RECEITAS COM ENTREGAS</v>
      </c>
      <c r="P123">
        <v>792.45</v>
      </c>
      <c r="S123" t="str">
        <f>"RECEITAS COM ENTREGAS (303)"</f>
        <v>RECEITAS COM ENTREGAS (303)</v>
      </c>
      <c r="T123">
        <v>3753</v>
      </c>
      <c r="U123">
        <v>2837</v>
      </c>
      <c r="V123" t="s">
        <v>36</v>
      </c>
    </row>
    <row r="124" spans="1:22">
      <c r="A124" t="str">
        <f t="shared" si="37"/>
        <v>04/12/2025</v>
      </c>
      <c r="B124" t="str">
        <f t="shared" si="44"/>
        <v>ENTRADA</v>
      </c>
      <c r="C124" t="str">
        <f t="shared" si="45"/>
        <v>NFSE</v>
      </c>
      <c r="D124" t="str">
        <f>"3923"</f>
        <v>3923</v>
      </c>
      <c r="E124" t="str">
        <f t="shared" si="46"/>
        <v>1</v>
      </c>
      <c r="F124" t="str">
        <f t="shared" si="47"/>
        <v>COM</v>
      </c>
      <c r="G124" t="str">
        <f>"DROGARIA ANA VISCONDE DO RIO BRANCO (10182)"</f>
        <v>DROGARIA ANA VISCONDE DO RIO BRANCO (10182)</v>
      </c>
      <c r="H124" t="s">
        <v>56</v>
      </c>
      <c r="I124" t="str">
        <f t="shared" si="48"/>
        <v>03/12/2025</v>
      </c>
      <c r="J124" t="str">
        <f t="shared" si="49"/>
        <v>01/12/2025</v>
      </c>
      <c r="K124">
        <v>45995</v>
      </c>
      <c r="N124">
        <v>303</v>
      </c>
      <c r="O124" t="s">
        <v>30</v>
      </c>
      <c r="Q124">
        <v>792.45</v>
      </c>
      <c r="R124" t="str">
        <f>"DROGARIA ANA VISCONDE DO RIO BRANCO (10182)"</f>
        <v>DROGARIA ANA VISCONDE DO RIO BRANCO (10182)</v>
      </c>
      <c r="S124" t="s">
        <v>31</v>
      </c>
      <c r="T124">
        <v>3753</v>
      </c>
      <c r="U124">
        <v>2837</v>
      </c>
      <c r="V124" t="s">
        <v>36</v>
      </c>
    </row>
    <row r="125" spans="1:22">
      <c r="A125" t="str">
        <f t="shared" si="37"/>
        <v>04/12/2025</v>
      </c>
      <c r="B125" t="str">
        <f t="shared" si="44"/>
        <v>ENTRADA</v>
      </c>
      <c r="C125" t="str">
        <f t="shared" si="45"/>
        <v>NFSE</v>
      </c>
      <c r="D125" t="str">
        <f>"3928"</f>
        <v>3928</v>
      </c>
      <c r="E125" t="str">
        <f t="shared" si="46"/>
        <v>1</v>
      </c>
      <c r="F125" t="str">
        <f t="shared" si="47"/>
        <v>COM</v>
      </c>
      <c r="G125" t="str">
        <f>"ENTREFARMA (10164)"</f>
        <v>ENTREFARMA (10164)</v>
      </c>
      <c r="H125" t="str">
        <f>"Serv.Prest. 24/11/2025 a 30/11/2025 - RPS: 1690 - NFSe: 3928"</f>
        <v>Serv.Prest. 24/11/2025 a 30/11/2025 - RPS: 1690 - NFSe: 3928</v>
      </c>
      <c r="I125" t="str">
        <f t="shared" si="48"/>
        <v>03/12/2025</v>
      </c>
      <c r="J125" t="str">
        <f t="shared" si="49"/>
        <v>01/12/2025</v>
      </c>
      <c r="K125" t="str">
        <f>("04/12/2025")</f>
        <v>04/12/2025</v>
      </c>
      <c r="L125">
        <v>1153.8800000000001</v>
      </c>
      <c r="M125">
        <v>1153.8800000000001</v>
      </c>
      <c r="N125">
        <v>303</v>
      </c>
      <c r="O125" t="str">
        <f>"RECEITAS COM ENTREGAS"</f>
        <v>RECEITAS COM ENTREGAS</v>
      </c>
      <c r="P125">
        <v>1153.8800000000001</v>
      </c>
      <c r="S125" t="str">
        <f>"RECEITAS COM ENTREGAS (303)"</f>
        <v>RECEITAS COM ENTREGAS (303)</v>
      </c>
      <c r="T125">
        <v>3754</v>
      </c>
      <c r="U125">
        <v>2842</v>
      </c>
      <c r="V125" t="s">
        <v>36</v>
      </c>
    </row>
    <row r="126" spans="1:22">
      <c r="A126" t="str">
        <f t="shared" si="37"/>
        <v>04/12/2025</v>
      </c>
      <c r="B126" t="str">
        <f t="shared" si="44"/>
        <v>ENTRADA</v>
      </c>
      <c r="C126" t="str">
        <f t="shared" si="45"/>
        <v>NFSE</v>
      </c>
      <c r="D126" t="str">
        <f>"3928"</f>
        <v>3928</v>
      </c>
      <c r="E126" t="str">
        <f t="shared" si="46"/>
        <v>1</v>
      </c>
      <c r="F126" t="str">
        <f t="shared" si="47"/>
        <v>COM</v>
      </c>
      <c r="G126" t="str">
        <f>"ENTREFARMA (10164)"</f>
        <v>ENTREFARMA (10164)</v>
      </c>
      <c r="H126" t="s">
        <v>57</v>
      </c>
      <c r="I126" t="str">
        <f t="shared" si="48"/>
        <v>03/12/2025</v>
      </c>
      <c r="J126" t="str">
        <f t="shared" si="49"/>
        <v>01/12/2025</v>
      </c>
      <c r="K126">
        <v>45995</v>
      </c>
      <c r="N126">
        <v>303</v>
      </c>
      <c r="O126" t="s">
        <v>30</v>
      </c>
      <c r="Q126">
        <v>1153.8800000000001</v>
      </c>
      <c r="R126" t="str">
        <f>"ENTREFARMA (10164)"</f>
        <v>ENTREFARMA (10164)</v>
      </c>
      <c r="S126" t="s">
        <v>31</v>
      </c>
      <c r="T126">
        <v>3754</v>
      </c>
      <c r="U126">
        <v>2842</v>
      </c>
      <c r="V126" t="s">
        <v>36</v>
      </c>
    </row>
    <row r="127" spans="1:22">
      <c r="A127" t="str">
        <f t="shared" si="37"/>
        <v>04/12/2025</v>
      </c>
      <c r="B127" t="str">
        <f t="shared" si="44"/>
        <v>ENTRADA</v>
      </c>
      <c r="C127" t="str">
        <f t="shared" si="45"/>
        <v>NFSE</v>
      </c>
      <c r="D127" t="str">
        <f>"3929"</f>
        <v>3929</v>
      </c>
      <c r="E127" t="str">
        <f t="shared" si="46"/>
        <v>1</v>
      </c>
      <c r="F127" t="str">
        <f t="shared" si="47"/>
        <v>COM</v>
      </c>
      <c r="G127" t="str">
        <f>"FRAN FARMA (10124)"</f>
        <v>FRAN FARMA (10124)</v>
      </c>
      <c r="H127" t="str">
        <f>"Serv.Prest. 24/11/2025 a 30/11/2025 - RPS: 1691 - NFSe: 3929"</f>
        <v>Serv.Prest. 24/11/2025 a 30/11/2025 - RPS: 1691 - NFSe: 3929</v>
      </c>
      <c r="I127" t="str">
        <f t="shared" si="48"/>
        <v>03/12/2025</v>
      </c>
      <c r="J127" t="str">
        <f t="shared" si="49"/>
        <v>01/12/2025</v>
      </c>
      <c r="K127" t="str">
        <f>("04/12/2025")</f>
        <v>04/12/2025</v>
      </c>
      <c r="L127">
        <v>160</v>
      </c>
      <c r="M127">
        <v>160</v>
      </c>
      <c r="N127">
        <v>303</v>
      </c>
      <c r="O127" t="str">
        <f>"RECEITAS COM ENTREGAS"</f>
        <v>RECEITAS COM ENTREGAS</v>
      </c>
      <c r="P127">
        <v>160</v>
      </c>
      <c r="S127" t="str">
        <f>"RECEITAS COM ENTREGAS (303)"</f>
        <v>RECEITAS COM ENTREGAS (303)</v>
      </c>
      <c r="T127">
        <v>3755</v>
      </c>
      <c r="U127">
        <v>2843</v>
      </c>
      <c r="V127" t="s">
        <v>36</v>
      </c>
    </row>
    <row r="128" spans="1:22">
      <c r="A128" t="str">
        <f t="shared" si="37"/>
        <v>04/12/2025</v>
      </c>
      <c r="B128" t="str">
        <f t="shared" si="44"/>
        <v>ENTRADA</v>
      </c>
      <c r="C128" t="str">
        <f t="shared" si="45"/>
        <v>NFSE</v>
      </c>
      <c r="D128" t="str">
        <f>"3929"</f>
        <v>3929</v>
      </c>
      <c r="E128" t="str">
        <f t="shared" si="46"/>
        <v>1</v>
      </c>
      <c r="F128" t="str">
        <f t="shared" si="47"/>
        <v>COM</v>
      </c>
      <c r="G128" t="str">
        <f>"FRAN FARMA (10124)"</f>
        <v>FRAN FARMA (10124)</v>
      </c>
      <c r="H128" t="s">
        <v>58</v>
      </c>
      <c r="I128" t="str">
        <f t="shared" si="48"/>
        <v>03/12/2025</v>
      </c>
      <c r="J128" t="str">
        <f t="shared" si="49"/>
        <v>01/12/2025</v>
      </c>
      <c r="K128">
        <v>45995</v>
      </c>
      <c r="N128">
        <v>303</v>
      </c>
      <c r="O128" t="s">
        <v>30</v>
      </c>
      <c r="Q128">
        <v>96</v>
      </c>
      <c r="R128" t="str">
        <f>"FRAN FARMA LJ 2 (10131)"</f>
        <v>FRAN FARMA LJ 2 (10131)</v>
      </c>
      <c r="S128" t="s">
        <v>31</v>
      </c>
      <c r="T128">
        <v>3755</v>
      </c>
      <c r="U128">
        <v>2843</v>
      </c>
      <c r="V128" t="s">
        <v>36</v>
      </c>
    </row>
    <row r="129" spans="1:22">
      <c r="A129" t="str">
        <f t="shared" si="37"/>
        <v>04/12/2025</v>
      </c>
      <c r="B129" t="str">
        <f t="shared" si="44"/>
        <v>ENTRADA</v>
      </c>
      <c r="C129" t="str">
        <f t="shared" si="45"/>
        <v>NFSE</v>
      </c>
      <c r="D129" t="str">
        <f>"3929"</f>
        <v>3929</v>
      </c>
      <c r="E129" t="str">
        <f t="shared" si="46"/>
        <v>1</v>
      </c>
      <c r="F129" t="str">
        <f t="shared" si="47"/>
        <v>COM</v>
      </c>
      <c r="G129" t="str">
        <f>"FRAN FARMA (10124)"</f>
        <v>FRAN FARMA (10124)</v>
      </c>
      <c r="H129" t="s">
        <v>58</v>
      </c>
      <c r="I129" t="str">
        <f t="shared" si="48"/>
        <v>03/12/2025</v>
      </c>
      <c r="J129" t="str">
        <f t="shared" si="49"/>
        <v>01/12/2025</v>
      </c>
      <c r="K129">
        <v>45995</v>
      </c>
      <c r="N129">
        <v>303</v>
      </c>
      <c r="O129" t="s">
        <v>30</v>
      </c>
      <c r="Q129">
        <v>64</v>
      </c>
      <c r="R129" t="str">
        <f>"FRAN FARMA LJ 3 (10132)"</f>
        <v>FRAN FARMA LJ 3 (10132)</v>
      </c>
      <c r="S129" t="s">
        <v>31</v>
      </c>
      <c r="T129">
        <v>3755</v>
      </c>
      <c r="U129">
        <v>2843</v>
      </c>
      <c r="V129" t="s">
        <v>36</v>
      </c>
    </row>
    <row r="130" spans="1:22">
      <c r="A130" t="str">
        <f t="shared" si="37"/>
        <v>04/12/2025</v>
      </c>
      <c r="B130" t="str">
        <f t="shared" si="44"/>
        <v>ENTRADA</v>
      </c>
      <c r="C130" t="str">
        <f t="shared" si="45"/>
        <v>NFSE</v>
      </c>
      <c r="D130" t="str">
        <f>"3930"</f>
        <v>3930</v>
      </c>
      <c r="E130" t="str">
        <f t="shared" si="46"/>
        <v>1</v>
      </c>
      <c r="F130" t="str">
        <f t="shared" si="47"/>
        <v>COM</v>
      </c>
      <c r="G130" t="str">
        <f>"ULTRA POPULAR  UBA 2 (10214)"</f>
        <v>ULTRA POPULAR  UBA 2 (10214)</v>
      </c>
      <c r="H130" t="str">
        <f>"Serv.Prest. 24/11/2025 a 30/11/2025 - RPS: 1692 - NFSe: 3930"</f>
        <v>Serv.Prest. 24/11/2025 a 30/11/2025 - RPS: 1692 - NFSe: 3930</v>
      </c>
      <c r="I130" t="str">
        <f t="shared" si="48"/>
        <v>03/12/2025</v>
      </c>
      <c r="J130" t="str">
        <f t="shared" si="49"/>
        <v>01/12/2025</v>
      </c>
      <c r="K130" t="str">
        <f>("04/12/2025")</f>
        <v>04/12/2025</v>
      </c>
      <c r="L130">
        <v>124.11</v>
      </c>
      <c r="M130">
        <v>124.11</v>
      </c>
      <c r="N130">
        <v>303</v>
      </c>
      <c r="O130" t="str">
        <f>"RECEITAS COM ENTREGAS"</f>
        <v>RECEITAS COM ENTREGAS</v>
      </c>
      <c r="P130">
        <v>124.11</v>
      </c>
      <c r="S130" t="str">
        <f>"RECEITAS COM ENTREGAS (303)"</f>
        <v>RECEITAS COM ENTREGAS (303)</v>
      </c>
      <c r="T130">
        <v>3756</v>
      </c>
      <c r="U130">
        <v>2844</v>
      </c>
      <c r="V130" t="s">
        <v>36</v>
      </c>
    </row>
    <row r="131" spans="1:22">
      <c r="A131" t="str">
        <f t="shared" si="37"/>
        <v>04/12/2025</v>
      </c>
      <c r="B131" t="str">
        <f t="shared" si="44"/>
        <v>ENTRADA</v>
      </c>
      <c r="C131" t="str">
        <f t="shared" si="45"/>
        <v>NFSE</v>
      </c>
      <c r="D131" t="str">
        <f>"3930"</f>
        <v>3930</v>
      </c>
      <c r="E131" t="str">
        <f t="shared" si="46"/>
        <v>1</v>
      </c>
      <c r="F131" t="str">
        <f t="shared" si="47"/>
        <v>COM</v>
      </c>
      <c r="G131" t="str">
        <f>"ULTRA POPULAR  UBA 2 (10214)"</f>
        <v>ULTRA POPULAR  UBA 2 (10214)</v>
      </c>
      <c r="H131" t="s">
        <v>59</v>
      </c>
      <c r="I131" t="str">
        <f t="shared" si="48"/>
        <v>03/12/2025</v>
      </c>
      <c r="J131" t="str">
        <f t="shared" si="49"/>
        <v>01/12/2025</v>
      </c>
      <c r="K131">
        <v>45995</v>
      </c>
      <c r="N131">
        <v>303</v>
      </c>
      <c r="O131" t="s">
        <v>30</v>
      </c>
      <c r="Q131">
        <v>94.68</v>
      </c>
      <c r="R131" t="str">
        <f>"ULTRA POPULAR  UBA 2 (10214)"</f>
        <v>ULTRA POPULAR  UBA 2 (10214)</v>
      </c>
      <c r="S131" t="s">
        <v>31</v>
      </c>
      <c r="T131">
        <v>3756</v>
      </c>
      <c r="U131">
        <v>2844</v>
      </c>
      <c r="V131" t="s">
        <v>36</v>
      </c>
    </row>
    <row r="132" spans="1:22">
      <c r="A132" t="str">
        <f t="shared" si="37"/>
        <v>04/12/2025</v>
      </c>
      <c r="B132" t="str">
        <f t="shared" si="44"/>
        <v>ENTRADA</v>
      </c>
      <c r="C132" t="str">
        <f t="shared" si="45"/>
        <v>NFSE</v>
      </c>
      <c r="D132" t="str">
        <f>"3930"</f>
        <v>3930</v>
      </c>
      <c r="E132" t="str">
        <f t="shared" si="46"/>
        <v>1</v>
      </c>
      <c r="F132" t="str">
        <f t="shared" si="47"/>
        <v>COM</v>
      </c>
      <c r="G132" t="str">
        <f>"ULTRA POPULAR  UBA 2 (10214)"</f>
        <v>ULTRA POPULAR  UBA 2 (10214)</v>
      </c>
      <c r="H132" t="s">
        <v>59</v>
      </c>
      <c r="I132" t="str">
        <f t="shared" si="48"/>
        <v>03/12/2025</v>
      </c>
      <c r="J132" t="str">
        <f t="shared" si="49"/>
        <v>01/12/2025</v>
      </c>
      <c r="K132">
        <v>45995</v>
      </c>
      <c r="N132">
        <v>303</v>
      </c>
      <c r="O132" t="s">
        <v>30</v>
      </c>
      <c r="Q132">
        <v>29.43</v>
      </c>
      <c r="R132" t="str">
        <f>"UBA 1 (10263)"</f>
        <v>UBA 1 (10263)</v>
      </c>
      <c r="S132" t="s">
        <v>31</v>
      </c>
      <c r="T132">
        <v>3756</v>
      </c>
      <c r="U132">
        <v>2844</v>
      </c>
      <c r="V132" t="s">
        <v>36</v>
      </c>
    </row>
    <row r="133" spans="1:22">
      <c r="A133" t="str">
        <f t="shared" si="37"/>
        <v>04/12/2025</v>
      </c>
      <c r="B133" t="str">
        <f t="shared" si="44"/>
        <v>ENTRADA</v>
      </c>
      <c r="C133" t="str">
        <f t="shared" si="45"/>
        <v>NFSE</v>
      </c>
      <c r="D133" t="str">
        <f>"3931"</f>
        <v>3931</v>
      </c>
      <c r="E133" t="str">
        <f t="shared" si="46"/>
        <v>1</v>
      </c>
      <c r="F133" t="str">
        <f t="shared" si="47"/>
        <v>COM</v>
      </c>
      <c r="G133" t="str">
        <f>"FARMACIA ECONOMIZE (10103)"</f>
        <v>FARMACIA ECONOMIZE (10103)</v>
      </c>
      <c r="H133" t="str">
        <f>"Serv.Prest. 24/11/2025 a 30/11/2025 - RPS: 1693 - NFSe: 3931"</f>
        <v>Serv.Prest. 24/11/2025 a 30/11/2025 - RPS: 1693 - NFSe: 3931</v>
      </c>
      <c r="I133" t="str">
        <f t="shared" si="48"/>
        <v>03/12/2025</v>
      </c>
      <c r="J133" t="str">
        <f t="shared" si="49"/>
        <v>01/12/2025</v>
      </c>
      <c r="K133" t="str">
        <f>("04/12/2025")</f>
        <v>04/12/2025</v>
      </c>
      <c r="L133">
        <v>23.84</v>
      </c>
      <c r="M133">
        <v>23.84</v>
      </c>
      <c r="N133">
        <v>303</v>
      </c>
      <c r="O133" t="str">
        <f>"RECEITAS COM ENTREGAS"</f>
        <v>RECEITAS COM ENTREGAS</v>
      </c>
      <c r="P133">
        <v>23.84</v>
      </c>
      <c r="S133" t="str">
        <f>"RECEITAS COM ENTREGAS (303)"</f>
        <v>RECEITAS COM ENTREGAS (303)</v>
      </c>
      <c r="T133">
        <v>3757</v>
      </c>
      <c r="U133">
        <v>2845</v>
      </c>
      <c r="V133" t="s">
        <v>36</v>
      </c>
    </row>
    <row r="134" spans="1:22">
      <c r="A134" t="str">
        <f t="shared" ref="A134:A165" si="50">("04/12/2025")</f>
        <v>04/12/2025</v>
      </c>
      <c r="B134" t="str">
        <f t="shared" si="44"/>
        <v>ENTRADA</v>
      </c>
      <c r="C134" t="str">
        <f t="shared" si="45"/>
        <v>NFSE</v>
      </c>
      <c r="D134" t="str">
        <f>"3931"</f>
        <v>3931</v>
      </c>
      <c r="E134" t="str">
        <f t="shared" si="46"/>
        <v>1</v>
      </c>
      <c r="F134" t="str">
        <f t="shared" si="47"/>
        <v>COM</v>
      </c>
      <c r="G134" t="str">
        <f>"FARMACIA ECONOMIZE (10103)"</f>
        <v>FARMACIA ECONOMIZE (10103)</v>
      </c>
      <c r="H134" t="s">
        <v>60</v>
      </c>
      <c r="I134" t="str">
        <f t="shared" si="48"/>
        <v>03/12/2025</v>
      </c>
      <c r="J134" t="str">
        <f t="shared" si="49"/>
        <v>01/12/2025</v>
      </c>
      <c r="K134">
        <v>45995</v>
      </c>
      <c r="N134">
        <v>303</v>
      </c>
      <c r="O134" t="s">
        <v>30</v>
      </c>
      <c r="Q134">
        <v>23.84</v>
      </c>
      <c r="R134" t="str">
        <f>"FARMACIA ECONOMIZE (10103)"</f>
        <v>FARMACIA ECONOMIZE (10103)</v>
      </c>
      <c r="S134" t="s">
        <v>31</v>
      </c>
      <c r="T134">
        <v>3757</v>
      </c>
      <c r="U134">
        <v>2845</v>
      </c>
      <c r="V134" t="s">
        <v>36</v>
      </c>
    </row>
    <row r="135" spans="1:22">
      <c r="A135" t="str">
        <f t="shared" si="50"/>
        <v>04/12/2025</v>
      </c>
      <c r="B135" t="str">
        <f t="shared" si="44"/>
        <v>ENTRADA</v>
      </c>
      <c r="C135" t="str">
        <f t="shared" si="45"/>
        <v>NFSE</v>
      </c>
      <c r="D135" t="str">
        <f>"3932"</f>
        <v>3932</v>
      </c>
      <c r="E135" t="str">
        <f t="shared" si="46"/>
        <v>1</v>
      </c>
      <c r="F135" t="str">
        <f t="shared" si="47"/>
        <v>COM</v>
      </c>
      <c r="G135" t="str">
        <f>"DROGA ELIDA (10121)"</f>
        <v>DROGA ELIDA (10121)</v>
      </c>
      <c r="H135" t="str">
        <f>"Serv.Prest. 24/11/2025 a 30/11/2025 - RPS: 1694 - NFSe: 3932"</f>
        <v>Serv.Prest. 24/11/2025 a 30/11/2025 - RPS: 1694 - NFSe: 3932</v>
      </c>
      <c r="I135" t="str">
        <f t="shared" si="48"/>
        <v>03/12/2025</v>
      </c>
      <c r="J135" t="str">
        <f t="shared" si="49"/>
        <v>01/12/2025</v>
      </c>
      <c r="K135" t="str">
        <f>("04/12/2025")</f>
        <v>04/12/2025</v>
      </c>
      <c r="L135">
        <v>328.5</v>
      </c>
      <c r="M135">
        <v>328.5</v>
      </c>
      <c r="N135">
        <v>303</v>
      </c>
      <c r="O135" t="str">
        <f>"RECEITAS COM ENTREGAS"</f>
        <v>RECEITAS COM ENTREGAS</v>
      </c>
      <c r="P135">
        <v>328.5</v>
      </c>
      <c r="S135" t="str">
        <f>"RECEITAS COM ENTREGAS (303)"</f>
        <v>RECEITAS COM ENTREGAS (303)</v>
      </c>
      <c r="T135">
        <v>3758</v>
      </c>
      <c r="U135">
        <v>2846</v>
      </c>
      <c r="V135" t="s">
        <v>36</v>
      </c>
    </row>
    <row r="136" spans="1:22">
      <c r="A136" t="str">
        <f t="shared" si="50"/>
        <v>04/12/2025</v>
      </c>
      <c r="B136" t="str">
        <f t="shared" si="44"/>
        <v>ENTRADA</v>
      </c>
      <c r="C136" t="str">
        <f t="shared" si="45"/>
        <v>NFSE</v>
      </c>
      <c r="D136" t="str">
        <f>"3932"</f>
        <v>3932</v>
      </c>
      <c r="E136" t="str">
        <f t="shared" si="46"/>
        <v>1</v>
      </c>
      <c r="F136" t="str">
        <f t="shared" si="47"/>
        <v>COM</v>
      </c>
      <c r="G136" t="str">
        <f>"DROGA ELIDA (10121)"</f>
        <v>DROGA ELIDA (10121)</v>
      </c>
      <c r="H136" t="s">
        <v>61</v>
      </c>
      <c r="I136" t="str">
        <f t="shared" si="48"/>
        <v>03/12/2025</v>
      </c>
      <c r="J136" t="str">
        <f t="shared" si="49"/>
        <v>01/12/2025</v>
      </c>
      <c r="K136">
        <v>45995</v>
      </c>
      <c r="N136">
        <v>303</v>
      </c>
      <c r="O136" t="s">
        <v>30</v>
      </c>
      <c r="Q136">
        <v>328.5</v>
      </c>
      <c r="R136" t="str">
        <f>"DROGA ELIDA (10121)"</f>
        <v>DROGA ELIDA (10121)</v>
      </c>
      <c r="S136" t="s">
        <v>31</v>
      </c>
      <c r="T136">
        <v>3758</v>
      </c>
      <c r="U136">
        <v>2846</v>
      </c>
      <c r="V136" t="s">
        <v>36</v>
      </c>
    </row>
    <row r="137" spans="1:22">
      <c r="A137" t="str">
        <f t="shared" si="50"/>
        <v>04/12/2025</v>
      </c>
      <c r="B137" t="str">
        <f t="shared" si="44"/>
        <v>ENTRADA</v>
      </c>
      <c r="C137" t="str">
        <f t="shared" si="45"/>
        <v>NFSE</v>
      </c>
      <c r="D137" t="str">
        <f>"3933"</f>
        <v>3933</v>
      </c>
      <c r="E137" t="str">
        <f t="shared" si="46"/>
        <v>1</v>
      </c>
      <c r="F137" t="str">
        <f t="shared" si="47"/>
        <v>COM</v>
      </c>
      <c r="G137" t="str">
        <f>"DROGARIA MEDIC CENTER LTDA (10172)"</f>
        <v>DROGARIA MEDIC CENTER LTDA (10172)</v>
      </c>
      <c r="H137" t="str">
        <f>"Serv.Prest. 24/11/2025 a 30/11/2025 - RPS: 1695 - NFSe: 3933"</f>
        <v>Serv.Prest. 24/11/2025 a 30/11/2025 - RPS: 1695 - NFSe: 3933</v>
      </c>
      <c r="I137" t="str">
        <f t="shared" si="48"/>
        <v>03/12/2025</v>
      </c>
      <c r="J137" t="str">
        <f t="shared" si="49"/>
        <v>01/12/2025</v>
      </c>
      <c r="K137" t="str">
        <f>("04/12/2025")</f>
        <v>04/12/2025</v>
      </c>
      <c r="L137">
        <v>99.9</v>
      </c>
      <c r="M137">
        <v>99.9</v>
      </c>
      <c r="N137">
        <v>303</v>
      </c>
      <c r="O137" t="str">
        <f>"RECEITAS COM ENTREGAS"</f>
        <v>RECEITAS COM ENTREGAS</v>
      </c>
      <c r="P137">
        <v>99.9</v>
      </c>
      <c r="S137" t="str">
        <f>"RECEITAS COM ENTREGAS (303)"</f>
        <v>RECEITAS COM ENTREGAS (303)</v>
      </c>
      <c r="T137">
        <v>3759</v>
      </c>
      <c r="U137">
        <v>2847</v>
      </c>
      <c r="V137" t="s">
        <v>36</v>
      </c>
    </row>
    <row r="138" spans="1:22">
      <c r="A138" t="str">
        <f t="shared" si="50"/>
        <v>04/12/2025</v>
      </c>
      <c r="B138" t="str">
        <f t="shared" si="44"/>
        <v>ENTRADA</v>
      </c>
      <c r="C138" t="str">
        <f t="shared" si="45"/>
        <v>NFSE</v>
      </c>
      <c r="D138" t="str">
        <f>"3933"</f>
        <v>3933</v>
      </c>
      <c r="E138" t="str">
        <f t="shared" si="46"/>
        <v>1</v>
      </c>
      <c r="F138" t="str">
        <f t="shared" si="47"/>
        <v>COM</v>
      </c>
      <c r="G138" t="str">
        <f>"DROGARIA MEDIC CENTER LTDA (10172)"</f>
        <v>DROGARIA MEDIC CENTER LTDA (10172)</v>
      </c>
      <c r="H138" t="s">
        <v>62</v>
      </c>
      <c r="I138" t="str">
        <f t="shared" si="48"/>
        <v>03/12/2025</v>
      </c>
      <c r="J138" t="str">
        <f t="shared" si="49"/>
        <v>01/12/2025</v>
      </c>
      <c r="K138">
        <v>45995</v>
      </c>
      <c r="N138">
        <v>303</v>
      </c>
      <c r="O138" t="s">
        <v>30</v>
      </c>
      <c r="Q138">
        <v>99.9</v>
      </c>
      <c r="R138" t="str">
        <f>"DROGARIA MEDIC CENTER LTDA (10172)"</f>
        <v>DROGARIA MEDIC CENTER LTDA (10172)</v>
      </c>
      <c r="S138" t="s">
        <v>31</v>
      </c>
      <c r="T138">
        <v>3759</v>
      </c>
      <c r="U138">
        <v>2847</v>
      </c>
      <c r="V138" t="s">
        <v>36</v>
      </c>
    </row>
    <row r="139" spans="1:22">
      <c r="A139" t="str">
        <f t="shared" si="50"/>
        <v>04/12/2025</v>
      </c>
      <c r="B139" t="str">
        <f t="shared" si="44"/>
        <v>ENTRADA</v>
      </c>
      <c r="C139" t="str">
        <f t="shared" si="45"/>
        <v>NFSE</v>
      </c>
      <c r="D139" t="str">
        <f>"3934"</f>
        <v>3934</v>
      </c>
      <c r="E139" t="str">
        <f t="shared" si="46"/>
        <v>1</v>
      </c>
      <c r="F139" t="str">
        <f t="shared" si="47"/>
        <v>COM</v>
      </c>
      <c r="G139" t="str">
        <f>"DROGARIA MORENO LTDA (10171)"</f>
        <v>DROGARIA MORENO LTDA (10171)</v>
      </c>
      <c r="H139" t="str">
        <f>"Serv.Prest. 24/11/2025 a 30/11/2025 - RPS: 1696 - NFSe: 3934"</f>
        <v>Serv.Prest. 24/11/2025 a 30/11/2025 - RPS: 1696 - NFSe: 3934</v>
      </c>
      <c r="I139" t="str">
        <f t="shared" si="48"/>
        <v>03/12/2025</v>
      </c>
      <c r="J139" t="str">
        <f t="shared" si="49"/>
        <v>01/12/2025</v>
      </c>
      <c r="K139" t="str">
        <f>("04/12/2025")</f>
        <v>04/12/2025</v>
      </c>
      <c r="L139">
        <v>433.8</v>
      </c>
      <c r="M139">
        <v>433.8</v>
      </c>
      <c r="N139">
        <v>303</v>
      </c>
      <c r="O139" t="str">
        <f>"RECEITAS COM ENTREGAS"</f>
        <v>RECEITAS COM ENTREGAS</v>
      </c>
      <c r="P139">
        <v>433.8</v>
      </c>
      <c r="S139" t="str">
        <f>"RECEITAS COM ENTREGAS (303)"</f>
        <v>RECEITAS COM ENTREGAS (303)</v>
      </c>
      <c r="T139">
        <v>3760</v>
      </c>
      <c r="U139">
        <v>2848</v>
      </c>
      <c r="V139" t="s">
        <v>36</v>
      </c>
    </row>
    <row r="140" spans="1:22">
      <c r="A140" t="str">
        <f t="shared" si="50"/>
        <v>04/12/2025</v>
      </c>
      <c r="B140" t="str">
        <f t="shared" si="44"/>
        <v>ENTRADA</v>
      </c>
      <c r="C140" t="str">
        <f t="shared" si="45"/>
        <v>NFSE</v>
      </c>
      <c r="D140" t="str">
        <f>"3934"</f>
        <v>3934</v>
      </c>
      <c r="E140" t="str">
        <f t="shared" si="46"/>
        <v>1</v>
      </c>
      <c r="F140" t="str">
        <f t="shared" si="47"/>
        <v>COM</v>
      </c>
      <c r="G140" t="str">
        <f>"DROGARIA MORENO LTDA (10171)"</f>
        <v>DROGARIA MORENO LTDA (10171)</v>
      </c>
      <c r="H140" t="s">
        <v>63</v>
      </c>
      <c r="I140" t="str">
        <f t="shared" si="48"/>
        <v>03/12/2025</v>
      </c>
      <c r="J140" t="str">
        <f t="shared" si="49"/>
        <v>01/12/2025</v>
      </c>
      <c r="K140">
        <v>45995</v>
      </c>
      <c r="N140">
        <v>303</v>
      </c>
      <c r="O140" t="s">
        <v>30</v>
      </c>
      <c r="Q140">
        <v>433.8</v>
      </c>
      <c r="R140" t="str">
        <f>"DROGARIA MORENO LTDA (10171)"</f>
        <v>DROGARIA MORENO LTDA (10171)</v>
      </c>
      <c r="S140" t="s">
        <v>31</v>
      </c>
      <c r="T140">
        <v>3760</v>
      </c>
      <c r="U140">
        <v>2848</v>
      </c>
      <c r="V140" t="s">
        <v>36</v>
      </c>
    </row>
    <row r="141" spans="1:22">
      <c r="A141" t="str">
        <f t="shared" si="50"/>
        <v>04/12/2025</v>
      </c>
      <c r="B141" t="str">
        <f t="shared" si="44"/>
        <v>ENTRADA</v>
      </c>
      <c r="C141" t="str">
        <f t="shared" si="45"/>
        <v>NFSE</v>
      </c>
      <c r="D141" t="str">
        <f>"3935"</f>
        <v>3935</v>
      </c>
      <c r="E141" t="str">
        <f t="shared" si="46"/>
        <v>1</v>
      </c>
      <c r="F141" t="str">
        <f t="shared" si="47"/>
        <v>COM</v>
      </c>
      <c r="G141" t="str">
        <f>"DROGARIA TOTAL JUNDIAI (10177)"</f>
        <v>DROGARIA TOTAL JUNDIAI (10177)</v>
      </c>
      <c r="H141" t="str">
        <f>"Serv.Prest. 24/11/2025 a 30/11/2025 - RPS: 1697 - NFSe: 3935"</f>
        <v>Serv.Prest. 24/11/2025 a 30/11/2025 - RPS: 1697 - NFSe: 3935</v>
      </c>
      <c r="I141" t="str">
        <f t="shared" si="48"/>
        <v>03/12/2025</v>
      </c>
      <c r="J141" t="str">
        <f t="shared" si="49"/>
        <v>01/12/2025</v>
      </c>
      <c r="K141" t="str">
        <f>("04/12/2025")</f>
        <v>04/12/2025</v>
      </c>
      <c r="L141">
        <v>100.27</v>
      </c>
      <c r="M141">
        <v>100.27</v>
      </c>
      <c r="N141">
        <v>303</v>
      </c>
      <c r="O141" t="str">
        <f>"RECEITAS COM ENTREGAS"</f>
        <v>RECEITAS COM ENTREGAS</v>
      </c>
      <c r="P141">
        <v>100.27</v>
      </c>
      <c r="S141" t="str">
        <f>"RECEITAS COM ENTREGAS (303)"</f>
        <v>RECEITAS COM ENTREGAS (303)</v>
      </c>
      <c r="T141">
        <v>3761</v>
      </c>
      <c r="U141">
        <v>2849</v>
      </c>
      <c r="V141" t="s">
        <v>36</v>
      </c>
    </row>
    <row r="142" spans="1:22">
      <c r="A142" t="str">
        <f t="shared" si="50"/>
        <v>04/12/2025</v>
      </c>
      <c r="B142" t="str">
        <f t="shared" si="44"/>
        <v>ENTRADA</v>
      </c>
      <c r="C142" t="str">
        <f t="shared" si="45"/>
        <v>NFSE</v>
      </c>
      <c r="D142" t="str">
        <f>"3935"</f>
        <v>3935</v>
      </c>
      <c r="E142" t="str">
        <f t="shared" si="46"/>
        <v>1</v>
      </c>
      <c r="F142" t="str">
        <f t="shared" si="47"/>
        <v>COM</v>
      </c>
      <c r="G142" t="str">
        <f>"DROGARIA TOTAL JUNDIAI (10177)"</f>
        <v>DROGARIA TOTAL JUNDIAI (10177)</v>
      </c>
      <c r="H142" t="s">
        <v>64</v>
      </c>
      <c r="I142" t="str">
        <f t="shared" si="48"/>
        <v>03/12/2025</v>
      </c>
      <c r="J142" t="str">
        <f t="shared" si="49"/>
        <v>01/12/2025</v>
      </c>
      <c r="K142">
        <v>45995</v>
      </c>
      <c r="N142">
        <v>303</v>
      </c>
      <c r="O142" t="s">
        <v>30</v>
      </c>
      <c r="Q142">
        <v>100.27</v>
      </c>
      <c r="R142" t="str">
        <f>"DROGARIA TOTAL JUNDIAI (10177)"</f>
        <v>DROGARIA TOTAL JUNDIAI (10177)</v>
      </c>
      <c r="S142" t="s">
        <v>31</v>
      </c>
      <c r="T142">
        <v>3761</v>
      </c>
      <c r="U142">
        <v>2849</v>
      </c>
      <c r="V142" t="s">
        <v>36</v>
      </c>
    </row>
    <row r="143" spans="1:22">
      <c r="A143" t="str">
        <f t="shared" si="50"/>
        <v>04/12/2025</v>
      </c>
      <c r="B143" t="str">
        <f t="shared" si="44"/>
        <v>ENTRADA</v>
      </c>
      <c r="C143" t="str">
        <f t="shared" si="45"/>
        <v>NFSE</v>
      </c>
      <c r="D143" t="str">
        <f>"3936"</f>
        <v>3936</v>
      </c>
      <c r="E143" t="str">
        <f t="shared" si="46"/>
        <v>1</v>
      </c>
      <c r="F143" t="str">
        <f t="shared" si="47"/>
        <v>COM</v>
      </c>
      <c r="G143" t="str">
        <f>"LBL FARMACIA LTDA (10189)"</f>
        <v>LBL FARMACIA LTDA (10189)</v>
      </c>
      <c r="H143" t="str">
        <f>"Serv.Prest. 24/11/2025 a 30/11/2025 - RPS: 1698 - NFSe: 3936"</f>
        <v>Serv.Prest. 24/11/2025 a 30/11/2025 - RPS: 1698 - NFSe: 3936</v>
      </c>
      <c r="I143" t="str">
        <f t="shared" si="48"/>
        <v>03/12/2025</v>
      </c>
      <c r="J143" t="str">
        <f t="shared" si="49"/>
        <v>01/12/2025</v>
      </c>
      <c r="K143" t="str">
        <f>("04/12/2025")</f>
        <v>04/12/2025</v>
      </c>
      <c r="L143">
        <v>194.25</v>
      </c>
      <c r="M143">
        <v>194.25</v>
      </c>
      <c r="N143">
        <v>303</v>
      </c>
      <c r="O143" t="str">
        <f>"RECEITAS COM ENTREGAS"</f>
        <v>RECEITAS COM ENTREGAS</v>
      </c>
      <c r="P143">
        <v>194.25</v>
      </c>
      <c r="S143" t="str">
        <f>"RECEITAS COM ENTREGAS (303)"</f>
        <v>RECEITAS COM ENTREGAS (303)</v>
      </c>
      <c r="T143">
        <v>3762</v>
      </c>
      <c r="U143">
        <v>2850</v>
      </c>
      <c r="V143" t="s">
        <v>36</v>
      </c>
    </row>
    <row r="144" spans="1:22">
      <c r="A144" t="str">
        <f t="shared" si="50"/>
        <v>04/12/2025</v>
      </c>
      <c r="B144" t="str">
        <f t="shared" si="44"/>
        <v>ENTRADA</v>
      </c>
      <c r="C144" t="str">
        <f t="shared" si="45"/>
        <v>NFSE</v>
      </c>
      <c r="D144" t="str">
        <f>"3936"</f>
        <v>3936</v>
      </c>
      <c r="E144" t="str">
        <f t="shared" si="46"/>
        <v>1</v>
      </c>
      <c r="F144" t="str">
        <f t="shared" si="47"/>
        <v>COM</v>
      </c>
      <c r="G144" t="str">
        <f>"LBL FARMACIA LTDA (10189)"</f>
        <v>LBL FARMACIA LTDA (10189)</v>
      </c>
      <c r="H144" t="s">
        <v>65</v>
      </c>
      <c r="I144" t="str">
        <f t="shared" si="48"/>
        <v>03/12/2025</v>
      </c>
      <c r="J144" t="str">
        <f t="shared" si="49"/>
        <v>01/12/2025</v>
      </c>
      <c r="K144">
        <v>45995</v>
      </c>
      <c r="N144">
        <v>303</v>
      </c>
      <c r="O144" t="s">
        <v>30</v>
      </c>
      <c r="Q144">
        <v>194.25</v>
      </c>
      <c r="R144" t="str">
        <f>"LBL FARMACIA LTDA (10189)"</f>
        <v>LBL FARMACIA LTDA (10189)</v>
      </c>
      <c r="S144" t="s">
        <v>31</v>
      </c>
      <c r="T144">
        <v>3762</v>
      </c>
      <c r="U144">
        <v>2850</v>
      </c>
      <c r="V144" t="s">
        <v>36</v>
      </c>
    </row>
    <row r="145" spans="1:22">
      <c r="A145" t="str">
        <f t="shared" si="50"/>
        <v>04/12/2025</v>
      </c>
      <c r="B145" t="str">
        <f t="shared" si="44"/>
        <v>ENTRADA</v>
      </c>
      <c r="C145" t="str">
        <f t="shared" si="45"/>
        <v>NFSE</v>
      </c>
      <c r="D145" t="str">
        <f>"3937"</f>
        <v>3937</v>
      </c>
      <c r="E145" t="str">
        <f t="shared" si="46"/>
        <v>1</v>
      </c>
      <c r="F145" t="str">
        <f t="shared" si="47"/>
        <v>COM</v>
      </c>
      <c r="G145" t="str">
        <f>"LBL FARMACIA LTDA FILIAL (10192)"</f>
        <v>LBL FARMACIA LTDA FILIAL (10192)</v>
      </c>
      <c r="H145" t="str">
        <f>"Serv.Prest. 24/11/2025 a 30/11/2025 - RPS: 1699 - NFSe: 3937"</f>
        <v>Serv.Prest. 24/11/2025 a 30/11/2025 - RPS: 1699 - NFSe: 3937</v>
      </c>
      <c r="I145" t="str">
        <f t="shared" si="48"/>
        <v>03/12/2025</v>
      </c>
      <c r="J145" t="str">
        <f t="shared" si="49"/>
        <v>01/12/2025</v>
      </c>
      <c r="K145" t="str">
        <f>("04/12/2025")</f>
        <v>04/12/2025</v>
      </c>
      <c r="L145">
        <v>263.55</v>
      </c>
      <c r="M145">
        <v>263.55</v>
      </c>
      <c r="N145">
        <v>303</v>
      </c>
      <c r="O145" t="str">
        <f>"RECEITAS COM ENTREGAS"</f>
        <v>RECEITAS COM ENTREGAS</v>
      </c>
      <c r="P145">
        <v>263.55</v>
      </c>
      <c r="S145" t="str">
        <f>"RECEITAS COM ENTREGAS (303)"</f>
        <v>RECEITAS COM ENTREGAS (303)</v>
      </c>
      <c r="T145">
        <v>3763</v>
      </c>
      <c r="U145">
        <v>2851</v>
      </c>
      <c r="V145" t="s">
        <v>36</v>
      </c>
    </row>
    <row r="146" spans="1:22">
      <c r="A146" t="str">
        <f t="shared" si="50"/>
        <v>04/12/2025</v>
      </c>
      <c r="B146" t="str">
        <f t="shared" si="44"/>
        <v>ENTRADA</v>
      </c>
      <c r="C146" t="str">
        <f t="shared" si="45"/>
        <v>NFSE</v>
      </c>
      <c r="D146" t="str">
        <f>"3937"</f>
        <v>3937</v>
      </c>
      <c r="E146" t="str">
        <f t="shared" si="46"/>
        <v>1</v>
      </c>
      <c r="F146" t="str">
        <f t="shared" si="47"/>
        <v>COM</v>
      </c>
      <c r="G146" t="str">
        <f>"LBL FARMACIA LTDA FILIAL (10192)"</f>
        <v>LBL FARMACIA LTDA FILIAL (10192)</v>
      </c>
      <c r="H146" t="s">
        <v>66</v>
      </c>
      <c r="I146" t="str">
        <f t="shared" si="48"/>
        <v>03/12/2025</v>
      </c>
      <c r="J146" t="str">
        <f t="shared" si="49"/>
        <v>01/12/2025</v>
      </c>
      <c r="K146">
        <v>45995</v>
      </c>
      <c r="N146">
        <v>303</v>
      </c>
      <c r="O146" t="s">
        <v>30</v>
      </c>
      <c r="Q146">
        <v>263.55</v>
      </c>
      <c r="R146" t="str">
        <f>"LBL FARMACIA LTDA FILIAL (10192)"</f>
        <v>LBL FARMACIA LTDA FILIAL (10192)</v>
      </c>
      <c r="S146" t="s">
        <v>31</v>
      </c>
      <c r="T146">
        <v>3763</v>
      </c>
      <c r="U146">
        <v>2851</v>
      </c>
      <c r="V146" t="s">
        <v>36</v>
      </c>
    </row>
    <row r="147" spans="1:22">
      <c r="A147" t="str">
        <f t="shared" si="50"/>
        <v>04/12/2025</v>
      </c>
      <c r="B147" t="str">
        <f t="shared" si="44"/>
        <v>ENTRADA</v>
      </c>
      <c r="C147" t="str">
        <f t="shared" si="45"/>
        <v>NFSE</v>
      </c>
      <c r="D147" t="str">
        <f t="shared" ref="D147:D152" si="51">"3938"</f>
        <v>3938</v>
      </c>
      <c r="E147" t="str">
        <f t="shared" si="46"/>
        <v>1</v>
      </c>
      <c r="F147" t="str">
        <f t="shared" si="47"/>
        <v>COM</v>
      </c>
      <c r="G147" t="str">
        <f t="shared" ref="G147:G152" si="52">"DROGALIDER 25 (10246)"</f>
        <v>DROGALIDER 25 (10246)</v>
      </c>
      <c r="H147" t="str">
        <f>"Serv.Prest. 24/11/2025 a 30/11/2025 - RPS: 1700 - NFSe: 3938"</f>
        <v>Serv.Prest. 24/11/2025 a 30/11/2025 - RPS: 1700 - NFSe: 3938</v>
      </c>
      <c r="I147" t="str">
        <f t="shared" si="48"/>
        <v>03/12/2025</v>
      </c>
      <c r="J147" t="str">
        <f t="shared" si="49"/>
        <v>01/12/2025</v>
      </c>
      <c r="K147" t="str">
        <f>("04/12/2025")</f>
        <v>04/12/2025</v>
      </c>
      <c r="L147">
        <v>546</v>
      </c>
      <c r="M147">
        <v>546</v>
      </c>
      <c r="N147">
        <v>303</v>
      </c>
      <c r="O147" t="str">
        <f>"RECEITAS COM ENTREGAS"</f>
        <v>RECEITAS COM ENTREGAS</v>
      </c>
      <c r="P147">
        <v>546</v>
      </c>
      <c r="S147" t="str">
        <f>"RECEITAS COM ENTREGAS (303)"</f>
        <v>RECEITAS COM ENTREGAS (303)</v>
      </c>
      <c r="T147">
        <v>3764</v>
      </c>
      <c r="U147">
        <v>2852</v>
      </c>
      <c r="V147" t="s">
        <v>36</v>
      </c>
    </row>
    <row r="148" spans="1:22">
      <c r="A148" t="str">
        <f t="shared" si="50"/>
        <v>04/12/2025</v>
      </c>
      <c r="B148" t="str">
        <f t="shared" si="44"/>
        <v>ENTRADA</v>
      </c>
      <c r="C148" t="str">
        <f t="shared" si="45"/>
        <v>NFSE</v>
      </c>
      <c r="D148" t="str">
        <f t="shared" si="51"/>
        <v>3938</v>
      </c>
      <c r="E148" t="str">
        <f t="shared" si="46"/>
        <v>1</v>
      </c>
      <c r="F148" t="str">
        <f t="shared" si="47"/>
        <v>COM</v>
      </c>
      <c r="G148" t="str">
        <f t="shared" si="52"/>
        <v>DROGALIDER 25 (10246)</v>
      </c>
      <c r="H148" t="s">
        <v>67</v>
      </c>
      <c r="I148" t="str">
        <f t="shared" si="48"/>
        <v>03/12/2025</v>
      </c>
      <c r="J148" t="str">
        <f t="shared" si="49"/>
        <v>01/12/2025</v>
      </c>
      <c r="K148">
        <v>45995</v>
      </c>
      <c r="N148">
        <v>303</v>
      </c>
      <c r="O148" t="s">
        <v>30</v>
      </c>
      <c r="Q148">
        <v>83.98</v>
      </c>
      <c r="R148" t="str">
        <f>"DROGALIDER 58 (10213)"</f>
        <v>DROGALIDER 58 (10213)</v>
      </c>
      <c r="S148" t="s">
        <v>31</v>
      </c>
      <c r="T148">
        <v>3764</v>
      </c>
      <c r="U148">
        <v>2852</v>
      </c>
      <c r="V148" t="s">
        <v>36</v>
      </c>
    </row>
    <row r="149" spans="1:22">
      <c r="A149" t="str">
        <f t="shared" si="50"/>
        <v>04/12/2025</v>
      </c>
      <c r="B149" t="str">
        <f t="shared" si="44"/>
        <v>ENTRADA</v>
      </c>
      <c r="C149" t="str">
        <f t="shared" si="45"/>
        <v>NFSE</v>
      </c>
      <c r="D149" t="str">
        <f t="shared" si="51"/>
        <v>3938</v>
      </c>
      <c r="E149" t="str">
        <f t="shared" si="46"/>
        <v>1</v>
      </c>
      <c r="F149" t="str">
        <f t="shared" si="47"/>
        <v>COM</v>
      </c>
      <c r="G149" t="str">
        <f t="shared" si="52"/>
        <v>DROGALIDER 25 (10246)</v>
      </c>
      <c r="H149" t="s">
        <v>67</v>
      </c>
      <c r="I149" t="str">
        <f t="shared" si="48"/>
        <v>03/12/2025</v>
      </c>
      <c r="J149" t="str">
        <f t="shared" si="49"/>
        <v>01/12/2025</v>
      </c>
      <c r="K149">
        <v>45995</v>
      </c>
      <c r="N149">
        <v>303</v>
      </c>
      <c r="O149" t="s">
        <v>30</v>
      </c>
      <c r="Q149">
        <v>174.01</v>
      </c>
      <c r="R149" t="str">
        <f>"DROGALIDER 25 (10246)"</f>
        <v>DROGALIDER 25 (10246)</v>
      </c>
      <c r="S149" t="s">
        <v>31</v>
      </c>
      <c r="T149">
        <v>3764</v>
      </c>
      <c r="U149">
        <v>2852</v>
      </c>
      <c r="V149" t="s">
        <v>36</v>
      </c>
    </row>
    <row r="150" spans="1:22">
      <c r="A150" t="str">
        <f t="shared" si="50"/>
        <v>04/12/2025</v>
      </c>
      <c r="B150" t="str">
        <f t="shared" si="44"/>
        <v>ENTRADA</v>
      </c>
      <c r="C150" t="str">
        <f t="shared" si="45"/>
        <v>NFSE</v>
      </c>
      <c r="D150" t="str">
        <f t="shared" si="51"/>
        <v>3938</v>
      </c>
      <c r="E150" t="str">
        <f t="shared" si="46"/>
        <v>1</v>
      </c>
      <c r="F150" t="str">
        <f t="shared" si="47"/>
        <v>COM</v>
      </c>
      <c r="G150" t="str">
        <f t="shared" si="52"/>
        <v>DROGALIDER 25 (10246)</v>
      </c>
      <c r="H150" t="s">
        <v>67</v>
      </c>
      <c r="I150" t="str">
        <f t="shared" si="48"/>
        <v>03/12/2025</v>
      </c>
      <c r="J150" t="str">
        <f t="shared" si="49"/>
        <v>01/12/2025</v>
      </c>
      <c r="K150">
        <v>45995</v>
      </c>
      <c r="N150">
        <v>303</v>
      </c>
      <c r="O150" t="s">
        <v>30</v>
      </c>
      <c r="Q150">
        <v>136.99</v>
      </c>
      <c r="R150" t="str">
        <f>"DROGALIDER 46 (10248)"</f>
        <v>DROGALIDER 46 (10248)</v>
      </c>
      <c r="S150" t="s">
        <v>31</v>
      </c>
      <c r="T150">
        <v>3764</v>
      </c>
      <c r="U150">
        <v>2852</v>
      </c>
      <c r="V150" t="s">
        <v>36</v>
      </c>
    </row>
    <row r="151" spans="1:22">
      <c r="A151" t="str">
        <f t="shared" si="50"/>
        <v>04/12/2025</v>
      </c>
      <c r="B151" t="str">
        <f t="shared" ref="B151:B182" si="53">"ENTRADA"</f>
        <v>ENTRADA</v>
      </c>
      <c r="C151" t="str">
        <f t="shared" ref="C151:C182" si="54">"NFSE"</f>
        <v>NFSE</v>
      </c>
      <c r="D151" t="str">
        <f t="shared" si="51"/>
        <v>3938</v>
      </c>
      <c r="E151" t="str">
        <f t="shared" ref="E151:E182" si="55">"1"</f>
        <v>1</v>
      </c>
      <c r="F151" t="str">
        <f t="shared" ref="F151:F182" si="56">"COM"</f>
        <v>COM</v>
      </c>
      <c r="G151" t="str">
        <f t="shared" si="52"/>
        <v>DROGALIDER 25 (10246)</v>
      </c>
      <c r="H151" t="s">
        <v>67</v>
      </c>
      <c r="I151" t="str">
        <f t="shared" ref="I151:I182" si="57">("03/12/2025")</f>
        <v>03/12/2025</v>
      </c>
      <c r="J151" t="str">
        <f t="shared" ref="J151:J182" si="58">("01/12/2025")</f>
        <v>01/12/2025</v>
      </c>
      <c r="K151">
        <v>45995</v>
      </c>
      <c r="N151">
        <v>303</v>
      </c>
      <c r="O151" t="s">
        <v>30</v>
      </c>
      <c r="Q151">
        <v>75.02</v>
      </c>
      <c r="R151" t="str">
        <f>"DROGALIDER 64 (10250)"</f>
        <v>DROGALIDER 64 (10250)</v>
      </c>
      <c r="S151" t="s">
        <v>31</v>
      </c>
      <c r="T151">
        <v>3764</v>
      </c>
      <c r="U151">
        <v>2852</v>
      </c>
      <c r="V151" t="s">
        <v>36</v>
      </c>
    </row>
    <row r="152" spans="1:22">
      <c r="A152" t="str">
        <f t="shared" si="50"/>
        <v>04/12/2025</v>
      </c>
      <c r="B152" t="str">
        <f t="shared" si="53"/>
        <v>ENTRADA</v>
      </c>
      <c r="C152" t="str">
        <f t="shared" si="54"/>
        <v>NFSE</v>
      </c>
      <c r="D152" t="str">
        <f t="shared" si="51"/>
        <v>3938</v>
      </c>
      <c r="E152" t="str">
        <f t="shared" si="55"/>
        <v>1</v>
      </c>
      <c r="F152" t="str">
        <f t="shared" si="56"/>
        <v>COM</v>
      </c>
      <c r="G152" t="str">
        <f t="shared" si="52"/>
        <v>DROGALIDER 25 (10246)</v>
      </c>
      <c r="H152" t="s">
        <v>67</v>
      </c>
      <c r="I152" t="str">
        <f t="shared" si="57"/>
        <v>03/12/2025</v>
      </c>
      <c r="J152" t="str">
        <f t="shared" si="58"/>
        <v>01/12/2025</v>
      </c>
      <c r="K152">
        <v>45995</v>
      </c>
      <c r="N152">
        <v>303</v>
      </c>
      <c r="O152" t="s">
        <v>30</v>
      </c>
      <c r="Q152">
        <v>76</v>
      </c>
      <c r="R152" t="str">
        <f>"DROGALIDER 66 (10251)"</f>
        <v>DROGALIDER 66 (10251)</v>
      </c>
      <c r="S152" t="s">
        <v>31</v>
      </c>
      <c r="T152">
        <v>3764</v>
      </c>
      <c r="U152">
        <v>2852</v>
      </c>
      <c r="V152" t="s">
        <v>36</v>
      </c>
    </row>
    <row r="153" spans="1:22">
      <c r="A153" t="str">
        <f t="shared" si="50"/>
        <v>04/12/2025</v>
      </c>
      <c r="B153" t="str">
        <f t="shared" si="53"/>
        <v>ENTRADA</v>
      </c>
      <c r="C153" t="str">
        <f t="shared" si="54"/>
        <v>NFSE</v>
      </c>
      <c r="D153" t="str">
        <f t="shared" ref="D153:D158" si="59">"3939"</f>
        <v>3939</v>
      </c>
      <c r="E153" t="str">
        <f t="shared" si="55"/>
        <v>1</v>
      </c>
      <c r="F153" t="str">
        <f t="shared" si="56"/>
        <v>COM</v>
      </c>
      <c r="G153" t="str">
        <f t="shared" ref="G153:G158" si="60">"DROGALIDER 31 (10256)"</f>
        <v>DROGALIDER 31 (10256)</v>
      </c>
      <c r="H153" t="str">
        <f>"Serv.Prest. 24/11/2025 a 30/11/2025 - RPS: 1701 - NFSe: 3939"</f>
        <v>Serv.Prest. 24/11/2025 a 30/11/2025 - RPS: 1701 - NFSe: 3939</v>
      </c>
      <c r="I153" t="str">
        <f t="shared" si="57"/>
        <v>03/12/2025</v>
      </c>
      <c r="J153" t="str">
        <f t="shared" si="58"/>
        <v>01/12/2025</v>
      </c>
      <c r="K153" t="str">
        <f>("04/12/2025")</f>
        <v>04/12/2025</v>
      </c>
      <c r="L153">
        <v>600</v>
      </c>
      <c r="M153">
        <v>600</v>
      </c>
      <c r="N153">
        <v>303</v>
      </c>
      <c r="O153" t="str">
        <f>"RECEITAS COM ENTREGAS"</f>
        <v>RECEITAS COM ENTREGAS</v>
      </c>
      <c r="P153">
        <v>600</v>
      </c>
      <c r="S153" t="str">
        <f>"RECEITAS COM ENTREGAS (303)"</f>
        <v>RECEITAS COM ENTREGAS (303)</v>
      </c>
      <c r="T153">
        <v>3765</v>
      </c>
      <c r="U153">
        <v>2853</v>
      </c>
      <c r="V153" t="s">
        <v>36</v>
      </c>
    </row>
    <row r="154" spans="1:22">
      <c r="A154" t="str">
        <f t="shared" si="50"/>
        <v>04/12/2025</v>
      </c>
      <c r="B154" t="str">
        <f t="shared" si="53"/>
        <v>ENTRADA</v>
      </c>
      <c r="C154" t="str">
        <f t="shared" si="54"/>
        <v>NFSE</v>
      </c>
      <c r="D154" t="str">
        <f t="shared" si="59"/>
        <v>3939</v>
      </c>
      <c r="E154" t="str">
        <f t="shared" si="55"/>
        <v>1</v>
      </c>
      <c r="F154" t="str">
        <f t="shared" si="56"/>
        <v>COM</v>
      </c>
      <c r="G154" t="str">
        <f t="shared" si="60"/>
        <v>DROGALIDER 31 (10256)</v>
      </c>
      <c r="H154" t="s">
        <v>68</v>
      </c>
      <c r="I154" t="str">
        <f t="shared" si="57"/>
        <v>03/12/2025</v>
      </c>
      <c r="J154" t="str">
        <f t="shared" si="58"/>
        <v>01/12/2025</v>
      </c>
      <c r="K154">
        <v>45995</v>
      </c>
      <c r="N154">
        <v>303</v>
      </c>
      <c r="O154" t="s">
        <v>30</v>
      </c>
      <c r="Q154">
        <v>108.78</v>
      </c>
      <c r="R154" t="str">
        <f>"DROGALIDER 42 (10247)"</f>
        <v>DROGALIDER 42 (10247)</v>
      </c>
      <c r="S154" t="s">
        <v>31</v>
      </c>
      <c r="T154">
        <v>3765</v>
      </c>
      <c r="U154">
        <v>2853</v>
      </c>
      <c r="V154" t="s">
        <v>36</v>
      </c>
    </row>
    <row r="155" spans="1:22">
      <c r="A155" t="str">
        <f t="shared" si="50"/>
        <v>04/12/2025</v>
      </c>
      <c r="B155" t="str">
        <f t="shared" si="53"/>
        <v>ENTRADA</v>
      </c>
      <c r="C155" t="str">
        <f t="shared" si="54"/>
        <v>NFSE</v>
      </c>
      <c r="D155" t="str">
        <f t="shared" si="59"/>
        <v>3939</v>
      </c>
      <c r="E155" t="str">
        <f t="shared" si="55"/>
        <v>1</v>
      </c>
      <c r="F155" t="str">
        <f t="shared" si="56"/>
        <v>COM</v>
      </c>
      <c r="G155" t="str">
        <f t="shared" si="60"/>
        <v>DROGALIDER 31 (10256)</v>
      </c>
      <c r="H155" t="s">
        <v>68</v>
      </c>
      <c r="I155" t="str">
        <f t="shared" si="57"/>
        <v>03/12/2025</v>
      </c>
      <c r="J155" t="str">
        <f t="shared" si="58"/>
        <v>01/12/2025</v>
      </c>
      <c r="K155">
        <v>45995</v>
      </c>
      <c r="N155">
        <v>303</v>
      </c>
      <c r="O155" t="s">
        <v>30</v>
      </c>
      <c r="Q155">
        <v>108.78</v>
      </c>
      <c r="R155" t="str">
        <f>"DROGALIDER 55 (10249)"</f>
        <v>DROGALIDER 55 (10249)</v>
      </c>
      <c r="S155" t="s">
        <v>31</v>
      </c>
      <c r="T155">
        <v>3765</v>
      </c>
      <c r="U155">
        <v>2853</v>
      </c>
      <c r="V155" t="s">
        <v>36</v>
      </c>
    </row>
    <row r="156" spans="1:22">
      <c r="A156" t="str">
        <f t="shared" si="50"/>
        <v>04/12/2025</v>
      </c>
      <c r="B156" t="str">
        <f t="shared" si="53"/>
        <v>ENTRADA</v>
      </c>
      <c r="C156" t="str">
        <f t="shared" si="54"/>
        <v>NFSE</v>
      </c>
      <c r="D156" t="str">
        <f t="shared" si="59"/>
        <v>3939</v>
      </c>
      <c r="E156" t="str">
        <f t="shared" si="55"/>
        <v>1</v>
      </c>
      <c r="F156" t="str">
        <f t="shared" si="56"/>
        <v>COM</v>
      </c>
      <c r="G156" t="str">
        <f t="shared" si="60"/>
        <v>DROGALIDER 31 (10256)</v>
      </c>
      <c r="H156" t="s">
        <v>68</v>
      </c>
      <c r="I156" t="str">
        <f t="shared" si="57"/>
        <v>03/12/2025</v>
      </c>
      <c r="J156" t="str">
        <f t="shared" si="58"/>
        <v>01/12/2025</v>
      </c>
      <c r="K156">
        <v>45995</v>
      </c>
      <c r="N156">
        <v>303</v>
      </c>
      <c r="O156" t="s">
        <v>30</v>
      </c>
      <c r="Q156">
        <v>108.78</v>
      </c>
      <c r="R156" t="str">
        <f>"DROGALIDER 67 (10252)"</f>
        <v>DROGALIDER 67 (10252)</v>
      </c>
      <c r="S156" t="s">
        <v>31</v>
      </c>
      <c r="T156">
        <v>3765</v>
      </c>
      <c r="U156">
        <v>2853</v>
      </c>
      <c r="V156" t="s">
        <v>36</v>
      </c>
    </row>
    <row r="157" spans="1:22">
      <c r="A157" t="str">
        <f t="shared" si="50"/>
        <v>04/12/2025</v>
      </c>
      <c r="B157" t="str">
        <f t="shared" si="53"/>
        <v>ENTRADA</v>
      </c>
      <c r="C157" t="str">
        <f t="shared" si="54"/>
        <v>NFSE</v>
      </c>
      <c r="D157" t="str">
        <f t="shared" si="59"/>
        <v>3939</v>
      </c>
      <c r="E157" t="str">
        <f t="shared" si="55"/>
        <v>1</v>
      </c>
      <c r="F157" t="str">
        <f t="shared" si="56"/>
        <v>COM</v>
      </c>
      <c r="G157" t="str">
        <f t="shared" si="60"/>
        <v>DROGALIDER 31 (10256)</v>
      </c>
      <c r="H157" t="s">
        <v>68</v>
      </c>
      <c r="I157" t="str">
        <f t="shared" si="57"/>
        <v>03/12/2025</v>
      </c>
      <c r="J157" t="str">
        <f t="shared" si="58"/>
        <v>01/12/2025</v>
      </c>
      <c r="K157">
        <v>45995</v>
      </c>
      <c r="N157">
        <v>303</v>
      </c>
      <c r="O157" t="s">
        <v>30</v>
      </c>
      <c r="Q157">
        <v>111</v>
      </c>
      <c r="R157" t="str">
        <f>"DROGALIDER 68 (10253)"</f>
        <v>DROGALIDER 68 (10253)</v>
      </c>
      <c r="S157" t="s">
        <v>31</v>
      </c>
      <c r="T157">
        <v>3765</v>
      </c>
      <c r="U157">
        <v>2853</v>
      </c>
      <c r="V157" t="s">
        <v>36</v>
      </c>
    </row>
    <row r="158" spans="1:22">
      <c r="A158" t="str">
        <f t="shared" si="50"/>
        <v>04/12/2025</v>
      </c>
      <c r="B158" t="str">
        <f t="shared" si="53"/>
        <v>ENTRADA</v>
      </c>
      <c r="C158" t="str">
        <f t="shared" si="54"/>
        <v>NFSE</v>
      </c>
      <c r="D158" t="str">
        <f t="shared" si="59"/>
        <v>3939</v>
      </c>
      <c r="E158" t="str">
        <f t="shared" si="55"/>
        <v>1</v>
      </c>
      <c r="F158" t="str">
        <f t="shared" si="56"/>
        <v>COM</v>
      </c>
      <c r="G158" t="str">
        <f t="shared" si="60"/>
        <v>DROGALIDER 31 (10256)</v>
      </c>
      <c r="H158" t="s">
        <v>68</v>
      </c>
      <c r="I158" t="str">
        <f t="shared" si="57"/>
        <v>03/12/2025</v>
      </c>
      <c r="J158" t="str">
        <f t="shared" si="58"/>
        <v>01/12/2025</v>
      </c>
      <c r="K158">
        <v>45995</v>
      </c>
      <c r="N158">
        <v>303</v>
      </c>
      <c r="O158" t="s">
        <v>30</v>
      </c>
      <c r="Q158">
        <v>162.66</v>
      </c>
      <c r="R158" t="str">
        <f>"DROGALIDER 31 (10256)"</f>
        <v>DROGALIDER 31 (10256)</v>
      </c>
      <c r="S158" t="s">
        <v>31</v>
      </c>
      <c r="T158">
        <v>3765</v>
      </c>
      <c r="U158">
        <v>2853</v>
      </c>
      <c r="V158" t="s">
        <v>36</v>
      </c>
    </row>
    <row r="159" spans="1:22">
      <c r="A159" t="str">
        <f t="shared" si="50"/>
        <v>04/12/2025</v>
      </c>
      <c r="B159" t="str">
        <f t="shared" si="53"/>
        <v>ENTRADA</v>
      </c>
      <c r="C159" t="str">
        <f t="shared" si="54"/>
        <v>NFSE</v>
      </c>
      <c r="D159" t="str">
        <f>"3941"</f>
        <v>3941</v>
      </c>
      <c r="E159" t="str">
        <f t="shared" si="55"/>
        <v>1</v>
      </c>
      <c r="F159" t="str">
        <f t="shared" si="56"/>
        <v>COM</v>
      </c>
      <c r="G159" t="str">
        <f>"PENSE FARMA 44 (10231)"</f>
        <v>PENSE FARMA 44 (10231)</v>
      </c>
      <c r="H159" t="str">
        <f>"Serv.Prest. 24/11/2025 a 30/11/2025 - RPS: 1703 - NFSe: 3941"</f>
        <v>Serv.Prest. 24/11/2025 a 30/11/2025 - RPS: 1703 - NFSe: 3941</v>
      </c>
      <c r="I159" t="str">
        <f t="shared" si="57"/>
        <v>03/12/2025</v>
      </c>
      <c r="J159" t="str">
        <f t="shared" si="58"/>
        <v>01/12/2025</v>
      </c>
      <c r="K159" t="str">
        <f>("04/12/2025")</f>
        <v>04/12/2025</v>
      </c>
      <c r="L159">
        <v>630.80999999999995</v>
      </c>
      <c r="M159">
        <v>630.80999999999995</v>
      </c>
      <c r="N159">
        <v>303</v>
      </c>
      <c r="O159" t="str">
        <f>"RECEITAS COM ENTREGAS"</f>
        <v>RECEITAS COM ENTREGAS</v>
      </c>
      <c r="P159">
        <v>630.80999999999995</v>
      </c>
      <c r="S159" t="str">
        <f>"RECEITAS COM ENTREGAS (303)"</f>
        <v>RECEITAS COM ENTREGAS (303)</v>
      </c>
      <c r="T159">
        <v>3766</v>
      </c>
      <c r="U159">
        <v>2855</v>
      </c>
      <c r="V159" t="s">
        <v>36</v>
      </c>
    </row>
    <row r="160" spans="1:22">
      <c r="A160" t="str">
        <f t="shared" si="50"/>
        <v>04/12/2025</v>
      </c>
      <c r="B160" t="str">
        <f t="shared" si="53"/>
        <v>ENTRADA</v>
      </c>
      <c r="C160" t="str">
        <f t="shared" si="54"/>
        <v>NFSE</v>
      </c>
      <c r="D160" t="str">
        <f>"3941"</f>
        <v>3941</v>
      </c>
      <c r="E160" t="str">
        <f t="shared" si="55"/>
        <v>1</v>
      </c>
      <c r="F160" t="str">
        <f t="shared" si="56"/>
        <v>COM</v>
      </c>
      <c r="G160" t="str">
        <f>"PENSE FARMA 44 (10231)"</f>
        <v>PENSE FARMA 44 (10231)</v>
      </c>
      <c r="H160" t="s">
        <v>69</v>
      </c>
      <c r="I160" t="str">
        <f t="shared" si="57"/>
        <v>03/12/2025</v>
      </c>
      <c r="J160" t="str">
        <f t="shared" si="58"/>
        <v>01/12/2025</v>
      </c>
      <c r="K160">
        <v>45995</v>
      </c>
      <c r="N160">
        <v>303</v>
      </c>
      <c r="O160" t="s">
        <v>30</v>
      </c>
      <c r="Q160">
        <v>314.89999999999998</v>
      </c>
      <c r="R160" t="str">
        <f>"PENSE FARMA 44 (10231)"</f>
        <v>PENSE FARMA 44 (10231)</v>
      </c>
      <c r="S160" t="s">
        <v>31</v>
      </c>
      <c r="T160">
        <v>3766</v>
      </c>
      <c r="U160">
        <v>2855</v>
      </c>
      <c r="V160" t="s">
        <v>36</v>
      </c>
    </row>
    <row r="161" spans="1:22">
      <c r="A161" t="str">
        <f t="shared" si="50"/>
        <v>04/12/2025</v>
      </c>
      <c r="B161" t="str">
        <f t="shared" si="53"/>
        <v>ENTRADA</v>
      </c>
      <c r="C161" t="str">
        <f t="shared" si="54"/>
        <v>NFSE</v>
      </c>
      <c r="D161" t="str">
        <f>"3941"</f>
        <v>3941</v>
      </c>
      <c r="E161" t="str">
        <f t="shared" si="55"/>
        <v>1</v>
      </c>
      <c r="F161" t="str">
        <f t="shared" si="56"/>
        <v>COM</v>
      </c>
      <c r="G161" t="str">
        <f>"PENSE FARMA 44 (10231)"</f>
        <v>PENSE FARMA 44 (10231)</v>
      </c>
      <c r="H161" t="s">
        <v>69</v>
      </c>
      <c r="I161" t="str">
        <f t="shared" si="57"/>
        <v>03/12/2025</v>
      </c>
      <c r="J161" t="str">
        <f t="shared" si="58"/>
        <v>01/12/2025</v>
      </c>
      <c r="K161">
        <v>45995</v>
      </c>
      <c r="N161">
        <v>303</v>
      </c>
      <c r="O161" t="s">
        <v>30</v>
      </c>
      <c r="Q161">
        <v>315.91000000000003</v>
      </c>
      <c r="R161" t="str">
        <f>"PENSE FARMA 48 (10233)"</f>
        <v>PENSE FARMA 48 (10233)</v>
      </c>
      <c r="S161" t="s">
        <v>31</v>
      </c>
      <c r="T161">
        <v>3766</v>
      </c>
      <c r="U161">
        <v>2855</v>
      </c>
      <c r="V161" t="s">
        <v>36</v>
      </c>
    </row>
    <row r="162" spans="1:22">
      <c r="A162" t="str">
        <f t="shared" si="50"/>
        <v>04/12/2025</v>
      </c>
      <c r="B162" t="str">
        <f t="shared" si="53"/>
        <v>ENTRADA</v>
      </c>
      <c r="C162" t="str">
        <f t="shared" si="54"/>
        <v>NFSE</v>
      </c>
      <c r="D162" t="str">
        <f>"3942"</f>
        <v>3942</v>
      </c>
      <c r="E162" t="str">
        <f t="shared" si="55"/>
        <v>1</v>
      </c>
      <c r="F162" t="str">
        <f t="shared" si="56"/>
        <v>COM</v>
      </c>
      <c r="G162" t="str">
        <f>"JAL FARMACIA E DROGARIA LJ 1 (10137)"</f>
        <v>JAL FARMACIA E DROGARIA LJ 1 (10137)</v>
      </c>
      <c r="H162" t="str">
        <f>"Serv.Prest. 24/11/2025 a 30/11/2025 - RPS: 1704 - NFSe: 3942"</f>
        <v>Serv.Prest. 24/11/2025 a 30/11/2025 - RPS: 1704 - NFSe: 3942</v>
      </c>
      <c r="I162" t="str">
        <f t="shared" si="57"/>
        <v>03/12/2025</v>
      </c>
      <c r="J162" t="str">
        <f t="shared" si="58"/>
        <v>01/12/2025</v>
      </c>
      <c r="K162" t="str">
        <f>("04/12/2025")</f>
        <v>04/12/2025</v>
      </c>
      <c r="L162">
        <v>421.5</v>
      </c>
      <c r="M162">
        <v>421.5</v>
      </c>
      <c r="N162">
        <v>303</v>
      </c>
      <c r="O162" t="str">
        <f>"RECEITAS COM ENTREGAS"</f>
        <v>RECEITAS COM ENTREGAS</v>
      </c>
      <c r="P162">
        <v>421.5</v>
      </c>
      <c r="S162" t="str">
        <f>"RECEITAS COM ENTREGAS (303)"</f>
        <v>RECEITAS COM ENTREGAS (303)</v>
      </c>
      <c r="T162">
        <v>3767</v>
      </c>
      <c r="U162">
        <v>2856</v>
      </c>
      <c r="V162" t="s">
        <v>36</v>
      </c>
    </row>
    <row r="163" spans="1:22">
      <c r="A163" t="str">
        <f t="shared" si="50"/>
        <v>04/12/2025</v>
      </c>
      <c r="B163" t="str">
        <f t="shared" si="53"/>
        <v>ENTRADA</v>
      </c>
      <c r="C163" t="str">
        <f t="shared" si="54"/>
        <v>NFSE</v>
      </c>
      <c r="D163" t="str">
        <f>"3942"</f>
        <v>3942</v>
      </c>
      <c r="E163" t="str">
        <f t="shared" si="55"/>
        <v>1</v>
      </c>
      <c r="F163" t="str">
        <f t="shared" si="56"/>
        <v>COM</v>
      </c>
      <c r="G163" t="str">
        <f>"JAL FARMACIA E DROGARIA LJ 1 (10137)"</f>
        <v>JAL FARMACIA E DROGARIA LJ 1 (10137)</v>
      </c>
      <c r="H163" t="s">
        <v>70</v>
      </c>
      <c r="I163" t="str">
        <f t="shared" si="57"/>
        <v>03/12/2025</v>
      </c>
      <c r="J163" t="str">
        <f t="shared" si="58"/>
        <v>01/12/2025</v>
      </c>
      <c r="K163">
        <v>45995</v>
      </c>
      <c r="N163">
        <v>303</v>
      </c>
      <c r="O163" t="s">
        <v>30</v>
      </c>
      <c r="Q163">
        <v>421.5</v>
      </c>
      <c r="R163" t="str">
        <f>"JAL FARMACIA E DROGARIA LJ 1 (10137)"</f>
        <v>JAL FARMACIA E DROGARIA LJ 1 (10137)</v>
      </c>
      <c r="S163" t="s">
        <v>31</v>
      </c>
      <c r="T163">
        <v>3767</v>
      </c>
      <c r="U163">
        <v>2856</v>
      </c>
      <c r="V163" t="s">
        <v>36</v>
      </c>
    </row>
    <row r="164" spans="1:22">
      <c r="A164" t="str">
        <f t="shared" si="50"/>
        <v>04/12/2025</v>
      </c>
      <c r="B164" t="str">
        <f t="shared" si="53"/>
        <v>ENTRADA</v>
      </c>
      <c r="C164" t="str">
        <f t="shared" si="54"/>
        <v>NFSE</v>
      </c>
      <c r="D164" t="str">
        <f>"3943"</f>
        <v>3943</v>
      </c>
      <c r="E164" t="str">
        <f t="shared" si="55"/>
        <v>1</v>
      </c>
      <c r="F164" t="str">
        <f t="shared" si="56"/>
        <v>COM</v>
      </c>
      <c r="G164" t="str">
        <f>"JAL FARMACIA E DROGARIA LJ 2 (10138)"</f>
        <v>JAL FARMACIA E DROGARIA LJ 2 (10138)</v>
      </c>
      <c r="H164" t="str">
        <f>"Serv.Prest. 24/11/2025 a 30/11/2025 - RPS: 1705 - NFSe: 3943"</f>
        <v>Serv.Prest. 24/11/2025 a 30/11/2025 - RPS: 1705 - NFSe: 3943</v>
      </c>
      <c r="I164" t="str">
        <f t="shared" si="57"/>
        <v>03/12/2025</v>
      </c>
      <c r="J164" t="str">
        <f t="shared" si="58"/>
        <v>01/12/2025</v>
      </c>
      <c r="K164" t="str">
        <f>("04/12/2025")</f>
        <v>04/12/2025</v>
      </c>
      <c r="L164">
        <v>286.5</v>
      </c>
      <c r="M164">
        <v>286.5</v>
      </c>
      <c r="N164">
        <v>303</v>
      </c>
      <c r="O164" t="str">
        <f>"RECEITAS COM ENTREGAS"</f>
        <v>RECEITAS COM ENTREGAS</v>
      </c>
      <c r="P164">
        <v>286.5</v>
      </c>
      <c r="S164" t="str">
        <f>"RECEITAS COM ENTREGAS (303)"</f>
        <v>RECEITAS COM ENTREGAS (303)</v>
      </c>
      <c r="T164">
        <v>3768</v>
      </c>
      <c r="U164">
        <v>2857</v>
      </c>
      <c r="V164" t="s">
        <v>36</v>
      </c>
    </row>
    <row r="165" spans="1:22">
      <c r="A165" t="str">
        <f t="shared" si="50"/>
        <v>04/12/2025</v>
      </c>
      <c r="B165" t="str">
        <f t="shared" si="53"/>
        <v>ENTRADA</v>
      </c>
      <c r="C165" t="str">
        <f t="shared" si="54"/>
        <v>NFSE</v>
      </c>
      <c r="D165" t="str">
        <f>"3943"</f>
        <v>3943</v>
      </c>
      <c r="E165" t="str">
        <f t="shared" si="55"/>
        <v>1</v>
      </c>
      <c r="F165" t="str">
        <f t="shared" si="56"/>
        <v>COM</v>
      </c>
      <c r="G165" t="str">
        <f>"JAL FARMACIA E DROGARIA LJ 2 (10138)"</f>
        <v>JAL FARMACIA E DROGARIA LJ 2 (10138)</v>
      </c>
      <c r="H165" t="s">
        <v>71</v>
      </c>
      <c r="I165" t="str">
        <f t="shared" si="57"/>
        <v>03/12/2025</v>
      </c>
      <c r="J165" t="str">
        <f t="shared" si="58"/>
        <v>01/12/2025</v>
      </c>
      <c r="K165">
        <v>45995</v>
      </c>
      <c r="N165">
        <v>303</v>
      </c>
      <c r="O165" t="s">
        <v>30</v>
      </c>
      <c r="Q165">
        <v>286.5</v>
      </c>
      <c r="R165" t="str">
        <f>"JAL FARMACIA E DROGARIA LJ 2 (10138)"</f>
        <v>JAL FARMACIA E DROGARIA LJ 2 (10138)</v>
      </c>
      <c r="S165" t="s">
        <v>31</v>
      </c>
      <c r="T165">
        <v>3768</v>
      </c>
      <c r="U165">
        <v>2857</v>
      </c>
      <c r="V165" t="s">
        <v>36</v>
      </c>
    </row>
    <row r="166" spans="1:22">
      <c r="A166" t="str">
        <f t="shared" ref="A166:A197" si="61">("04/12/2025")</f>
        <v>04/12/2025</v>
      </c>
      <c r="B166" t="str">
        <f t="shared" si="53"/>
        <v>ENTRADA</v>
      </c>
      <c r="C166" t="str">
        <f t="shared" si="54"/>
        <v>NFSE</v>
      </c>
      <c r="D166" t="str">
        <f>"3944"</f>
        <v>3944</v>
      </c>
      <c r="E166" t="str">
        <f t="shared" si="55"/>
        <v>1</v>
      </c>
      <c r="F166" t="str">
        <f t="shared" si="56"/>
        <v>COM</v>
      </c>
      <c r="G166" t="str">
        <f>"PENSE FARMA 19 (10223)"</f>
        <v>PENSE FARMA 19 (10223)</v>
      </c>
      <c r="H166" t="str">
        <f>"Serv.Prest. 24/11/2025 a 30/11/2025 - RPS: 1706 - NFSe: 3944"</f>
        <v>Serv.Prest. 24/11/2025 a 30/11/2025 - RPS: 1706 - NFSe: 3944</v>
      </c>
      <c r="I166" t="str">
        <f t="shared" si="57"/>
        <v>03/12/2025</v>
      </c>
      <c r="J166" t="str">
        <f t="shared" si="58"/>
        <v>01/12/2025</v>
      </c>
      <c r="K166" t="str">
        <f>("04/12/2025")</f>
        <v>04/12/2025</v>
      </c>
      <c r="L166">
        <v>507.65</v>
      </c>
      <c r="M166">
        <v>507.65</v>
      </c>
      <c r="N166">
        <v>303</v>
      </c>
      <c r="O166" t="str">
        <f>"RECEITAS COM ENTREGAS"</f>
        <v>RECEITAS COM ENTREGAS</v>
      </c>
      <c r="P166">
        <v>507.65</v>
      </c>
      <c r="S166" t="str">
        <f>"RECEITAS COM ENTREGAS (303)"</f>
        <v>RECEITAS COM ENTREGAS (303)</v>
      </c>
      <c r="T166">
        <v>3769</v>
      </c>
      <c r="U166">
        <v>2858</v>
      </c>
      <c r="V166" t="s">
        <v>36</v>
      </c>
    </row>
    <row r="167" spans="1:22">
      <c r="A167" t="str">
        <f t="shared" si="61"/>
        <v>04/12/2025</v>
      </c>
      <c r="B167" t="str">
        <f t="shared" si="53"/>
        <v>ENTRADA</v>
      </c>
      <c r="C167" t="str">
        <f t="shared" si="54"/>
        <v>NFSE</v>
      </c>
      <c r="D167" t="str">
        <f>"3944"</f>
        <v>3944</v>
      </c>
      <c r="E167" t="str">
        <f t="shared" si="55"/>
        <v>1</v>
      </c>
      <c r="F167" t="str">
        <f t="shared" si="56"/>
        <v>COM</v>
      </c>
      <c r="G167" t="str">
        <f>"PENSE FARMA 19 (10223)"</f>
        <v>PENSE FARMA 19 (10223)</v>
      </c>
      <c r="H167" t="s">
        <v>72</v>
      </c>
      <c r="I167" t="str">
        <f t="shared" si="57"/>
        <v>03/12/2025</v>
      </c>
      <c r="J167" t="str">
        <f t="shared" si="58"/>
        <v>01/12/2025</v>
      </c>
      <c r="K167">
        <v>45995</v>
      </c>
      <c r="N167">
        <v>303</v>
      </c>
      <c r="O167" t="s">
        <v>30</v>
      </c>
      <c r="Q167">
        <v>507.65</v>
      </c>
      <c r="R167" t="str">
        <f>"PENSE FARMA 19 (10223)"</f>
        <v>PENSE FARMA 19 (10223)</v>
      </c>
      <c r="S167" t="s">
        <v>31</v>
      </c>
      <c r="T167">
        <v>3769</v>
      </c>
      <c r="U167">
        <v>2858</v>
      </c>
      <c r="V167" t="s">
        <v>36</v>
      </c>
    </row>
    <row r="168" spans="1:22">
      <c r="A168" t="str">
        <f t="shared" si="61"/>
        <v>04/12/2025</v>
      </c>
      <c r="B168" t="str">
        <f t="shared" si="53"/>
        <v>ENTRADA</v>
      </c>
      <c r="C168" t="str">
        <f t="shared" si="54"/>
        <v>NFSE</v>
      </c>
      <c r="D168" t="str">
        <f>"3945"</f>
        <v>3945</v>
      </c>
      <c r="E168" t="str">
        <f t="shared" si="55"/>
        <v>1</v>
      </c>
      <c r="F168" t="str">
        <f t="shared" si="56"/>
        <v>COM</v>
      </c>
      <c r="G168" t="str">
        <f>"PENSE FARMA 49 (10234)"</f>
        <v>PENSE FARMA 49 (10234)</v>
      </c>
      <c r="H168" t="str">
        <f>"Serv.Prest. 24/11/2025 a 30/11/2025 - RPS: 1707 - NFSe: 3945"</f>
        <v>Serv.Prest. 24/11/2025 a 30/11/2025 - RPS: 1707 - NFSe: 3945</v>
      </c>
      <c r="I168" t="str">
        <f t="shared" si="57"/>
        <v>03/12/2025</v>
      </c>
      <c r="J168" t="str">
        <f t="shared" si="58"/>
        <v>01/12/2025</v>
      </c>
      <c r="K168" t="str">
        <f>("04/12/2025")</f>
        <v>04/12/2025</v>
      </c>
      <c r="L168">
        <v>213.43</v>
      </c>
      <c r="M168">
        <v>213.43</v>
      </c>
      <c r="N168">
        <v>303</v>
      </c>
      <c r="O168" t="str">
        <f>"RECEITAS COM ENTREGAS"</f>
        <v>RECEITAS COM ENTREGAS</v>
      </c>
      <c r="P168">
        <v>213.43</v>
      </c>
      <c r="S168" t="str">
        <f>"RECEITAS COM ENTREGAS (303)"</f>
        <v>RECEITAS COM ENTREGAS (303)</v>
      </c>
      <c r="T168">
        <v>3770</v>
      </c>
      <c r="U168">
        <v>2859</v>
      </c>
      <c r="V168" t="s">
        <v>36</v>
      </c>
    </row>
    <row r="169" spans="1:22">
      <c r="A169" t="str">
        <f t="shared" si="61"/>
        <v>04/12/2025</v>
      </c>
      <c r="B169" t="str">
        <f t="shared" si="53"/>
        <v>ENTRADA</v>
      </c>
      <c r="C169" t="str">
        <f t="shared" si="54"/>
        <v>NFSE</v>
      </c>
      <c r="D169" t="str">
        <f>"3945"</f>
        <v>3945</v>
      </c>
      <c r="E169" t="str">
        <f t="shared" si="55"/>
        <v>1</v>
      </c>
      <c r="F169" t="str">
        <f t="shared" si="56"/>
        <v>COM</v>
      </c>
      <c r="G169" t="str">
        <f>"PENSE FARMA 49 (10234)"</f>
        <v>PENSE FARMA 49 (10234)</v>
      </c>
      <c r="H169" t="s">
        <v>73</v>
      </c>
      <c r="I169" t="str">
        <f t="shared" si="57"/>
        <v>03/12/2025</v>
      </c>
      <c r="J169" t="str">
        <f t="shared" si="58"/>
        <v>01/12/2025</v>
      </c>
      <c r="K169">
        <v>45995</v>
      </c>
      <c r="N169">
        <v>303</v>
      </c>
      <c r="O169" t="s">
        <v>30</v>
      </c>
      <c r="Q169">
        <v>213.43</v>
      </c>
      <c r="R169" t="str">
        <f>"PENSE FARMA 49 (10234)"</f>
        <v>PENSE FARMA 49 (10234)</v>
      </c>
      <c r="S169" t="s">
        <v>31</v>
      </c>
      <c r="T169">
        <v>3770</v>
      </c>
      <c r="U169">
        <v>2859</v>
      </c>
      <c r="V169" t="s">
        <v>36</v>
      </c>
    </row>
    <row r="170" spans="1:22">
      <c r="A170" t="str">
        <f t="shared" si="61"/>
        <v>04/12/2025</v>
      </c>
      <c r="B170" t="str">
        <f t="shared" si="53"/>
        <v>ENTRADA</v>
      </c>
      <c r="C170" t="str">
        <f t="shared" si="54"/>
        <v>NFSE</v>
      </c>
      <c r="D170" t="str">
        <f>"3946"</f>
        <v>3946</v>
      </c>
      <c r="E170" t="str">
        <f t="shared" si="55"/>
        <v>1</v>
      </c>
      <c r="F170" t="str">
        <f t="shared" si="56"/>
        <v>COM</v>
      </c>
      <c r="G170" t="str">
        <f>"PENSE FARMA 39 (10228)"</f>
        <v>PENSE FARMA 39 (10228)</v>
      </c>
      <c r="H170" t="str">
        <f>"Serv.Prest. 24/11/2025 a 30/11/2025 - RPS: 1708 - NFSe: 3946"</f>
        <v>Serv.Prest. 24/11/2025 a 30/11/2025 - RPS: 1708 - NFSe: 3946</v>
      </c>
      <c r="I170" t="str">
        <f t="shared" si="57"/>
        <v>03/12/2025</v>
      </c>
      <c r="J170" t="str">
        <f t="shared" si="58"/>
        <v>01/12/2025</v>
      </c>
      <c r="K170" t="str">
        <f>("04/12/2025")</f>
        <v>04/12/2025</v>
      </c>
      <c r="L170">
        <v>599.98</v>
      </c>
      <c r="M170">
        <v>599.98</v>
      </c>
      <c r="N170">
        <v>303</v>
      </c>
      <c r="O170" t="str">
        <f>"RECEITAS COM ENTREGAS"</f>
        <v>RECEITAS COM ENTREGAS</v>
      </c>
      <c r="P170">
        <v>599.98</v>
      </c>
      <c r="S170" t="str">
        <f>"RECEITAS COM ENTREGAS (303)"</f>
        <v>RECEITAS COM ENTREGAS (303)</v>
      </c>
      <c r="T170">
        <v>3771</v>
      </c>
      <c r="U170">
        <v>2860</v>
      </c>
      <c r="V170" t="s">
        <v>36</v>
      </c>
    </row>
    <row r="171" spans="1:22">
      <c r="A171" t="str">
        <f t="shared" si="61"/>
        <v>04/12/2025</v>
      </c>
      <c r="B171" t="str">
        <f t="shared" si="53"/>
        <v>ENTRADA</v>
      </c>
      <c r="C171" t="str">
        <f t="shared" si="54"/>
        <v>NFSE</v>
      </c>
      <c r="D171" t="str">
        <f>"3946"</f>
        <v>3946</v>
      </c>
      <c r="E171" t="str">
        <f t="shared" si="55"/>
        <v>1</v>
      </c>
      <c r="F171" t="str">
        <f t="shared" si="56"/>
        <v>COM</v>
      </c>
      <c r="G171" t="str">
        <f>"PENSE FARMA 39 (10228)"</f>
        <v>PENSE FARMA 39 (10228)</v>
      </c>
      <c r="H171" t="s">
        <v>74</v>
      </c>
      <c r="I171" t="str">
        <f t="shared" si="57"/>
        <v>03/12/2025</v>
      </c>
      <c r="J171" t="str">
        <f t="shared" si="58"/>
        <v>01/12/2025</v>
      </c>
      <c r="K171">
        <v>45995</v>
      </c>
      <c r="N171">
        <v>303</v>
      </c>
      <c r="O171" t="s">
        <v>30</v>
      </c>
      <c r="Q171">
        <v>148.85</v>
      </c>
      <c r="R171" t="str">
        <f>"PENSE FARMA 02 (10199)"</f>
        <v>PENSE FARMA 02 (10199)</v>
      </c>
      <c r="S171" t="s">
        <v>31</v>
      </c>
      <c r="T171">
        <v>3771</v>
      </c>
      <c r="U171">
        <v>2860</v>
      </c>
      <c r="V171" t="s">
        <v>36</v>
      </c>
    </row>
    <row r="172" spans="1:22">
      <c r="A172" t="str">
        <f t="shared" si="61"/>
        <v>04/12/2025</v>
      </c>
      <c r="B172" t="str">
        <f t="shared" si="53"/>
        <v>ENTRADA</v>
      </c>
      <c r="C172" t="str">
        <f t="shared" si="54"/>
        <v>NFSE</v>
      </c>
      <c r="D172" t="str">
        <f>"3946"</f>
        <v>3946</v>
      </c>
      <c r="E172" t="str">
        <f t="shared" si="55"/>
        <v>1</v>
      </c>
      <c r="F172" t="str">
        <f t="shared" si="56"/>
        <v>COM</v>
      </c>
      <c r="G172" t="str">
        <f>"PENSE FARMA 39 (10228)"</f>
        <v>PENSE FARMA 39 (10228)</v>
      </c>
      <c r="H172" t="s">
        <v>74</v>
      </c>
      <c r="I172" t="str">
        <f t="shared" si="57"/>
        <v>03/12/2025</v>
      </c>
      <c r="J172" t="str">
        <f t="shared" si="58"/>
        <v>01/12/2025</v>
      </c>
      <c r="K172">
        <v>45995</v>
      </c>
      <c r="N172">
        <v>303</v>
      </c>
      <c r="O172" t="s">
        <v>30</v>
      </c>
      <c r="Q172">
        <v>148.86000000000001</v>
      </c>
      <c r="R172" t="str">
        <f>"PENSE FARMA 01 (10215)"</f>
        <v>PENSE FARMA 01 (10215)</v>
      </c>
      <c r="S172" t="s">
        <v>31</v>
      </c>
      <c r="T172">
        <v>3771</v>
      </c>
      <c r="U172">
        <v>2860</v>
      </c>
      <c r="V172" t="s">
        <v>36</v>
      </c>
    </row>
    <row r="173" spans="1:22">
      <c r="A173" t="str">
        <f t="shared" si="61"/>
        <v>04/12/2025</v>
      </c>
      <c r="B173" t="str">
        <f t="shared" si="53"/>
        <v>ENTRADA</v>
      </c>
      <c r="C173" t="str">
        <f t="shared" si="54"/>
        <v>NFSE</v>
      </c>
      <c r="D173" t="str">
        <f>"3946"</f>
        <v>3946</v>
      </c>
      <c r="E173" t="str">
        <f t="shared" si="55"/>
        <v>1</v>
      </c>
      <c r="F173" t="str">
        <f t="shared" si="56"/>
        <v>COM</v>
      </c>
      <c r="G173" t="str">
        <f>"PENSE FARMA 39 (10228)"</f>
        <v>PENSE FARMA 39 (10228)</v>
      </c>
      <c r="H173" t="s">
        <v>74</v>
      </c>
      <c r="I173" t="str">
        <f t="shared" si="57"/>
        <v>03/12/2025</v>
      </c>
      <c r="J173" t="str">
        <f t="shared" si="58"/>
        <v>01/12/2025</v>
      </c>
      <c r="K173">
        <v>45995</v>
      </c>
      <c r="N173">
        <v>303</v>
      </c>
      <c r="O173" t="s">
        <v>30</v>
      </c>
      <c r="Q173">
        <v>148.86000000000001</v>
      </c>
      <c r="R173" t="str">
        <f>"PENSE FARMA 03 (10216)"</f>
        <v>PENSE FARMA 03 (10216)</v>
      </c>
      <c r="S173" t="s">
        <v>31</v>
      </c>
      <c r="T173">
        <v>3771</v>
      </c>
      <c r="U173">
        <v>2860</v>
      </c>
      <c r="V173" t="s">
        <v>36</v>
      </c>
    </row>
    <row r="174" spans="1:22">
      <c r="A174" t="str">
        <f t="shared" si="61"/>
        <v>04/12/2025</v>
      </c>
      <c r="B174" t="str">
        <f t="shared" si="53"/>
        <v>ENTRADA</v>
      </c>
      <c r="C174" t="str">
        <f t="shared" si="54"/>
        <v>NFSE</v>
      </c>
      <c r="D174" t="str">
        <f>"3946"</f>
        <v>3946</v>
      </c>
      <c r="E174" t="str">
        <f t="shared" si="55"/>
        <v>1</v>
      </c>
      <c r="F174" t="str">
        <f t="shared" si="56"/>
        <v>COM</v>
      </c>
      <c r="G174" t="str">
        <f>"PENSE FARMA 39 (10228)"</f>
        <v>PENSE FARMA 39 (10228)</v>
      </c>
      <c r="H174" t="s">
        <v>74</v>
      </c>
      <c r="I174" t="str">
        <f t="shared" si="57"/>
        <v>03/12/2025</v>
      </c>
      <c r="J174" t="str">
        <f t="shared" si="58"/>
        <v>01/12/2025</v>
      </c>
      <c r="K174">
        <v>45995</v>
      </c>
      <c r="N174">
        <v>303</v>
      </c>
      <c r="O174" t="s">
        <v>30</v>
      </c>
      <c r="Q174">
        <v>153.41</v>
      </c>
      <c r="R174" t="str">
        <f>"PENSE FARMA 39 (10228)"</f>
        <v>PENSE FARMA 39 (10228)</v>
      </c>
      <c r="S174" t="s">
        <v>31</v>
      </c>
      <c r="T174">
        <v>3771</v>
      </c>
      <c r="U174">
        <v>2860</v>
      </c>
      <c r="V174" t="s">
        <v>36</v>
      </c>
    </row>
    <row r="175" spans="1:22">
      <c r="A175" t="str">
        <f t="shared" si="61"/>
        <v>04/12/2025</v>
      </c>
      <c r="B175" t="str">
        <f t="shared" si="53"/>
        <v>ENTRADA</v>
      </c>
      <c r="C175" t="str">
        <f t="shared" si="54"/>
        <v>NFSE</v>
      </c>
      <c r="D175" t="str">
        <f>"3947"</f>
        <v>3947</v>
      </c>
      <c r="E175" t="str">
        <f t="shared" si="55"/>
        <v>1</v>
      </c>
      <c r="F175" t="str">
        <f t="shared" si="56"/>
        <v>COM</v>
      </c>
      <c r="G175" t="str">
        <f>"PENSE FARMA 47 (10232)"</f>
        <v>PENSE FARMA 47 (10232)</v>
      </c>
      <c r="H175" t="str">
        <f>"Serv.Prest. 24/11/2025 a 30/11/2025 - RPS: 1709 - NFSe: 3947"</f>
        <v>Serv.Prest. 24/11/2025 a 30/11/2025 - RPS: 1709 - NFSe: 3947</v>
      </c>
      <c r="I175" t="str">
        <f t="shared" si="57"/>
        <v>03/12/2025</v>
      </c>
      <c r="J175" t="str">
        <f t="shared" si="58"/>
        <v>01/12/2025</v>
      </c>
      <c r="K175" t="str">
        <f>("04/12/2025")</f>
        <v>04/12/2025</v>
      </c>
      <c r="L175">
        <v>320.23</v>
      </c>
      <c r="M175">
        <v>320.23</v>
      </c>
      <c r="N175">
        <v>303</v>
      </c>
      <c r="O175" t="str">
        <f>"RECEITAS COM ENTREGAS"</f>
        <v>RECEITAS COM ENTREGAS</v>
      </c>
      <c r="P175">
        <v>320.23</v>
      </c>
      <c r="S175" t="str">
        <f>"RECEITAS COM ENTREGAS (303)"</f>
        <v>RECEITAS COM ENTREGAS (303)</v>
      </c>
      <c r="T175">
        <v>3772</v>
      </c>
      <c r="U175">
        <v>2861</v>
      </c>
      <c r="V175" t="s">
        <v>36</v>
      </c>
    </row>
    <row r="176" spans="1:22">
      <c r="A176" t="str">
        <f t="shared" si="61"/>
        <v>04/12/2025</v>
      </c>
      <c r="B176" t="str">
        <f t="shared" si="53"/>
        <v>ENTRADA</v>
      </c>
      <c r="C176" t="str">
        <f t="shared" si="54"/>
        <v>NFSE</v>
      </c>
      <c r="D176" t="str">
        <f>"3947"</f>
        <v>3947</v>
      </c>
      <c r="E176" t="str">
        <f t="shared" si="55"/>
        <v>1</v>
      </c>
      <c r="F176" t="str">
        <f t="shared" si="56"/>
        <v>COM</v>
      </c>
      <c r="G176" t="str">
        <f>"PENSE FARMA 47 (10232)"</f>
        <v>PENSE FARMA 47 (10232)</v>
      </c>
      <c r="H176" t="s">
        <v>75</v>
      </c>
      <c r="I176" t="str">
        <f t="shared" si="57"/>
        <v>03/12/2025</v>
      </c>
      <c r="J176" t="str">
        <f t="shared" si="58"/>
        <v>01/12/2025</v>
      </c>
      <c r="K176">
        <v>45995</v>
      </c>
      <c r="N176">
        <v>303</v>
      </c>
      <c r="O176" t="s">
        <v>30</v>
      </c>
      <c r="Q176">
        <v>320.23</v>
      </c>
      <c r="R176" t="str">
        <f>"PENSE FARMA 47 (10232)"</f>
        <v>PENSE FARMA 47 (10232)</v>
      </c>
      <c r="S176" t="s">
        <v>31</v>
      </c>
      <c r="T176">
        <v>3772</v>
      </c>
      <c r="U176">
        <v>2861</v>
      </c>
      <c r="V176" t="s">
        <v>36</v>
      </c>
    </row>
    <row r="177" spans="1:22">
      <c r="A177" t="str">
        <f t="shared" si="61"/>
        <v>04/12/2025</v>
      </c>
      <c r="B177" t="str">
        <f t="shared" si="53"/>
        <v>ENTRADA</v>
      </c>
      <c r="C177" t="str">
        <f t="shared" si="54"/>
        <v>NFSE</v>
      </c>
      <c r="D177" t="str">
        <f>"3948"</f>
        <v>3948</v>
      </c>
      <c r="E177" t="str">
        <f t="shared" si="55"/>
        <v>1</v>
      </c>
      <c r="F177" t="str">
        <f t="shared" si="56"/>
        <v>COM</v>
      </c>
      <c r="G177" t="str">
        <f>"PENSE FARMA 25 (10224)"</f>
        <v>PENSE FARMA 25 (10224)</v>
      </c>
      <c r="H177" t="str">
        <f>"Serv.Prest. 24/11/2025 a 30/11/2025 - RPS: 1710 - NFSe: 3948"</f>
        <v>Serv.Prest. 24/11/2025 a 30/11/2025 - RPS: 1710 - NFSe: 3948</v>
      </c>
      <c r="I177" t="str">
        <f t="shared" si="57"/>
        <v>03/12/2025</v>
      </c>
      <c r="J177" t="str">
        <f t="shared" si="58"/>
        <v>01/12/2025</v>
      </c>
      <c r="K177" t="str">
        <f>("04/12/2025")</f>
        <v>04/12/2025</v>
      </c>
      <c r="L177">
        <v>599.04999999999995</v>
      </c>
      <c r="M177">
        <v>599.04999999999995</v>
      </c>
      <c r="N177">
        <v>303</v>
      </c>
      <c r="O177" t="str">
        <f>"RECEITAS COM ENTREGAS"</f>
        <v>RECEITAS COM ENTREGAS</v>
      </c>
      <c r="P177">
        <v>599.04999999999995</v>
      </c>
      <c r="S177" t="str">
        <f>"RECEITAS COM ENTREGAS (303)"</f>
        <v>RECEITAS COM ENTREGAS (303)</v>
      </c>
      <c r="T177">
        <v>3773</v>
      </c>
      <c r="U177">
        <v>2862</v>
      </c>
      <c r="V177" t="s">
        <v>36</v>
      </c>
    </row>
    <row r="178" spans="1:22">
      <c r="A178" t="str">
        <f t="shared" si="61"/>
        <v>04/12/2025</v>
      </c>
      <c r="B178" t="str">
        <f t="shared" si="53"/>
        <v>ENTRADA</v>
      </c>
      <c r="C178" t="str">
        <f t="shared" si="54"/>
        <v>NFSE</v>
      </c>
      <c r="D178" t="str">
        <f>"3948"</f>
        <v>3948</v>
      </c>
      <c r="E178" t="str">
        <f t="shared" si="55"/>
        <v>1</v>
      </c>
      <c r="F178" t="str">
        <f t="shared" si="56"/>
        <v>COM</v>
      </c>
      <c r="G178" t="str">
        <f>"PENSE FARMA 25 (10224)"</f>
        <v>PENSE FARMA 25 (10224)</v>
      </c>
      <c r="H178" t="s">
        <v>76</v>
      </c>
      <c r="I178" t="str">
        <f t="shared" si="57"/>
        <v>03/12/2025</v>
      </c>
      <c r="J178" t="str">
        <f t="shared" si="58"/>
        <v>01/12/2025</v>
      </c>
      <c r="K178">
        <v>45995</v>
      </c>
      <c r="N178">
        <v>303</v>
      </c>
      <c r="O178" t="s">
        <v>30</v>
      </c>
      <c r="Q178">
        <v>599.04999999999995</v>
      </c>
      <c r="R178" t="str">
        <f>"PENSE FARMA 25 (10224)"</f>
        <v>PENSE FARMA 25 (10224)</v>
      </c>
      <c r="S178" t="s">
        <v>31</v>
      </c>
      <c r="T178">
        <v>3773</v>
      </c>
      <c r="U178">
        <v>2862</v>
      </c>
      <c r="V178" t="s">
        <v>36</v>
      </c>
    </row>
    <row r="179" spans="1:22">
      <c r="A179" t="str">
        <f t="shared" si="61"/>
        <v>04/12/2025</v>
      </c>
      <c r="B179" t="str">
        <f t="shared" si="53"/>
        <v>ENTRADA</v>
      </c>
      <c r="C179" t="str">
        <f t="shared" si="54"/>
        <v>NFSE</v>
      </c>
      <c r="D179" t="str">
        <f>"3949"</f>
        <v>3949</v>
      </c>
      <c r="E179" t="str">
        <f t="shared" si="55"/>
        <v>1</v>
      </c>
      <c r="F179" t="str">
        <f t="shared" si="56"/>
        <v>COM</v>
      </c>
      <c r="G179" t="str">
        <f>"PENSE FARMA 35 (10227)"</f>
        <v>PENSE FARMA 35 (10227)</v>
      </c>
      <c r="H179" t="str">
        <f>"Serv.Prest. 24/11/2025 a 30/11/2025 - RPS: 1711 - NFSe: 3949"</f>
        <v>Serv.Prest. 24/11/2025 a 30/11/2025 - RPS: 1711 - NFSe: 3949</v>
      </c>
      <c r="I179" t="str">
        <f t="shared" si="57"/>
        <v>03/12/2025</v>
      </c>
      <c r="J179" t="str">
        <f t="shared" si="58"/>
        <v>01/12/2025</v>
      </c>
      <c r="K179" t="str">
        <f>("04/12/2025")</f>
        <v>04/12/2025</v>
      </c>
      <c r="L179">
        <v>171.45</v>
      </c>
      <c r="M179">
        <v>171.45</v>
      </c>
      <c r="N179">
        <v>303</v>
      </c>
      <c r="O179" t="str">
        <f>"RECEITAS COM ENTREGAS"</f>
        <v>RECEITAS COM ENTREGAS</v>
      </c>
      <c r="P179">
        <v>171.45</v>
      </c>
      <c r="S179" t="str">
        <f>"RECEITAS COM ENTREGAS (303)"</f>
        <v>RECEITAS COM ENTREGAS (303)</v>
      </c>
      <c r="T179">
        <v>3774</v>
      </c>
      <c r="U179">
        <v>2863</v>
      </c>
      <c r="V179" t="s">
        <v>36</v>
      </c>
    </row>
    <row r="180" spans="1:22">
      <c r="A180" t="str">
        <f t="shared" si="61"/>
        <v>04/12/2025</v>
      </c>
      <c r="B180" t="str">
        <f t="shared" si="53"/>
        <v>ENTRADA</v>
      </c>
      <c r="C180" t="str">
        <f t="shared" si="54"/>
        <v>NFSE</v>
      </c>
      <c r="D180" t="str">
        <f>"3949"</f>
        <v>3949</v>
      </c>
      <c r="E180" t="str">
        <f t="shared" si="55"/>
        <v>1</v>
      </c>
      <c r="F180" t="str">
        <f t="shared" si="56"/>
        <v>COM</v>
      </c>
      <c r="G180" t="str">
        <f>"PENSE FARMA 35 (10227)"</f>
        <v>PENSE FARMA 35 (10227)</v>
      </c>
      <c r="H180" t="s">
        <v>77</v>
      </c>
      <c r="I180" t="str">
        <f t="shared" si="57"/>
        <v>03/12/2025</v>
      </c>
      <c r="J180" t="str">
        <f t="shared" si="58"/>
        <v>01/12/2025</v>
      </c>
      <c r="K180">
        <v>45995</v>
      </c>
      <c r="N180">
        <v>303</v>
      </c>
      <c r="O180" t="s">
        <v>30</v>
      </c>
      <c r="Q180">
        <v>171.45</v>
      </c>
      <c r="R180" t="str">
        <f>"PENSE FARMA 35 (10227)"</f>
        <v>PENSE FARMA 35 (10227)</v>
      </c>
      <c r="S180" t="s">
        <v>31</v>
      </c>
      <c r="T180">
        <v>3774</v>
      </c>
      <c r="U180">
        <v>2863</v>
      </c>
      <c r="V180" t="s">
        <v>36</v>
      </c>
    </row>
    <row r="181" spans="1:22">
      <c r="A181" t="str">
        <f t="shared" si="61"/>
        <v>04/12/2025</v>
      </c>
      <c r="B181" t="str">
        <f t="shared" si="53"/>
        <v>ENTRADA</v>
      </c>
      <c r="C181" t="str">
        <f t="shared" si="54"/>
        <v>NFSE</v>
      </c>
      <c r="D181" t="str">
        <f t="shared" ref="D181:D186" si="62">"3950"</f>
        <v>3950</v>
      </c>
      <c r="E181" t="str">
        <f t="shared" si="55"/>
        <v>1</v>
      </c>
      <c r="F181" t="str">
        <f t="shared" si="56"/>
        <v>COM</v>
      </c>
      <c r="G181" t="str">
        <f t="shared" ref="G181:G186" si="63">"PENSE FARMA 08 (10217)"</f>
        <v>PENSE FARMA 08 (10217)</v>
      </c>
      <c r="H181" t="str">
        <f>"Serv.Prest. 24/11/2025 a 30/11/2025 - RPS: 1712 - NFSe: 3950"</f>
        <v>Serv.Prest. 24/11/2025 a 30/11/2025 - RPS: 1712 - NFSe: 3950</v>
      </c>
      <c r="I181" t="str">
        <f t="shared" si="57"/>
        <v>03/12/2025</v>
      </c>
      <c r="J181" t="str">
        <f t="shared" si="58"/>
        <v>01/12/2025</v>
      </c>
      <c r="K181" t="str">
        <f>("04/12/2025")</f>
        <v>04/12/2025</v>
      </c>
      <c r="L181">
        <v>589.5</v>
      </c>
      <c r="M181">
        <v>589.5</v>
      </c>
      <c r="N181">
        <v>303</v>
      </c>
      <c r="O181" t="str">
        <f>"RECEITAS COM ENTREGAS"</f>
        <v>RECEITAS COM ENTREGAS</v>
      </c>
      <c r="P181">
        <v>589.5</v>
      </c>
      <c r="S181" t="str">
        <f>"RECEITAS COM ENTREGAS (303)"</f>
        <v>RECEITAS COM ENTREGAS (303)</v>
      </c>
      <c r="T181">
        <v>3775</v>
      </c>
      <c r="U181">
        <v>2864</v>
      </c>
      <c r="V181" t="s">
        <v>36</v>
      </c>
    </row>
    <row r="182" spans="1:22">
      <c r="A182" t="str">
        <f t="shared" si="61"/>
        <v>04/12/2025</v>
      </c>
      <c r="B182" t="str">
        <f t="shared" si="53"/>
        <v>ENTRADA</v>
      </c>
      <c r="C182" t="str">
        <f t="shared" si="54"/>
        <v>NFSE</v>
      </c>
      <c r="D182" t="str">
        <f t="shared" si="62"/>
        <v>3950</v>
      </c>
      <c r="E182" t="str">
        <f t="shared" si="55"/>
        <v>1</v>
      </c>
      <c r="F182" t="str">
        <f t="shared" si="56"/>
        <v>COM</v>
      </c>
      <c r="G182" t="str">
        <f t="shared" si="63"/>
        <v>PENSE FARMA 08 (10217)</v>
      </c>
      <c r="H182" t="s">
        <v>78</v>
      </c>
      <c r="I182" t="str">
        <f t="shared" si="57"/>
        <v>03/12/2025</v>
      </c>
      <c r="J182" t="str">
        <f t="shared" si="58"/>
        <v>01/12/2025</v>
      </c>
      <c r="K182">
        <v>45995</v>
      </c>
      <c r="N182">
        <v>303</v>
      </c>
      <c r="O182" t="s">
        <v>30</v>
      </c>
      <c r="Q182">
        <v>117.9</v>
      </c>
      <c r="R182" t="str">
        <f>"PENSE FARMA 08 (10217)"</f>
        <v>PENSE FARMA 08 (10217)</v>
      </c>
      <c r="S182" t="s">
        <v>31</v>
      </c>
      <c r="T182">
        <v>3775</v>
      </c>
      <c r="U182">
        <v>2864</v>
      </c>
      <c r="V182" t="s">
        <v>36</v>
      </c>
    </row>
    <row r="183" spans="1:22">
      <c r="A183" t="str">
        <f t="shared" si="61"/>
        <v>04/12/2025</v>
      </c>
      <c r="B183" t="str">
        <f t="shared" ref="B183:B214" si="64">"ENTRADA"</f>
        <v>ENTRADA</v>
      </c>
      <c r="C183" t="str">
        <f t="shared" ref="C183:C214" si="65">"NFSE"</f>
        <v>NFSE</v>
      </c>
      <c r="D183" t="str">
        <f t="shared" si="62"/>
        <v>3950</v>
      </c>
      <c r="E183" t="str">
        <f t="shared" ref="E183:E214" si="66">"1"</f>
        <v>1</v>
      </c>
      <c r="F183" t="str">
        <f t="shared" ref="F183:F214" si="67">"COM"</f>
        <v>COM</v>
      </c>
      <c r="G183" t="str">
        <f t="shared" si="63"/>
        <v>PENSE FARMA 08 (10217)</v>
      </c>
      <c r="H183" t="s">
        <v>78</v>
      </c>
      <c r="I183" t="str">
        <f t="shared" ref="I183:I214" si="68">("03/12/2025")</f>
        <v>03/12/2025</v>
      </c>
      <c r="J183" t="str">
        <f t="shared" ref="J183:J218" si="69">("01/12/2025")</f>
        <v>01/12/2025</v>
      </c>
      <c r="K183">
        <v>45995</v>
      </c>
      <c r="N183">
        <v>303</v>
      </c>
      <c r="O183" t="s">
        <v>30</v>
      </c>
      <c r="Q183">
        <v>117.9</v>
      </c>
      <c r="R183" t="str">
        <f>"PENSE FARMA 11 (10220)"</f>
        <v>PENSE FARMA 11 (10220)</v>
      </c>
      <c r="S183" t="s">
        <v>31</v>
      </c>
      <c r="T183">
        <v>3775</v>
      </c>
      <c r="U183">
        <v>2864</v>
      </c>
      <c r="V183" t="s">
        <v>36</v>
      </c>
    </row>
    <row r="184" spans="1:22">
      <c r="A184" t="str">
        <f t="shared" si="61"/>
        <v>04/12/2025</v>
      </c>
      <c r="B184" t="str">
        <f t="shared" si="64"/>
        <v>ENTRADA</v>
      </c>
      <c r="C184" t="str">
        <f t="shared" si="65"/>
        <v>NFSE</v>
      </c>
      <c r="D184" t="str">
        <f t="shared" si="62"/>
        <v>3950</v>
      </c>
      <c r="E184" t="str">
        <f t="shared" si="66"/>
        <v>1</v>
      </c>
      <c r="F184" t="str">
        <f t="shared" si="67"/>
        <v>COM</v>
      </c>
      <c r="G184" t="str">
        <f t="shared" si="63"/>
        <v>PENSE FARMA 08 (10217)</v>
      </c>
      <c r="H184" t="s">
        <v>78</v>
      </c>
      <c r="I184" t="str">
        <f t="shared" si="68"/>
        <v>03/12/2025</v>
      </c>
      <c r="J184" t="str">
        <f t="shared" si="69"/>
        <v>01/12/2025</v>
      </c>
      <c r="K184">
        <v>45995</v>
      </c>
      <c r="N184">
        <v>303</v>
      </c>
      <c r="O184" t="s">
        <v>30</v>
      </c>
      <c r="Q184">
        <v>117.9</v>
      </c>
      <c r="R184" t="str">
        <f>"PENSE FARMA 41 (10229)"</f>
        <v>PENSE FARMA 41 (10229)</v>
      </c>
      <c r="S184" t="s">
        <v>31</v>
      </c>
      <c r="T184">
        <v>3775</v>
      </c>
      <c r="U184">
        <v>2864</v>
      </c>
      <c r="V184" t="s">
        <v>36</v>
      </c>
    </row>
    <row r="185" spans="1:22">
      <c r="A185" t="str">
        <f t="shared" si="61"/>
        <v>04/12/2025</v>
      </c>
      <c r="B185" t="str">
        <f t="shared" si="64"/>
        <v>ENTRADA</v>
      </c>
      <c r="C185" t="str">
        <f t="shared" si="65"/>
        <v>NFSE</v>
      </c>
      <c r="D185" t="str">
        <f t="shared" si="62"/>
        <v>3950</v>
      </c>
      <c r="E185" t="str">
        <f t="shared" si="66"/>
        <v>1</v>
      </c>
      <c r="F185" t="str">
        <f t="shared" si="67"/>
        <v>COM</v>
      </c>
      <c r="G185" t="str">
        <f t="shared" si="63"/>
        <v>PENSE FARMA 08 (10217)</v>
      </c>
      <c r="H185" t="s">
        <v>78</v>
      </c>
      <c r="I185" t="str">
        <f t="shared" si="68"/>
        <v>03/12/2025</v>
      </c>
      <c r="J185" t="str">
        <f t="shared" si="69"/>
        <v>01/12/2025</v>
      </c>
      <c r="K185">
        <v>45995</v>
      </c>
      <c r="N185">
        <v>303</v>
      </c>
      <c r="O185" t="s">
        <v>30</v>
      </c>
      <c r="Q185">
        <v>117.9</v>
      </c>
      <c r="R185" t="str">
        <f>"PENSE FARMA 42 (10230)"</f>
        <v>PENSE FARMA 42 (10230)</v>
      </c>
      <c r="S185" t="s">
        <v>31</v>
      </c>
      <c r="T185">
        <v>3775</v>
      </c>
      <c r="U185">
        <v>2864</v>
      </c>
      <c r="V185" t="s">
        <v>36</v>
      </c>
    </row>
    <row r="186" spans="1:22">
      <c r="A186" t="str">
        <f t="shared" si="61"/>
        <v>04/12/2025</v>
      </c>
      <c r="B186" t="str">
        <f t="shared" si="64"/>
        <v>ENTRADA</v>
      </c>
      <c r="C186" t="str">
        <f t="shared" si="65"/>
        <v>NFSE</v>
      </c>
      <c r="D186" t="str">
        <f t="shared" si="62"/>
        <v>3950</v>
      </c>
      <c r="E186" t="str">
        <f t="shared" si="66"/>
        <v>1</v>
      </c>
      <c r="F186" t="str">
        <f t="shared" si="67"/>
        <v>COM</v>
      </c>
      <c r="G186" t="str">
        <f t="shared" si="63"/>
        <v>PENSE FARMA 08 (10217)</v>
      </c>
      <c r="H186" t="s">
        <v>78</v>
      </c>
      <c r="I186" t="str">
        <f t="shared" si="68"/>
        <v>03/12/2025</v>
      </c>
      <c r="J186" t="str">
        <f t="shared" si="69"/>
        <v>01/12/2025</v>
      </c>
      <c r="K186">
        <v>45995</v>
      </c>
      <c r="N186">
        <v>303</v>
      </c>
      <c r="O186" t="s">
        <v>30</v>
      </c>
      <c r="Q186">
        <v>117.9</v>
      </c>
      <c r="R186" t="str">
        <f>"PENSE FARMA 52 (10236)"</f>
        <v>PENSE FARMA 52 (10236)</v>
      </c>
      <c r="S186" t="s">
        <v>31</v>
      </c>
      <c r="T186">
        <v>3775</v>
      </c>
      <c r="U186">
        <v>2864</v>
      </c>
      <c r="V186" t="s">
        <v>36</v>
      </c>
    </row>
    <row r="187" spans="1:22">
      <c r="A187" t="str">
        <f t="shared" si="61"/>
        <v>04/12/2025</v>
      </c>
      <c r="B187" t="str">
        <f t="shared" si="64"/>
        <v>ENTRADA</v>
      </c>
      <c r="C187" t="str">
        <f t="shared" si="65"/>
        <v>NFSE</v>
      </c>
      <c r="D187" t="str">
        <f>"3951"</f>
        <v>3951</v>
      </c>
      <c r="E187" t="str">
        <f t="shared" si="66"/>
        <v>1</v>
      </c>
      <c r="F187" t="str">
        <f t="shared" si="67"/>
        <v>COM</v>
      </c>
      <c r="G187" t="str">
        <f>"PENSE FARMA 09 (10218)"</f>
        <v>PENSE FARMA 09 (10218)</v>
      </c>
      <c r="H187" t="str">
        <f>"Serv.Prest. 24/11/2025 a 30/11/2025 - RPS: 1713 - NFSe: 3951"</f>
        <v>Serv.Prest. 24/11/2025 a 30/11/2025 - RPS: 1713 - NFSe: 3951</v>
      </c>
      <c r="I187" t="str">
        <f t="shared" si="68"/>
        <v>03/12/2025</v>
      </c>
      <c r="J187" t="str">
        <f t="shared" si="69"/>
        <v>01/12/2025</v>
      </c>
      <c r="K187" t="str">
        <f>("04/12/2025")</f>
        <v>04/12/2025</v>
      </c>
      <c r="L187">
        <v>336.54</v>
      </c>
      <c r="M187">
        <v>336.54</v>
      </c>
      <c r="N187">
        <v>303</v>
      </c>
      <c r="O187" t="str">
        <f>"RECEITAS COM ENTREGAS"</f>
        <v>RECEITAS COM ENTREGAS</v>
      </c>
      <c r="P187">
        <v>336.54</v>
      </c>
      <c r="S187" t="str">
        <f>"RECEITAS COM ENTREGAS (303)"</f>
        <v>RECEITAS COM ENTREGAS (303)</v>
      </c>
      <c r="T187">
        <v>3776</v>
      </c>
      <c r="U187">
        <v>2865</v>
      </c>
      <c r="V187" t="s">
        <v>36</v>
      </c>
    </row>
    <row r="188" spans="1:22">
      <c r="A188" t="str">
        <f t="shared" si="61"/>
        <v>04/12/2025</v>
      </c>
      <c r="B188" t="str">
        <f t="shared" si="64"/>
        <v>ENTRADA</v>
      </c>
      <c r="C188" t="str">
        <f t="shared" si="65"/>
        <v>NFSE</v>
      </c>
      <c r="D188" t="str">
        <f>"3951"</f>
        <v>3951</v>
      </c>
      <c r="E188" t="str">
        <f t="shared" si="66"/>
        <v>1</v>
      </c>
      <c r="F188" t="str">
        <f t="shared" si="67"/>
        <v>COM</v>
      </c>
      <c r="G188" t="str">
        <f>"PENSE FARMA 09 (10218)"</f>
        <v>PENSE FARMA 09 (10218)</v>
      </c>
      <c r="H188" t="s">
        <v>79</v>
      </c>
      <c r="I188" t="str">
        <f t="shared" si="68"/>
        <v>03/12/2025</v>
      </c>
      <c r="J188" t="str">
        <f t="shared" si="69"/>
        <v>01/12/2025</v>
      </c>
      <c r="K188">
        <v>45995</v>
      </c>
      <c r="N188">
        <v>303</v>
      </c>
      <c r="O188" t="s">
        <v>30</v>
      </c>
      <c r="Q188">
        <v>168.27</v>
      </c>
      <c r="R188" t="str">
        <f>"PENSE FARMA 09 (10218)"</f>
        <v>PENSE FARMA 09 (10218)</v>
      </c>
      <c r="S188" t="s">
        <v>31</v>
      </c>
      <c r="T188">
        <v>3776</v>
      </c>
      <c r="U188">
        <v>2865</v>
      </c>
      <c r="V188" t="s">
        <v>36</v>
      </c>
    </row>
    <row r="189" spans="1:22">
      <c r="A189" t="str">
        <f t="shared" si="61"/>
        <v>04/12/2025</v>
      </c>
      <c r="B189" t="str">
        <f t="shared" si="64"/>
        <v>ENTRADA</v>
      </c>
      <c r="C189" t="str">
        <f t="shared" si="65"/>
        <v>NFSE</v>
      </c>
      <c r="D189" t="str">
        <f>"3951"</f>
        <v>3951</v>
      </c>
      <c r="E189" t="str">
        <f t="shared" si="66"/>
        <v>1</v>
      </c>
      <c r="F189" t="str">
        <f t="shared" si="67"/>
        <v>COM</v>
      </c>
      <c r="G189" t="str">
        <f>"PENSE FARMA 09 (10218)"</f>
        <v>PENSE FARMA 09 (10218)</v>
      </c>
      <c r="H189" t="s">
        <v>79</v>
      </c>
      <c r="I189" t="str">
        <f t="shared" si="68"/>
        <v>03/12/2025</v>
      </c>
      <c r="J189" t="str">
        <f t="shared" si="69"/>
        <v>01/12/2025</v>
      </c>
      <c r="K189">
        <v>45995</v>
      </c>
      <c r="N189">
        <v>303</v>
      </c>
      <c r="O189" t="s">
        <v>30</v>
      </c>
      <c r="Q189">
        <v>168.27</v>
      </c>
      <c r="R189" t="str">
        <f>"PENSE FARMA 10 (10219)"</f>
        <v>PENSE FARMA 10 (10219)</v>
      </c>
      <c r="S189" t="s">
        <v>31</v>
      </c>
      <c r="T189">
        <v>3776</v>
      </c>
      <c r="U189">
        <v>2865</v>
      </c>
      <c r="V189" t="s">
        <v>36</v>
      </c>
    </row>
    <row r="190" spans="1:22">
      <c r="A190" t="str">
        <f t="shared" si="61"/>
        <v>04/12/2025</v>
      </c>
      <c r="B190" t="str">
        <f t="shared" si="64"/>
        <v>ENTRADA</v>
      </c>
      <c r="C190" t="str">
        <f t="shared" si="65"/>
        <v>NFSE</v>
      </c>
      <c r="D190" t="str">
        <f>"3952"</f>
        <v>3952</v>
      </c>
      <c r="E190" t="str">
        <f t="shared" si="66"/>
        <v>1</v>
      </c>
      <c r="F190" t="str">
        <f t="shared" si="67"/>
        <v>COM</v>
      </c>
      <c r="G190" t="str">
        <f>"PENSE FARMA 46 (10194)"</f>
        <v>PENSE FARMA 46 (10194)</v>
      </c>
      <c r="H190" t="str">
        <f>"Serv.Prest. 24/11/2025 a 30/11/2025 - RPS: 1714 - NFSe: 3952"</f>
        <v>Serv.Prest. 24/11/2025 a 30/11/2025 - RPS: 1714 - NFSe: 3952</v>
      </c>
      <c r="I190" t="str">
        <f t="shared" si="68"/>
        <v>03/12/2025</v>
      </c>
      <c r="J190" t="str">
        <f t="shared" si="69"/>
        <v>01/12/2025</v>
      </c>
      <c r="K190" t="str">
        <f>("04/12/2025")</f>
        <v>04/12/2025</v>
      </c>
      <c r="L190">
        <v>342</v>
      </c>
      <c r="M190">
        <v>342</v>
      </c>
      <c r="N190">
        <v>303</v>
      </c>
      <c r="O190" t="str">
        <f>"RECEITAS COM ENTREGAS"</f>
        <v>RECEITAS COM ENTREGAS</v>
      </c>
      <c r="P190">
        <v>342</v>
      </c>
      <c r="S190" t="str">
        <f>"RECEITAS COM ENTREGAS (303)"</f>
        <v>RECEITAS COM ENTREGAS (303)</v>
      </c>
      <c r="T190">
        <v>3777</v>
      </c>
      <c r="U190">
        <v>2866</v>
      </c>
      <c r="V190" t="s">
        <v>36</v>
      </c>
    </row>
    <row r="191" spans="1:22">
      <c r="A191" t="str">
        <f t="shared" si="61"/>
        <v>04/12/2025</v>
      </c>
      <c r="B191" t="str">
        <f t="shared" si="64"/>
        <v>ENTRADA</v>
      </c>
      <c r="C191" t="str">
        <f t="shared" si="65"/>
        <v>NFSE</v>
      </c>
      <c r="D191" t="str">
        <f>"3952"</f>
        <v>3952</v>
      </c>
      <c r="E191" t="str">
        <f t="shared" si="66"/>
        <v>1</v>
      </c>
      <c r="F191" t="str">
        <f t="shared" si="67"/>
        <v>COM</v>
      </c>
      <c r="G191" t="str">
        <f>"PENSE FARMA 46 (10194)"</f>
        <v>PENSE FARMA 46 (10194)</v>
      </c>
      <c r="H191" t="s">
        <v>80</v>
      </c>
      <c r="I191" t="str">
        <f t="shared" si="68"/>
        <v>03/12/2025</v>
      </c>
      <c r="J191" t="str">
        <f t="shared" si="69"/>
        <v>01/12/2025</v>
      </c>
      <c r="K191">
        <v>45995</v>
      </c>
      <c r="N191">
        <v>303</v>
      </c>
      <c r="O191" t="s">
        <v>30</v>
      </c>
      <c r="Q191">
        <v>342</v>
      </c>
      <c r="R191" t="str">
        <f>"PENSE FARMA 46 (10194)"</f>
        <v>PENSE FARMA 46 (10194)</v>
      </c>
      <c r="S191" t="s">
        <v>31</v>
      </c>
      <c r="T191">
        <v>3777</v>
      </c>
      <c r="U191">
        <v>2866</v>
      </c>
      <c r="V191" t="s">
        <v>36</v>
      </c>
    </row>
    <row r="192" spans="1:22">
      <c r="A192" t="str">
        <f t="shared" si="61"/>
        <v>04/12/2025</v>
      </c>
      <c r="B192" t="str">
        <f t="shared" si="64"/>
        <v>ENTRADA</v>
      </c>
      <c r="C192" t="str">
        <f t="shared" si="65"/>
        <v>NFSE</v>
      </c>
      <c r="D192" t="str">
        <f t="shared" ref="D192:D198" si="70">"3953"</f>
        <v>3953</v>
      </c>
      <c r="E192" t="str">
        <f t="shared" si="66"/>
        <v>1</v>
      </c>
      <c r="F192" t="str">
        <f t="shared" si="67"/>
        <v>COM</v>
      </c>
      <c r="G192" t="str">
        <f t="shared" ref="G192:G198" si="71">"PENSE FARMA 36 (10206)"</f>
        <v>PENSE FARMA 36 (10206)</v>
      </c>
      <c r="H192" t="str">
        <f>"Serv.Prest. 24/11/2025 a 30/11/2025 - RPS: 1715 - NFSe: 3953"</f>
        <v>Serv.Prest. 24/11/2025 a 30/11/2025 - RPS: 1715 - NFSe: 3953</v>
      </c>
      <c r="I192" t="str">
        <f t="shared" si="68"/>
        <v>03/12/2025</v>
      </c>
      <c r="J192" t="str">
        <f t="shared" si="69"/>
        <v>01/12/2025</v>
      </c>
      <c r="K192" t="str">
        <f>("04/12/2025")</f>
        <v>04/12/2025</v>
      </c>
      <c r="L192">
        <v>894.35</v>
      </c>
      <c r="M192">
        <v>894.35</v>
      </c>
      <c r="N192">
        <v>303</v>
      </c>
      <c r="O192" t="str">
        <f>"RECEITAS COM ENTREGAS"</f>
        <v>RECEITAS COM ENTREGAS</v>
      </c>
      <c r="P192">
        <v>894.35</v>
      </c>
      <c r="S192" t="str">
        <f>"RECEITAS COM ENTREGAS (303)"</f>
        <v>RECEITAS COM ENTREGAS (303)</v>
      </c>
      <c r="T192">
        <v>3778</v>
      </c>
      <c r="U192">
        <v>2867</v>
      </c>
      <c r="V192" t="s">
        <v>36</v>
      </c>
    </row>
    <row r="193" spans="1:22">
      <c r="A193" t="str">
        <f t="shared" si="61"/>
        <v>04/12/2025</v>
      </c>
      <c r="B193" t="str">
        <f t="shared" si="64"/>
        <v>ENTRADA</v>
      </c>
      <c r="C193" t="str">
        <f t="shared" si="65"/>
        <v>NFSE</v>
      </c>
      <c r="D193" t="str">
        <f t="shared" si="70"/>
        <v>3953</v>
      </c>
      <c r="E193" t="str">
        <f t="shared" si="66"/>
        <v>1</v>
      </c>
      <c r="F193" t="str">
        <f t="shared" si="67"/>
        <v>COM</v>
      </c>
      <c r="G193" t="str">
        <f t="shared" si="71"/>
        <v>PENSE FARMA 36 (10206)</v>
      </c>
      <c r="H193" t="s">
        <v>81</v>
      </c>
      <c r="I193" t="str">
        <f t="shared" si="68"/>
        <v>03/12/2025</v>
      </c>
      <c r="J193" t="str">
        <f t="shared" si="69"/>
        <v>01/12/2025</v>
      </c>
      <c r="K193">
        <v>45995</v>
      </c>
      <c r="N193">
        <v>303</v>
      </c>
      <c r="O193" t="s">
        <v>30</v>
      </c>
      <c r="Q193">
        <v>148.30000000000001</v>
      </c>
      <c r="R193" t="str">
        <f>"PENSE FARMA 20 (10203)"</f>
        <v>PENSE FARMA 20 (10203)</v>
      </c>
      <c r="S193" t="s">
        <v>31</v>
      </c>
      <c r="T193">
        <v>3778</v>
      </c>
      <c r="U193">
        <v>2867</v>
      </c>
      <c r="V193" t="s">
        <v>36</v>
      </c>
    </row>
    <row r="194" spans="1:22">
      <c r="A194" t="str">
        <f t="shared" si="61"/>
        <v>04/12/2025</v>
      </c>
      <c r="B194" t="str">
        <f t="shared" si="64"/>
        <v>ENTRADA</v>
      </c>
      <c r="C194" t="str">
        <f t="shared" si="65"/>
        <v>NFSE</v>
      </c>
      <c r="D194" t="str">
        <f t="shared" si="70"/>
        <v>3953</v>
      </c>
      <c r="E194" t="str">
        <f t="shared" si="66"/>
        <v>1</v>
      </c>
      <c r="F194" t="str">
        <f t="shared" si="67"/>
        <v>COM</v>
      </c>
      <c r="G194" t="str">
        <f t="shared" si="71"/>
        <v>PENSE FARMA 36 (10206)</v>
      </c>
      <c r="H194" t="s">
        <v>81</v>
      </c>
      <c r="I194" t="str">
        <f t="shared" si="68"/>
        <v>03/12/2025</v>
      </c>
      <c r="J194" t="str">
        <f t="shared" si="69"/>
        <v>01/12/2025</v>
      </c>
      <c r="K194">
        <v>45995</v>
      </c>
      <c r="N194">
        <v>303</v>
      </c>
      <c r="O194" t="s">
        <v>30</v>
      </c>
      <c r="Q194">
        <v>148.28</v>
      </c>
      <c r="R194" t="str">
        <f>"PENSE FARMA 36 (10206)"</f>
        <v>PENSE FARMA 36 (10206)</v>
      </c>
      <c r="S194" t="s">
        <v>31</v>
      </c>
      <c r="T194">
        <v>3778</v>
      </c>
      <c r="U194">
        <v>2867</v>
      </c>
      <c r="V194" t="s">
        <v>36</v>
      </c>
    </row>
    <row r="195" spans="1:22">
      <c r="A195" t="str">
        <f t="shared" si="61"/>
        <v>04/12/2025</v>
      </c>
      <c r="B195" t="str">
        <f t="shared" si="64"/>
        <v>ENTRADA</v>
      </c>
      <c r="C195" t="str">
        <f t="shared" si="65"/>
        <v>NFSE</v>
      </c>
      <c r="D195" t="str">
        <f t="shared" si="70"/>
        <v>3953</v>
      </c>
      <c r="E195" t="str">
        <f t="shared" si="66"/>
        <v>1</v>
      </c>
      <c r="F195" t="str">
        <f t="shared" si="67"/>
        <v>COM</v>
      </c>
      <c r="G195" t="str">
        <f t="shared" si="71"/>
        <v>PENSE FARMA 36 (10206)</v>
      </c>
      <c r="H195" t="s">
        <v>81</v>
      </c>
      <c r="I195" t="str">
        <f t="shared" si="68"/>
        <v>03/12/2025</v>
      </c>
      <c r="J195" t="str">
        <f t="shared" si="69"/>
        <v>01/12/2025</v>
      </c>
      <c r="K195">
        <v>45995</v>
      </c>
      <c r="N195">
        <v>303</v>
      </c>
      <c r="O195" t="s">
        <v>30</v>
      </c>
      <c r="Q195">
        <v>148.28</v>
      </c>
      <c r="R195" t="str">
        <f>"PENSE FARMA 40 (10207)"</f>
        <v>PENSE FARMA 40 (10207)</v>
      </c>
      <c r="S195" t="s">
        <v>31</v>
      </c>
      <c r="T195">
        <v>3778</v>
      </c>
      <c r="U195">
        <v>2867</v>
      </c>
      <c r="V195" t="s">
        <v>36</v>
      </c>
    </row>
    <row r="196" spans="1:22">
      <c r="A196" t="str">
        <f t="shared" si="61"/>
        <v>04/12/2025</v>
      </c>
      <c r="B196" t="str">
        <f t="shared" si="64"/>
        <v>ENTRADA</v>
      </c>
      <c r="C196" t="str">
        <f t="shared" si="65"/>
        <v>NFSE</v>
      </c>
      <c r="D196" t="str">
        <f t="shared" si="70"/>
        <v>3953</v>
      </c>
      <c r="E196" t="str">
        <f t="shared" si="66"/>
        <v>1</v>
      </c>
      <c r="F196" t="str">
        <f t="shared" si="67"/>
        <v>COM</v>
      </c>
      <c r="G196" t="str">
        <f t="shared" si="71"/>
        <v>PENSE FARMA 36 (10206)</v>
      </c>
      <c r="H196" t="s">
        <v>81</v>
      </c>
      <c r="I196" t="str">
        <f t="shared" si="68"/>
        <v>03/12/2025</v>
      </c>
      <c r="J196" t="str">
        <f t="shared" si="69"/>
        <v>01/12/2025</v>
      </c>
      <c r="K196">
        <v>45995</v>
      </c>
      <c r="N196">
        <v>303</v>
      </c>
      <c r="O196" t="s">
        <v>30</v>
      </c>
      <c r="Q196">
        <v>148.28</v>
      </c>
      <c r="R196" t="str">
        <f>"PENSE FARMA 43 (10208)"</f>
        <v>PENSE FARMA 43 (10208)</v>
      </c>
      <c r="S196" t="s">
        <v>31</v>
      </c>
      <c r="T196">
        <v>3778</v>
      </c>
      <c r="U196">
        <v>2867</v>
      </c>
      <c r="V196" t="s">
        <v>36</v>
      </c>
    </row>
    <row r="197" spans="1:22">
      <c r="A197" t="str">
        <f t="shared" si="61"/>
        <v>04/12/2025</v>
      </c>
      <c r="B197" t="str">
        <f t="shared" si="64"/>
        <v>ENTRADA</v>
      </c>
      <c r="C197" t="str">
        <f t="shared" si="65"/>
        <v>NFSE</v>
      </c>
      <c r="D197" t="str">
        <f t="shared" si="70"/>
        <v>3953</v>
      </c>
      <c r="E197" t="str">
        <f t="shared" si="66"/>
        <v>1</v>
      </c>
      <c r="F197" t="str">
        <f t="shared" si="67"/>
        <v>COM</v>
      </c>
      <c r="G197" t="str">
        <f t="shared" si="71"/>
        <v>PENSE FARMA 36 (10206)</v>
      </c>
      <c r="H197" t="s">
        <v>81</v>
      </c>
      <c r="I197" t="str">
        <f t="shared" si="68"/>
        <v>03/12/2025</v>
      </c>
      <c r="J197" t="str">
        <f t="shared" si="69"/>
        <v>01/12/2025</v>
      </c>
      <c r="K197">
        <v>45995</v>
      </c>
      <c r="N197">
        <v>303</v>
      </c>
      <c r="O197" t="s">
        <v>30</v>
      </c>
      <c r="Q197">
        <v>148.28</v>
      </c>
      <c r="R197" t="str">
        <f>"PENSE FARMA 59 (10211)"</f>
        <v>PENSE FARMA 59 (10211)</v>
      </c>
      <c r="S197" t="s">
        <v>31</v>
      </c>
      <c r="T197">
        <v>3778</v>
      </c>
      <c r="U197">
        <v>2867</v>
      </c>
      <c r="V197" t="s">
        <v>36</v>
      </c>
    </row>
    <row r="198" spans="1:22">
      <c r="A198" t="str">
        <f t="shared" ref="A198:A222" si="72">("04/12/2025")</f>
        <v>04/12/2025</v>
      </c>
      <c r="B198" t="str">
        <f t="shared" si="64"/>
        <v>ENTRADA</v>
      </c>
      <c r="C198" t="str">
        <f t="shared" si="65"/>
        <v>NFSE</v>
      </c>
      <c r="D198" t="str">
        <f t="shared" si="70"/>
        <v>3953</v>
      </c>
      <c r="E198" t="str">
        <f t="shared" si="66"/>
        <v>1</v>
      </c>
      <c r="F198" t="str">
        <f t="shared" si="67"/>
        <v>COM</v>
      </c>
      <c r="G198" t="str">
        <f t="shared" si="71"/>
        <v>PENSE FARMA 36 (10206)</v>
      </c>
      <c r="H198" t="s">
        <v>81</v>
      </c>
      <c r="I198" t="str">
        <f t="shared" si="68"/>
        <v>03/12/2025</v>
      </c>
      <c r="J198" t="str">
        <f t="shared" si="69"/>
        <v>01/12/2025</v>
      </c>
      <c r="K198">
        <v>45995</v>
      </c>
      <c r="N198">
        <v>303</v>
      </c>
      <c r="O198" t="s">
        <v>30</v>
      </c>
      <c r="Q198">
        <v>152.93</v>
      </c>
      <c r="R198" t="str">
        <f>"PENSE FARMA DARK STORE 361 (10212)"</f>
        <v>PENSE FARMA DARK STORE 361 (10212)</v>
      </c>
      <c r="S198" t="s">
        <v>31</v>
      </c>
      <c r="T198">
        <v>3778</v>
      </c>
      <c r="U198">
        <v>2867</v>
      </c>
      <c r="V198" t="s">
        <v>36</v>
      </c>
    </row>
    <row r="199" spans="1:22">
      <c r="A199" t="str">
        <f t="shared" si="72"/>
        <v>04/12/2025</v>
      </c>
      <c r="B199" t="str">
        <f t="shared" si="64"/>
        <v>ENTRADA</v>
      </c>
      <c r="C199" t="str">
        <f t="shared" si="65"/>
        <v>NFSE</v>
      </c>
      <c r="D199" t="str">
        <f>"3954"</f>
        <v>3954</v>
      </c>
      <c r="E199" t="str">
        <f t="shared" si="66"/>
        <v>1</v>
      </c>
      <c r="F199" t="str">
        <f t="shared" si="67"/>
        <v>COM</v>
      </c>
      <c r="G199" t="str">
        <f>"PENSE FARMA 27 (10204)"</f>
        <v>PENSE FARMA 27 (10204)</v>
      </c>
      <c r="H199" t="str">
        <f>"Serv.Prest. 24/11/2025 a 30/11/2025 - RPS: 1716 - NFSe: 3954"</f>
        <v>Serv.Prest. 24/11/2025 a 30/11/2025 - RPS: 1716 - NFSe: 3954</v>
      </c>
      <c r="I199" t="str">
        <f t="shared" si="68"/>
        <v>03/12/2025</v>
      </c>
      <c r="J199" t="str">
        <f t="shared" si="69"/>
        <v>01/12/2025</v>
      </c>
      <c r="K199" t="str">
        <f>("04/12/2025")</f>
        <v>04/12/2025</v>
      </c>
      <c r="L199">
        <v>577.5</v>
      </c>
      <c r="M199">
        <v>577.5</v>
      </c>
      <c r="N199">
        <v>303</v>
      </c>
      <c r="O199" t="str">
        <f>"RECEITAS COM ENTREGAS"</f>
        <v>RECEITAS COM ENTREGAS</v>
      </c>
      <c r="P199">
        <v>577.5</v>
      </c>
      <c r="S199" t="str">
        <f>"RECEITAS COM ENTREGAS (303)"</f>
        <v>RECEITAS COM ENTREGAS (303)</v>
      </c>
      <c r="T199">
        <v>3779</v>
      </c>
      <c r="U199">
        <v>2868</v>
      </c>
      <c r="V199" t="s">
        <v>36</v>
      </c>
    </row>
    <row r="200" spans="1:22">
      <c r="A200" t="str">
        <f t="shared" si="72"/>
        <v>04/12/2025</v>
      </c>
      <c r="B200" t="str">
        <f t="shared" si="64"/>
        <v>ENTRADA</v>
      </c>
      <c r="C200" t="str">
        <f t="shared" si="65"/>
        <v>NFSE</v>
      </c>
      <c r="D200" t="str">
        <f>"3954"</f>
        <v>3954</v>
      </c>
      <c r="E200" t="str">
        <f t="shared" si="66"/>
        <v>1</v>
      </c>
      <c r="F200" t="str">
        <f t="shared" si="67"/>
        <v>COM</v>
      </c>
      <c r="G200" t="str">
        <f>"PENSE FARMA 27 (10204)"</f>
        <v>PENSE FARMA 27 (10204)</v>
      </c>
      <c r="H200" t="s">
        <v>82</v>
      </c>
      <c r="I200" t="str">
        <f t="shared" si="68"/>
        <v>03/12/2025</v>
      </c>
      <c r="J200" t="str">
        <f t="shared" si="69"/>
        <v>01/12/2025</v>
      </c>
      <c r="K200">
        <v>45995</v>
      </c>
      <c r="N200">
        <v>303</v>
      </c>
      <c r="O200" t="s">
        <v>30</v>
      </c>
      <c r="Q200">
        <v>192.14</v>
      </c>
      <c r="R200" t="str">
        <f>"PENSE FARMA 05 (10200)"</f>
        <v>PENSE FARMA 05 (10200)</v>
      </c>
      <c r="S200" t="s">
        <v>31</v>
      </c>
      <c r="T200">
        <v>3779</v>
      </c>
      <c r="U200">
        <v>2868</v>
      </c>
      <c r="V200" t="s">
        <v>36</v>
      </c>
    </row>
    <row r="201" spans="1:22">
      <c r="A201" t="str">
        <f t="shared" si="72"/>
        <v>04/12/2025</v>
      </c>
      <c r="B201" t="str">
        <f t="shared" si="64"/>
        <v>ENTRADA</v>
      </c>
      <c r="C201" t="str">
        <f t="shared" si="65"/>
        <v>NFSE</v>
      </c>
      <c r="D201" t="str">
        <f>"3954"</f>
        <v>3954</v>
      </c>
      <c r="E201" t="str">
        <f t="shared" si="66"/>
        <v>1</v>
      </c>
      <c r="F201" t="str">
        <f t="shared" si="67"/>
        <v>COM</v>
      </c>
      <c r="G201" t="str">
        <f>"PENSE FARMA 27 (10204)"</f>
        <v>PENSE FARMA 27 (10204)</v>
      </c>
      <c r="H201" t="s">
        <v>82</v>
      </c>
      <c r="I201" t="str">
        <f t="shared" si="68"/>
        <v>03/12/2025</v>
      </c>
      <c r="J201" t="str">
        <f t="shared" si="69"/>
        <v>01/12/2025</v>
      </c>
      <c r="K201">
        <v>45995</v>
      </c>
      <c r="N201">
        <v>303</v>
      </c>
      <c r="O201" t="s">
        <v>30</v>
      </c>
      <c r="Q201">
        <v>192.13</v>
      </c>
      <c r="R201" t="str">
        <f>"PENSE FARMA 13 (10202)"</f>
        <v>PENSE FARMA 13 (10202)</v>
      </c>
      <c r="S201" t="s">
        <v>31</v>
      </c>
      <c r="T201">
        <v>3779</v>
      </c>
      <c r="U201">
        <v>2868</v>
      </c>
      <c r="V201" t="s">
        <v>36</v>
      </c>
    </row>
    <row r="202" spans="1:22">
      <c r="A202" t="str">
        <f t="shared" si="72"/>
        <v>04/12/2025</v>
      </c>
      <c r="B202" t="str">
        <f t="shared" si="64"/>
        <v>ENTRADA</v>
      </c>
      <c r="C202" t="str">
        <f t="shared" si="65"/>
        <v>NFSE</v>
      </c>
      <c r="D202" t="str">
        <f>"3954"</f>
        <v>3954</v>
      </c>
      <c r="E202" t="str">
        <f t="shared" si="66"/>
        <v>1</v>
      </c>
      <c r="F202" t="str">
        <f t="shared" si="67"/>
        <v>COM</v>
      </c>
      <c r="G202" t="str">
        <f>"PENSE FARMA 27 (10204)"</f>
        <v>PENSE FARMA 27 (10204)</v>
      </c>
      <c r="H202" t="s">
        <v>82</v>
      </c>
      <c r="I202" t="str">
        <f t="shared" si="68"/>
        <v>03/12/2025</v>
      </c>
      <c r="J202" t="str">
        <f t="shared" si="69"/>
        <v>01/12/2025</v>
      </c>
      <c r="K202">
        <v>45995</v>
      </c>
      <c r="N202">
        <v>303</v>
      </c>
      <c r="O202" t="s">
        <v>30</v>
      </c>
      <c r="Q202">
        <v>193.23</v>
      </c>
      <c r="R202" t="str">
        <f>"PENSE FARMA 27 (10204)"</f>
        <v>PENSE FARMA 27 (10204)</v>
      </c>
      <c r="S202" t="s">
        <v>31</v>
      </c>
      <c r="T202">
        <v>3779</v>
      </c>
      <c r="U202">
        <v>2868</v>
      </c>
      <c r="V202" t="s">
        <v>36</v>
      </c>
    </row>
    <row r="203" spans="1:22">
      <c r="A203" t="str">
        <f t="shared" si="72"/>
        <v>04/12/2025</v>
      </c>
      <c r="B203" t="str">
        <f t="shared" si="64"/>
        <v>ENTRADA</v>
      </c>
      <c r="C203" t="str">
        <f t="shared" si="65"/>
        <v>NFSE</v>
      </c>
      <c r="D203" t="str">
        <f>"3955"</f>
        <v>3955</v>
      </c>
      <c r="E203" t="str">
        <f t="shared" si="66"/>
        <v>1</v>
      </c>
      <c r="F203" t="str">
        <f t="shared" si="67"/>
        <v>COM</v>
      </c>
      <c r="G203" t="str">
        <f>"PENSE FARMA 07 (10201)"</f>
        <v>PENSE FARMA 07 (10201)</v>
      </c>
      <c r="H203" t="str">
        <f>"Serv.Prest. 24/11/2025 a 30/11/2025 - RPS: 1717 - NFSe: 3955"</f>
        <v>Serv.Prest. 24/11/2025 a 30/11/2025 - RPS: 1717 - NFSe: 3955</v>
      </c>
      <c r="I203" t="str">
        <f t="shared" si="68"/>
        <v>03/12/2025</v>
      </c>
      <c r="J203" t="str">
        <f t="shared" si="69"/>
        <v>01/12/2025</v>
      </c>
      <c r="K203" t="str">
        <f>("04/12/2025")</f>
        <v>04/12/2025</v>
      </c>
      <c r="L203">
        <v>309.75</v>
      </c>
      <c r="M203">
        <v>309.75</v>
      </c>
      <c r="N203">
        <v>303</v>
      </c>
      <c r="O203" t="str">
        <f>"RECEITAS COM ENTREGAS"</f>
        <v>RECEITAS COM ENTREGAS</v>
      </c>
      <c r="P203">
        <v>309.75</v>
      </c>
      <c r="S203" t="str">
        <f>"RECEITAS COM ENTREGAS (303)"</f>
        <v>RECEITAS COM ENTREGAS (303)</v>
      </c>
      <c r="T203">
        <v>3780</v>
      </c>
      <c r="U203">
        <v>2869</v>
      </c>
      <c r="V203" t="s">
        <v>36</v>
      </c>
    </row>
    <row r="204" spans="1:22">
      <c r="A204" t="str">
        <f t="shared" si="72"/>
        <v>04/12/2025</v>
      </c>
      <c r="B204" t="str">
        <f t="shared" si="64"/>
        <v>ENTRADA</v>
      </c>
      <c r="C204" t="str">
        <f t="shared" si="65"/>
        <v>NFSE</v>
      </c>
      <c r="D204" t="str">
        <f>"3955"</f>
        <v>3955</v>
      </c>
      <c r="E204" t="str">
        <f t="shared" si="66"/>
        <v>1</v>
      </c>
      <c r="F204" t="str">
        <f t="shared" si="67"/>
        <v>COM</v>
      </c>
      <c r="G204" t="str">
        <f>"PENSE FARMA 07 (10201)"</f>
        <v>PENSE FARMA 07 (10201)</v>
      </c>
      <c r="H204" t="s">
        <v>83</v>
      </c>
      <c r="I204" t="str">
        <f t="shared" si="68"/>
        <v>03/12/2025</v>
      </c>
      <c r="J204" t="str">
        <f t="shared" si="69"/>
        <v>01/12/2025</v>
      </c>
      <c r="K204">
        <v>45995</v>
      </c>
      <c r="N204">
        <v>303</v>
      </c>
      <c r="O204" t="s">
        <v>30</v>
      </c>
      <c r="Q204">
        <v>102.9</v>
      </c>
      <c r="R204" t="str">
        <f>"PENSE FARMA 07 (10201)"</f>
        <v>PENSE FARMA 07 (10201)</v>
      </c>
      <c r="S204" t="s">
        <v>31</v>
      </c>
      <c r="T204">
        <v>3780</v>
      </c>
      <c r="U204">
        <v>2869</v>
      </c>
      <c r="V204" t="s">
        <v>36</v>
      </c>
    </row>
    <row r="205" spans="1:22">
      <c r="A205" t="str">
        <f t="shared" si="72"/>
        <v>04/12/2025</v>
      </c>
      <c r="B205" t="str">
        <f t="shared" si="64"/>
        <v>ENTRADA</v>
      </c>
      <c r="C205" t="str">
        <f t="shared" si="65"/>
        <v>NFSE</v>
      </c>
      <c r="D205" t="str">
        <f>"3955"</f>
        <v>3955</v>
      </c>
      <c r="E205" t="str">
        <f t="shared" si="66"/>
        <v>1</v>
      </c>
      <c r="F205" t="str">
        <f t="shared" si="67"/>
        <v>COM</v>
      </c>
      <c r="G205" t="str">
        <f>"PENSE FARMA 07 (10201)"</f>
        <v>PENSE FARMA 07 (10201)</v>
      </c>
      <c r="H205" t="s">
        <v>83</v>
      </c>
      <c r="I205" t="str">
        <f t="shared" si="68"/>
        <v>03/12/2025</v>
      </c>
      <c r="J205" t="str">
        <f t="shared" si="69"/>
        <v>01/12/2025</v>
      </c>
      <c r="K205">
        <v>45995</v>
      </c>
      <c r="N205">
        <v>303</v>
      </c>
      <c r="O205" t="s">
        <v>30</v>
      </c>
      <c r="Q205">
        <v>102.9</v>
      </c>
      <c r="R205" t="str">
        <f>"PENSE FARMA 45 (10209)"</f>
        <v>PENSE FARMA 45 (10209)</v>
      </c>
      <c r="S205" t="s">
        <v>31</v>
      </c>
      <c r="T205">
        <v>3780</v>
      </c>
      <c r="U205">
        <v>2869</v>
      </c>
      <c r="V205" t="s">
        <v>36</v>
      </c>
    </row>
    <row r="206" spans="1:22">
      <c r="A206" t="str">
        <f t="shared" si="72"/>
        <v>04/12/2025</v>
      </c>
      <c r="B206" t="str">
        <f t="shared" si="64"/>
        <v>ENTRADA</v>
      </c>
      <c r="C206" t="str">
        <f t="shared" si="65"/>
        <v>NFSE</v>
      </c>
      <c r="D206" t="str">
        <f>"3955"</f>
        <v>3955</v>
      </c>
      <c r="E206" t="str">
        <f t="shared" si="66"/>
        <v>1</v>
      </c>
      <c r="F206" t="str">
        <f t="shared" si="67"/>
        <v>COM</v>
      </c>
      <c r="G206" t="str">
        <f>"PENSE FARMA 07 (10201)"</f>
        <v>PENSE FARMA 07 (10201)</v>
      </c>
      <c r="H206" t="s">
        <v>83</v>
      </c>
      <c r="I206" t="str">
        <f t="shared" si="68"/>
        <v>03/12/2025</v>
      </c>
      <c r="J206" t="str">
        <f t="shared" si="69"/>
        <v>01/12/2025</v>
      </c>
      <c r="K206">
        <v>45995</v>
      </c>
      <c r="N206">
        <v>303</v>
      </c>
      <c r="O206" t="s">
        <v>30</v>
      </c>
      <c r="Q206">
        <v>103.95</v>
      </c>
      <c r="R206" t="str">
        <f>"PENSE FARMA 50 (10210)"</f>
        <v>PENSE FARMA 50 (10210)</v>
      </c>
      <c r="S206" t="s">
        <v>31</v>
      </c>
      <c r="T206">
        <v>3780</v>
      </c>
      <c r="U206">
        <v>2869</v>
      </c>
      <c r="V206" t="s">
        <v>36</v>
      </c>
    </row>
    <row r="207" spans="1:22">
      <c r="A207" t="str">
        <f t="shared" si="72"/>
        <v>04/12/2025</v>
      </c>
      <c r="B207" t="str">
        <f t="shared" si="64"/>
        <v>ENTRADA</v>
      </c>
      <c r="C207" t="str">
        <f t="shared" si="65"/>
        <v>NFSE</v>
      </c>
      <c r="D207" t="str">
        <f>"3956"</f>
        <v>3956</v>
      </c>
      <c r="E207" t="str">
        <f t="shared" si="66"/>
        <v>1</v>
      </c>
      <c r="F207" t="str">
        <f t="shared" si="67"/>
        <v>COM</v>
      </c>
      <c r="G207" t="str">
        <f>"PENSE FARMA 31 (10205)"</f>
        <v>PENSE FARMA 31 (10205)</v>
      </c>
      <c r="H207" t="str">
        <f>"Serv.Prest. 24/11/2025 a 30/11/2025 - RPS: 1718 - NFSe: 3956"</f>
        <v>Serv.Prest. 24/11/2025 a 30/11/2025 - RPS: 1718 - NFSe: 3956</v>
      </c>
      <c r="I207" t="str">
        <f t="shared" si="68"/>
        <v>03/12/2025</v>
      </c>
      <c r="J207" t="str">
        <f t="shared" si="69"/>
        <v>01/12/2025</v>
      </c>
      <c r="K207" t="str">
        <f>("04/12/2025")</f>
        <v>04/12/2025</v>
      </c>
      <c r="L207">
        <v>449.04</v>
      </c>
      <c r="M207">
        <v>449.04</v>
      </c>
      <c r="N207">
        <v>303</v>
      </c>
      <c r="O207" t="str">
        <f>"RECEITAS COM ENTREGAS"</f>
        <v>RECEITAS COM ENTREGAS</v>
      </c>
      <c r="P207">
        <v>449.04</v>
      </c>
      <c r="S207" t="str">
        <f>"RECEITAS COM ENTREGAS (303)"</f>
        <v>RECEITAS COM ENTREGAS (303)</v>
      </c>
      <c r="T207">
        <v>3781</v>
      </c>
      <c r="U207">
        <v>2870</v>
      </c>
      <c r="V207" t="s">
        <v>36</v>
      </c>
    </row>
    <row r="208" spans="1:22">
      <c r="A208" t="str">
        <f t="shared" si="72"/>
        <v>04/12/2025</v>
      </c>
      <c r="B208" t="str">
        <f t="shared" si="64"/>
        <v>ENTRADA</v>
      </c>
      <c r="C208" t="str">
        <f t="shared" si="65"/>
        <v>NFSE</v>
      </c>
      <c r="D208" t="str">
        <f>"3956"</f>
        <v>3956</v>
      </c>
      <c r="E208" t="str">
        <f t="shared" si="66"/>
        <v>1</v>
      </c>
      <c r="F208" t="str">
        <f t="shared" si="67"/>
        <v>COM</v>
      </c>
      <c r="G208" t="str">
        <f>"PENSE FARMA 31 (10205)"</f>
        <v>PENSE FARMA 31 (10205)</v>
      </c>
      <c r="H208" t="s">
        <v>84</v>
      </c>
      <c r="I208" t="str">
        <f t="shared" si="68"/>
        <v>03/12/2025</v>
      </c>
      <c r="J208" t="str">
        <f t="shared" si="69"/>
        <v>01/12/2025</v>
      </c>
      <c r="K208">
        <v>45995</v>
      </c>
      <c r="N208">
        <v>303</v>
      </c>
      <c r="O208" t="s">
        <v>30</v>
      </c>
      <c r="Q208">
        <v>108.18</v>
      </c>
      <c r="R208" t="str">
        <f>"PENSE FARMA 31 (10205)"</f>
        <v>PENSE FARMA 31 (10205)</v>
      </c>
      <c r="S208" t="s">
        <v>31</v>
      </c>
      <c r="T208">
        <v>3781</v>
      </c>
      <c r="U208">
        <v>2870</v>
      </c>
      <c r="V208" t="s">
        <v>36</v>
      </c>
    </row>
    <row r="209" spans="1:22">
      <c r="A209" t="str">
        <f t="shared" si="72"/>
        <v>04/12/2025</v>
      </c>
      <c r="B209" t="str">
        <f t="shared" si="64"/>
        <v>ENTRADA</v>
      </c>
      <c r="C209" t="str">
        <f t="shared" si="65"/>
        <v>NFSE</v>
      </c>
      <c r="D209" t="str">
        <f>"3956"</f>
        <v>3956</v>
      </c>
      <c r="E209" t="str">
        <f t="shared" si="66"/>
        <v>1</v>
      </c>
      <c r="F209" t="str">
        <f t="shared" si="67"/>
        <v>COM</v>
      </c>
      <c r="G209" t="str">
        <f>"PENSE FARMA 31 (10205)"</f>
        <v>PENSE FARMA 31 (10205)</v>
      </c>
      <c r="H209" t="s">
        <v>84</v>
      </c>
      <c r="I209" t="str">
        <f t="shared" si="68"/>
        <v>03/12/2025</v>
      </c>
      <c r="J209" t="str">
        <f t="shared" si="69"/>
        <v>01/12/2025</v>
      </c>
      <c r="K209">
        <v>45995</v>
      </c>
      <c r="N209">
        <v>303</v>
      </c>
      <c r="O209" t="s">
        <v>30</v>
      </c>
      <c r="Q209">
        <v>109.52</v>
      </c>
      <c r="R209" t="str">
        <f>"PENSE FARMA 16 (10221)"</f>
        <v>PENSE FARMA 16 (10221)</v>
      </c>
      <c r="S209" t="s">
        <v>31</v>
      </c>
      <c r="T209">
        <v>3781</v>
      </c>
      <c r="U209">
        <v>2870</v>
      </c>
      <c r="V209" t="s">
        <v>36</v>
      </c>
    </row>
    <row r="210" spans="1:22">
      <c r="A210" t="str">
        <f t="shared" si="72"/>
        <v>04/12/2025</v>
      </c>
      <c r="B210" t="str">
        <f t="shared" si="64"/>
        <v>ENTRADA</v>
      </c>
      <c r="C210" t="str">
        <f t="shared" si="65"/>
        <v>NFSE</v>
      </c>
      <c r="D210" t="str">
        <f>"3956"</f>
        <v>3956</v>
      </c>
      <c r="E210" t="str">
        <f t="shared" si="66"/>
        <v>1</v>
      </c>
      <c r="F210" t="str">
        <f t="shared" si="67"/>
        <v>COM</v>
      </c>
      <c r="G210" t="str">
        <f>"PENSE FARMA 31 (10205)"</f>
        <v>PENSE FARMA 31 (10205)</v>
      </c>
      <c r="H210" t="s">
        <v>84</v>
      </c>
      <c r="I210" t="str">
        <f t="shared" si="68"/>
        <v>03/12/2025</v>
      </c>
      <c r="J210" t="str">
        <f t="shared" si="69"/>
        <v>01/12/2025</v>
      </c>
      <c r="K210">
        <v>45995</v>
      </c>
      <c r="N210">
        <v>303</v>
      </c>
      <c r="O210" t="s">
        <v>30</v>
      </c>
      <c r="Q210">
        <v>108.17</v>
      </c>
      <c r="R210" t="str">
        <f>"PENSE FARMA 17 (10222)"</f>
        <v>PENSE FARMA 17 (10222)</v>
      </c>
      <c r="S210" t="s">
        <v>31</v>
      </c>
      <c r="T210">
        <v>3781</v>
      </c>
      <c r="U210">
        <v>2870</v>
      </c>
      <c r="V210" t="s">
        <v>36</v>
      </c>
    </row>
    <row r="211" spans="1:22">
      <c r="A211" t="str">
        <f t="shared" si="72"/>
        <v>04/12/2025</v>
      </c>
      <c r="B211" t="str">
        <f t="shared" si="64"/>
        <v>ENTRADA</v>
      </c>
      <c r="C211" t="str">
        <f t="shared" si="65"/>
        <v>NFSE</v>
      </c>
      <c r="D211" t="str">
        <f>"3956"</f>
        <v>3956</v>
      </c>
      <c r="E211" t="str">
        <f t="shared" si="66"/>
        <v>1</v>
      </c>
      <c r="F211" t="str">
        <f t="shared" si="67"/>
        <v>COM</v>
      </c>
      <c r="G211" t="str">
        <f>"PENSE FARMA 31 (10205)"</f>
        <v>PENSE FARMA 31 (10205)</v>
      </c>
      <c r="H211" t="s">
        <v>84</v>
      </c>
      <c r="I211" t="str">
        <f t="shared" si="68"/>
        <v>03/12/2025</v>
      </c>
      <c r="J211" t="str">
        <f t="shared" si="69"/>
        <v>01/12/2025</v>
      </c>
      <c r="K211">
        <v>45995</v>
      </c>
      <c r="N211">
        <v>303</v>
      </c>
      <c r="O211" t="s">
        <v>30</v>
      </c>
      <c r="Q211">
        <v>123.17</v>
      </c>
      <c r="R211" t="str">
        <f>"PENSE FARMA 62 (10274)"</f>
        <v>PENSE FARMA 62 (10274)</v>
      </c>
      <c r="S211" t="s">
        <v>31</v>
      </c>
      <c r="T211">
        <v>3781</v>
      </c>
      <c r="U211">
        <v>2870</v>
      </c>
      <c r="V211" t="s">
        <v>36</v>
      </c>
    </row>
    <row r="212" spans="1:22">
      <c r="A212" t="str">
        <f t="shared" si="72"/>
        <v>04/12/2025</v>
      </c>
      <c r="B212" t="str">
        <f t="shared" si="64"/>
        <v>ENTRADA</v>
      </c>
      <c r="C212" t="str">
        <f t="shared" si="65"/>
        <v>NFSE</v>
      </c>
      <c r="D212" t="str">
        <f>"3957"</f>
        <v>3957</v>
      </c>
      <c r="E212" t="str">
        <f t="shared" si="66"/>
        <v>1</v>
      </c>
      <c r="F212" t="str">
        <f t="shared" si="67"/>
        <v>COM</v>
      </c>
      <c r="G212" t="str">
        <f>"PENSE FARMA 22 (10198)"</f>
        <v>PENSE FARMA 22 (10198)</v>
      </c>
      <c r="H212" t="str">
        <f>"Serv.Prest. 24/11/2025 a 30/11/2025 - RPS: 1719 - NFSe: 3957"</f>
        <v>Serv.Prest. 24/11/2025 a 30/11/2025 - RPS: 1719 - NFSe: 3957</v>
      </c>
      <c r="I212" t="str">
        <f t="shared" si="68"/>
        <v>03/12/2025</v>
      </c>
      <c r="J212" t="str">
        <f t="shared" si="69"/>
        <v>01/12/2025</v>
      </c>
      <c r="K212" t="str">
        <f>("04/12/2025")</f>
        <v>04/12/2025</v>
      </c>
      <c r="L212">
        <v>504.67</v>
      </c>
      <c r="M212">
        <v>504.67</v>
      </c>
      <c r="N212">
        <v>303</v>
      </c>
      <c r="O212" t="str">
        <f>"RECEITAS COM ENTREGAS"</f>
        <v>RECEITAS COM ENTREGAS</v>
      </c>
      <c r="P212">
        <v>504.67</v>
      </c>
      <c r="S212" t="str">
        <f>"RECEITAS COM ENTREGAS (303)"</f>
        <v>RECEITAS COM ENTREGAS (303)</v>
      </c>
      <c r="T212">
        <v>3782</v>
      </c>
      <c r="U212">
        <v>2871</v>
      </c>
      <c r="V212" t="s">
        <v>36</v>
      </c>
    </row>
    <row r="213" spans="1:22">
      <c r="A213" t="str">
        <f t="shared" si="72"/>
        <v>04/12/2025</v>
      </c>
      <c r="B213" t="str">
        <f t="shared" si="64"/>
        <v>ENTRADA</v>
      </c>
      <c r="C213" t="str">
        <f t="shared" si="65"/>
        <v>NFSE</v>
      </c>
      <c r="D213" t="str">
        <f>"3957"</f>
        <v>3957</v>
      </c>
      <c r="E213" t="str">
        <f t="shared" si="66"/>
        <v>1</v>
      </c>
      <c r="F213" t="str">
        <f t="shared" si="67"/>
        <v>COM</v>
      </c>
      <c r="G213" t="str">
        <f>"PENSE FARMA 22 (10198)"</f>
        <v>PENSE FARMA 22 (10198)</v>
      </c>
      <c r="H213" t="s">
        <v>85</v>
      </c>
      <c r="I213" t="str">
        <f t="shared" si="68"/>
        <v>03/12/2025</v>
      </c>
      <c r="J213" t="str">
        <f t="shared" si="69"/>
        <v>01/12/2025</v>
      </c>
      <c r="K213">
        <v>45995</v>
      </c>
      <c r="N213">
        <v>303</v>
      </c>
      <c r="O213" t="s">
        <v>30</v>
      </c>
      <c r="Q213">
        <v>504.67</v>
      </c>
      <c r="R213" t="str">
        <f>"PENSE FARMA 22 (10198)"</f>
        <v>PENSE FARMA 22 (10198)</v>
      </c>
      <c r="S213" t="s">
        <v>31</v>
      </c>
      <c r="T213">
        <v>3782</v>
      </c>
      <c r="U213">
        <v>2871</v>
      </c>
      <c r="V213" t="s">
        <v>36</v>
      </c>
    </row>
    <row r="214" spans="1:22">
      <c r="A214" t="str">
        <f t="shared" si="72"/>
        <v>04/12/2025</v>
      </c>
      <c r="B214" t="str">
        <f t="shared" si="64"/>
        <v>ENTRADA</v>
      </c>
      <c r="C214" t="str">
        <f t="shared" si="65"/>
        <v>NFSE</v>
      </c>
      <c r="D214" t="str">
        <f>"3958"</f>
        <v>3958</v>
      </c>
      <c r="E214" t="str">
        <f t="shared" si="66"/>
        <v>1</v>
      </c>
      <c r="F214" t="str">
        <f t="shared" si="67"/>
        <v>COM</v>
      </c>
      <c r="G214" t="str">
        <f>"PENSE FARMA 15 (10195)"</f>
        <v>PENSE FARMA 15 (10195)</v>
      </c>
      <c r="H214" t="str">
        <f>"Serv.Prest. 24/11/2025 a 30/11/2025 - RPS: 1720 - NFSe: 3958"</f>
        <v>Serv.Prest. 24/11/2025 a 30/11/2025 - RPS: 1720 - NFSe: 3958</v>
      </c>
      <c r="I214" t="str">
        <f t="shared" si="68"/>
        <v>03/12/2025</v>
      </c>
      <c r="J214" t="str">
        <f t="shared" si="69"/>
        <v>01/12/2025</v>
      </c>
      <c r="K214" t="str">
        <f>("04/12/2025")</f>
        <v>04/12/2025</v>
      </c>
      <c r="L214">
        <v>642</v>
      </c>
      <c r="M214">
        <v>642</v>
      </c>
      <c r="N214">
        <v>303</v>
      </c>
      <c r="O214" t="str">
        <f>"RECEITAS COM ENTREGAS"</f>
        <v>RECEITAS COM ENTREGAS</v>
      </c>
      <c r="P214">
        <v>642</v>
      </c>
      <c r="S214" t="str">
        <f>"RECEITAS COM ENTREGAS (303)"</f>
        <v>RECEITAS COM ENTREGAS (303)</v>
      </c>
      <c r="T214">
        <v>3783</v>
      </c>
      <c r="U214">
        <v>2872</v>
      </c>
      <c r="V214" t="s">
        <v>36</v>
      </c>
    </row>
    <row r="215" spans="1:22">
      <c r="A215" t="str">
        <f t="shared" si="72"/>
        <v>04/12/2025</v>
      </c>
      <c r="B215" t="str">
        <f t="shared" ref="B215:B222" si="73">"ENTRADA"</f>
        <v>ENTRADA</v>
      </c>
      <c r="C215" t="str">
        <f t="shared" ref="C215:C222" si="74">"NFSE"</f>
        <v>NFSE</v>
      </c>
      <c r="D215" t="str">
        <f>"3958"</f>
        <v>3958</v>
      </c>
      <c r="E215" t="str">
        <f t="shared" ref="E215:E222" si="75">"1"</f>
        <v>1</v>
      </c>
      <c r="F215" t="str">
        <f t="shared" ref="F215:F222" si="76">"COM"</f>
        <v>COM</v>
      </c>
      <c r="G215" t="str">
        <f>"PENSE FARMA 15 (10195)"</f>
        <v>PENSE FARMA 15 (10195)</v>
      </c>
      <c r="H215" t="s">
        <v>86</v>
      </c>
      <c r="I215" t="str">
        <f t="shared" ref="I215:I222" si="77">("03/12/2025")</f>
        <v>03/12/2025</v>
      </c>
      <c r="J215" t="str">
        <f t="shared" si="69"/>
        <v>01/12/2025</v>
      </c>
      <c r="K215">
        <v>45995</v>
      </c>
      <c r="N215">
        <v>303</v>
      </c>
      <c r="O215" t="s">
        <v>30</v>
      </c>
      <c r="Q215">
        <v>160.5</v>
      </c>
      <c r="R215" t="str">
        <f>"PENSE FARMA 15 (10195)"</f>
        <v>PENSE FARMA 15 (10195)</v>
      </c>
      <c r="S215" t="s">
        <v>31</v>
      </c>
      <c r="T215">
        <v>3783</v>
      </c>
      <c r="U215">
        <v>2872</v>
      </c>
      <c r="V215" t="s">
        <v>36</v>
      </c>
    </row>
    <row r="216" spans="1:22">
      <c r="A216" t="str">
        <f t="shared" si="72"/>
        <v>04/12/2025</v>
      </c>
      <c r="B216" t="str">
        <f t="shared" si="73"/>
        <v>ENTRADA</v>
      </c>
      <c r="C216" t="str">
        <f t="shared" si="74"/>
        <v>NFSE</v>
      </c>
      <c r="D216" t="str">
        <f>"3958"</f>
        <v>3958</v>
      </c>
      <c r="E216" t="str">
        <f t="shared" si="75"/>
        <v>1</v>
      </c>
      <c r="F216" t="str">
        <f t="shared" si="76"/>
        <v>COM</v>
      </c>
      <c r="G216" t="str">
        <f>"PENSE FARMA 15 (10195)"</f>
        <v>PENSE FARMA 15 (10195)</v>
      </c>
      <c r="H216" t="s">
        <v>86</v>
      </c>
      <c r="I216" t="str">
        <f t="shared" si="77"/>
        <v>03/12/2025</v>
      </c>
      <c r="J216" t="str">
        <f t="shared" si="69"/>
        <v>01/12/2025</v>
      </c>
      <c r="K216">
        <v>45995</v>
      </c>
      <c r="N216">
        <v>303</v>
      </c>
      <c r="O216" t="s">
        <v>30</v>
      </c>
      <c r="Q216">
        <v>160.5</v>
      </c>
      <c r="R216" t="str">
        <f>"PENSE FARMA 26 (10196)"</f>
        <v>PENSE FARMA 26 (10196)</v>
      </c>
      <c r="S216" t="s">
        <v>31</v>
      </c>
      <c r="T216">
        <v>3783</v>
      </c>
      <c r="U216">
        <v>2872</v>
      </c>
      <c r="V216" t="s">
        <v>36</v>
      </c>
    </row>
    <row r="217" spans="1:22">
      <c r="A217" t="str">
        <f t="shared" si="72"/>
        <v>04/12/2025</v>
      </c>
      <c r="B217" t="str">
        <f t="shared" si="73"/>
        <v>ENTRADA</v>
      </c>
      <c r="C217" t="str">
        <f t="shared" si="74"/>
        <v>NFSE</v>
      </c>
      <c r="D217" t="str">
        <f>"3958"</f>
        <v>3958</v>
      </c>
      <c r="E217" t="str">
        <f t="shared" si="75"/>
        <v>1</v>
      </c>
      <c r="F217" t="str">
        <f t="shared" si="76"/>
        <v>COM</v>
      </c>
      <c r="G217" t="str">
        <f>"PENSE FARMA 15 (10195)"</f>
        <v>PENSE FARMA 15 (10195)</v>
      </c>
      <c r="H217" t="s">
        <v>86</v>
      </c>
      <c r="I217" t="str">
        <f t="shared" si="77"/>
        <v>03/12/2025</v>
      </c>
      <c r="J217" t="str">
        <f t="shared" si="69"/>
        <v>01/12/2025</v>
      </c>
      <c r="K217">
        <v>45995</v>
      </c>
      <c r="N217">
        <v>303</v>
      </c>
      <c r="O217" t="s">
        <v>30</v>
      </c>
      <c r="Q217">
        <v>160.5</v>
      </c>
      <c r="R217" t="str">
        <f>"PENSE FARMA 60 (10197)"</f>
        <v>PENSE FARMA 60 (10197)</v>
      </c>
      <c r="S217" t="s">
        <v>31</v>
      </c>
      <c r="T217">
        <v>3783</v>
      </c>
      <c r="U217">
        <v>2872</v>
      </c>
      <c r="V217" t="s">
        <v>36</v>
      </c>
    </row>
    <row r="218" spans="1:22">
      <c r="A218" t="str">
        <f t="shared" si="72"/>
        <v>04/12/2025</v>
      </c>
      <c r="B218" t="str">
        <f t="shared" si="73"/>
        <v>ENTRADA</v>
      </c>
      <c r="C218" t="str">
        <f t="shared" si="74"/>
        <v>NFSE</v>
      </c>
      <c r="D218" t="str">
        <f>"3958"</f>
        <v>3958</v>
      </c>
      <c r="E218" t="str">
        <f t="shared" si="75"/>
        <v>1</v>
      </c>
      <c r="F218" t="str">
        <f t="shared" si="76"/>
        <v>COM</v>
      </c>
      <c r="G218" t="str">
        <f>"PENSE FARMA 15 (10195)"</f>
        <v>PENSE FARMA 15 (10195)</v>
      </c>
      <c r="H218" t="s">
        <v>86</v>
      </c>
      <c r="I218" t="str">
        <f t="shared" si="77"/>
        <v>03/12/2025</v>
      </c>
      <c r="J218" t="str">
        <f t="shared" si="69"/>
        <v>01/12/2025</v>
      </c>
      <c r="K218">
        <v>45995</v>
      </c>
      <c r="N218">
        <v>303</v>
      </c>
      <c r="O218" t="s">
        <v>30</v>
      </c>
      <c r="Q218">
        <v>160.5</v>
      </c>
      <c r="R218" t="str">
        <f>"PENSE FARMA 61 (10243)"</f>
        <v>PENSE FARMA 61 (10243)</v>
      </c>
      <c r="S218" t="s">
        <v>31</v>
      </c>
      <c r="T218">
        <v>3783</v>
      </c>
      <c r="U218">
        <v>2872</v>
      </c>
      <c r="V218" t="s">
        <v>36</v>
      </c>
    </row>
    <row r="219" spans="1:22">
      <c r="A219" t="str">
        <f t="shared" si="72"/>
        <v>04/12/2025</v>
      </c>
      <c r="B219" t="str">
        <f t="shared" si="73"/>
        <v>ENTRADA</v>
      </c>
      <c r="C219" t="str">
        <f t="shared" si="74"/>
        <v>NFSE</v>
      </c>
      <c r="D219" t="str">
        <f>"3965"</f>
        <v>3965</v>
      </c>
      <c r="E219" t="str">
        <f t="shared" si="75"/>
        <v>1</v>
      </c>
      <c r="F219" t="str">
        <f t="shared" si="76"/>
        <v>COM</v>
      </c>
      <c r="G219" t="str">
        <f>"DROGA HONDA (10149)"</f>
        <v>DROGA HONDA (10149)</v>
      </c>
      <c r="H219" t="str">
        <f>"Serv.Prest. 24/11/2025 a 30/11/2025 - RPS: 1727 - NFSe: 3965"</f>
        <v>Serv.Prest. 24/11/2025 a 30/11/2025 - RPS: 1727 - NFSe: 3965</v>
      </c>
      <c r="I219" t="str">
        <f t="shared" si="77"/>
        <v>03/12/2025</v>
      </c>
      <c r="J219" t="str">
        <f>("02/12/2025")</f>
        <v>02/12/2025</v>
      </c>
      <c r="K219" t="str">
        <f>("04/12/2025")</f>
        <v>04/12/2025</v>
      </c>
      <c r="L219">
        <v>114.92</v>
      </c>
      <c r="M219">
        <v>114.92</v>
      </c>
      <c r="N219">
        <v>303</v>
      </c>
      <c r="O219" t="str">
        <f>"RECEITAS COM ENTREGAS"</f>
        <v>RECEITAS COM ENTREGAS</v>
      </c>
      <c r="P219">
        <v>114.92</v>
      </c>
      <c r="S219" t="str">
        <f>"RECEITAS COM ENTREGAS (303)"</f>
        <v>RECEITAS COM ENTREGAS (303)</v>
      </c>
      <c r="T219">
        <v>3784</v>
      </c>
      <c r="U219">
        <v>2879</v>
      </c>
      <c r="V219" t="s">
        <v>36</v>
      </c>
    </row>
    <row r="220" spans="1:22">
      <c r="A220" t="str">
        <f t="shared" si="72"/>
        <v>04/12/2025</v>
      </c>
      <c r="B220" t="str">
        <f t="shared" si="73"/>
        <v>ENTRADA</v>
      </c>
      <c r="C220" t="str">
        <f t="shared" si="74"/>
        <v>NFSE</v>
      </c>
      <c r="D220" t="str">
        <f>"3965"</f>
        <v>3965</v>
      </c>
      <c r="E220" t="str">
        <f t="shared" si="75"/>
        <v>1</v>
      </c>
      <c r="F220" t="str">
        <f t="shared" si="76"/>
        <v>COM</v>
      </c>
      <c r="G220" t="str">
        <f>"DROGA HONDA (10149)"</f>
        <v>DROGA HONDA (10149)</v>
      </c>
      <c r="H220" t="s">
        <v>87</v>
      </c>
      <c r="I220" t="str">
        <f t="shared" si="77"/>
        <v>03/12/2025</v>
      </c>
      <c r="J220" t="str">
        <f>("02/12/2025")</f>
        <v>02/12/2025</v>
      </c>
      <c r="K220">
        <v>45995</v>
      </c>
      <c r="N220">
        <v>303</v>
      </c>
      <c r="O220" t="s">
        <v>30</v>
      </c>
      <c r="Q220">
        <v>114.92</v>
      </c>
      <c r="R220" t="str">
        <f>"DROGA HONDA (10149)"</f>
        <v>DROGA HONDA (10149)</v>
      </c>
      <c r="S220" t="s">
        <v>31</v>
      </c>
      <c r="T220">
        <v>3784</v>
      </c>
      <c r="U220">
        <v>2879</v>
      </c>
      <c r="V220" t="s">
        <v>36</v>
      </c>
    </row>
    <row r="221" spans="1:22">
      <c r="A221" t="str">
        <f t="shared" si="72"/>
        <v>04/12/2025</v>
      </c>
      <c r="B221" t="str">
        <f t="shared" si="73"/>
        <v>ENTRADA</v>
      </c>
      <c r="C221" t="str">
        <f t="shared" si="74"/>
        <v>NFSE</v>
      </c>
      <c r="D221" t="str">
        <f>"3967"</f>
        <v>3967</v>
      </c>
      <c r="E221" t="str">
        <f t="shared" si="75"/>
        <v>1</v>
      </c>
      <c r="F221" t="str">
        <f t="shared" si="76"/>
        <v>COM</v>
      </c>
      <c r="G221" t="str">
        <f>"DELTA LOJA 2 (10123)"</f>
        <v>DELTA LOJA 2 (10123)</v>
      </c>
      <c r="H221" t="str">
        <f>"Serv.Prest. 24/11/2025 a 30/11/2025 - RPS: 1729 - NFSe: 3967"</f>
        <v>Serv.Prest. 24/11/2025 a 30/11/2025 - RPS: 1729 - NFSe: 3967</v>
      </c>
      <c r="I221" t="str">
        <f t="shared" si="77"/>
        <v>03/12/2025</v>
      </c>
      <c r="J221" t="str">
        <f>("02/12/2025")</f>
        <v>02/12/2025</v>
      </c>
      <c r="K221" t="str">
        <f>("04/12/2025")</f>
        <v>04/12/2025</v>
      </c>
      <c r="L221">
        <v>980.7</v>
      </c>
      <c r="M221">
        <v>980.7</v>
      </c>
      <c r="N221">
        <v>303</v>
      </c>
      <c r="O221" t="str">
        <f>"RECEITAS COM ENTREGAS"</f>
        <v>RECEITAS COM ENTREGAS</v>
      </c>
      <c r="P221">
        <v>980.7</v>
      </c>
      <c r="S221" t="str">
        <f>"RECEITAS COM ENTREGAS (303)"</f>
        <v>RECEITAS COM ENTREGAS (303)</v>
      </c>
      <c r="T221">
        <v>3785</v>
      </c>
      <c r="U221">
        <v>2882</v>
      </c>
      <c r="V221" t="s">
        <v>36</v>
      </c>
    </row>
    <row r="222" spans="1:22">
      <c r="A222" t="str">
        <f t="shared" si="72"/>
        <v>04/12/2025</v>
      </c>
      <c r="B222" t="str">
        <f t="shared" si="73"/>
        <v>ENTRADA</v>
      </c>
      <c r="C222" t="str">
        <f t="shared" si="74"/>
        <v>NFSE</v>
      </c>
      <c r="D222" t="str">
        <f>"3967"</f>
        <v>3967</v>
      </c>
      <c r="E222" t="str">
        <f t="shared" si="75"/>
        <v>1</v>
      </c>
      <c r="F222" t="str">
        <f t="shared" si="76"/>
        <v>COM</v>
      </c>
      <c r="G222" t="str">
        <f>"DELTA LOJA 2 (10123)"</f>
        <v>DELTA LOJA 2 (10123)</v>
      </c>
      <c r="H222" t="s">
        <v>88</v>
      </c>
      <c r="I222" t="str">
        <f t="shared" si="77"/>
        <v>03/12/2025</v>
      </c>
      <c r="J222" t="str">
        <f>("02/12/2025")</f>
        <v>02/12/2025</v>
      </c>
      <c r="K222">
        <v>45995</v>
      </c>
      <c r="N222">
        <v>303</v>
      </c>
      <c r="O222" t="s">
        <v>30</v>
      </c>
      <c r="Q222">
        <v>980.7</v>
      </c>
      <c r="R222" t="str">
        <f>"DELTA LOJA 2 (10123)"</f>
        <v>DELTA LOJA 2 (10123)</v>
      </c>
      <c r="S222" t="s">
        <v>31</v>
      </c>
      <c r="T222">
        <v>3785</v>
      </c>
      <c r="U222">
        <v>2882</v>
      </c>
      <c r="V222" t="s">
        <v>36</v>
      </c>
    </row>
    <row r="223" spans="1:22">
      <c r="A223" t="str">
        <f t="shared" ref="A223:A243" si="78">("05/12/2025")</f>
        <v>05/12/2025</v>
      </c>
      <c r="B223" t="str">
        <f t="shared" ref="B223:B237" si="79">"SAÍDA"</f>
        <v>SAÍDA</v>
      </c>
      <c r="C223" t="str">
        <f>""</f>
        <v/>
      </c>
      <c r="D223" t="str">
        <f>""</f>
        <v/>
      </c>
      <c r="F223" t="str">
        <f>"CXA"</f>
        <v>CXA</v>
      </c>
      <c r="G223" t="str">
        <f>""</f>
        <v/>
      </c>
      <c r="H223" t="str">
        <f>"BRINDES PARA CLINTES FINAL DE ANO 2025"</f>
        <v>BRINDES PARA CLINTES FINAL DE ANO 2025</v>
      </c>
      <c r="I223" t="str">
        <f>("05/12/2025")</f>
        <v>05/12/2025</v>
      </c>
      <c r="J223" t="str">
        <f>("05/12/2025")</f>
        <v>05/12/2025</v>
      </c>
      <c r="K223" t="str">
        <f>("05/12/2025")</f>
        <v>05/12/2025</v>
      </c>
      <c r="L223">
        <v>474.75</v>
      </c>
      <c r="M223">
        <v>474.75</v>
      </c>
      <c r="N223">
        <v>129</v>
      </c>
      <c r="O223" t="str">
        <f>"DESPESAS COM EVENTOS"</f>
        <v>DESPESAS COM EVENTOS</v>
      </c>
      <c r="P223">
        <v>474.75</v>
      </c>
      <c r="S223" t="str">
        <f>"BANCO CORA (102)"</f>
        <v>BANCO CORA (102)</v>
      </c>
      <c r="T223">
        <v>3425</v>
      </c>
      <c r="U223">
        <v>0</v>
      </c>
      <c r="V223" t="s">
        <v>89</v>
      </c>
    </row>
    <row r="224" spans="1:22">
      <c r="A224" t="str">
        <f t="shared" si="78"/>
        <v>05/12/2025</v>
      </c>
      <c r="B224" t="str">
        <f t="shared" si="79"/>
        <v>SAÍDA</v>
      </c>
      <c r="C224" t="str">
        <f>"BOLETO"</f>
        <v>BOLETO</v>
      </c>
      <c r="D224" t="str">
        <f>"01"</f>
        <v>01</v>
      </c>
      <c r="E224" t="str">
        <f>"76"</f>
        <v>76</v>
      </c>
      <c r="F224" t="str">
        <f t="shared" ref="F224:F243" si="80">"COM"</f>
        <v>COM</v>
      </c>
      <c r="G224" t="str">
        <f>"BANCO DO BRASIL (20001)"</f>
        <v>BANCO DO BRASIL (20001)</v>
      </c>
      <c r="H224" t="str">
        <f>"EMPRESTIMO FUI TECNOLOGIA"</f>
        <v>EMPRESTIMO FUI TECNOLOGIA</v>
      </c>
      <c r="I224" t="str">
        <f t="shared" ref="I224:I237" si="81">("05/12/2025")</f>
        <v>05/12/2025</v>
      </c>
      <c r="J224" t="str">
        <f>("23/07/2024")</f>
        <v>23/07/2024</v>
      </c>
      <c r="K224" t="str">
        <f>("05/12/2025")</f>
        <v>05/12/2025</v>
      </c>
      <c r="L224">
        <v>508.77</v>
      </c>
      <c r="M224">
        <v>508.77</v>
      </c>
      <c r="N224">
        <v>114</v>
      </c>
      <c r="O224" t="str">
        <f>"EMPRESTIMOS"</f>
        <v>EMPRESTIMOS</v>
      </c>
      <c r="P224">
        <v>508.77</v>
      </c>
      <c r="S224" t="str">
        <f>"BANCO CORA (102)"</f>
        <v>BANCO CORA (102)</v>
      </c>
      <c r="T224">
        <v>3437</v>
      </c>
      <c r="U224">
        <v>81</v>
      </c>
      <c r="V224" t="s">
        <v>22</v>
      </c>
    </row>
    <row r="225" spans="1:22">
      <c r="A225" t="str">
        <f t="shared" si="78"/>
        <v>05/12/2025</v>
      </c>
      <c r="B225" t="str">
        <f t="shared" si="79"/>
        <v>SAÍDA</v>
      </c>
      <c r="C225" t="str">
        <f>"BOLETO"</f>
        <v>BOLETO</v>
      </c>
      <c r="D225" t="str">
        <f>"01"</f>
        <v>01</v>
      </c>
      <c r="E225" t="str">
        <f>"76"</f>
        <v>76</v>
      </c>
      <c r="F225" t="str">
        <f t="shared" si="80"/>
        <v>COM</v>
      </c>
      <c r="G225" t="str">
        <f>"BANCO DO BRASIL (20001)"</f>
        <v>BANCO DO BRASIL (20001)</v>
      </c>
      <c r="H225" t="s">
        <v>90</v>
      </c>
      <c r="I225" t="str">
        <f t="shared" si="81"/>
        <v>05/12/2025</v>
      </c>
      <c r="J225" t="str">
        <f>("23/07/2024")</f>
        <v>23/07/2024</v>
      </c>
      <c r="K225">
        <v>45996</v>
      </c>
      <c r="N225">
        <v>114</v>
      </c>
      <c r="O225" t="s">
        <v>91</v>
      </c>
      <c r="Q225">
        <v>508.77</v>
      </c>
      <c r="R225" t="str">
        <f>"BANCO DO BRASIL (20001)"</f>
        <v>BANCO DO BRASIL (20001)</v>
      </c>
      <c r="S225" t="s">
        <v>22</v>
      </c>
      <c r="T225">
        <v>3437</v>
      </c>
      <c r="U225">
        <v>81</v>
      </c>
      <c r="V225" t="s">
        <v>22</v>
      </c>
    </row>
    <row r="226" spans="1:22">
      <c r="A226" t="str">
        <f t="shared" si="78"/>
        <v>05/12/2025</v>
      </c>
      <c r="B226" t="str">
        <f t="shared" si="79"/>
        <v>SAÍDA</v>
      </c>
      <c r="C226" t="str">
        <f t="shared" ref="C226:C237" si="82">"PIX"</f>
        <v>PIX</v>
      </c>
      <c r="D226" t="str">
        <f>"07"</f>
        <v>07</v>
      </c>
      <c r="E226" t="str">
        <f>"24"</f>
        <v>24</v>
      </c>
      <c r="F226" t="str">
        <f t="shared" si="80"/>
        <v>COM</v>
      </c>
      <c r="G226" t="str">
        <f>"LILIANE DE FATIMA REZENDE JUSTINO (20013)"</f>
        <v>LILIANE DE FATIMA REZENDE JUSTINO (20013)</v>
      </c>
      <c r="H226" t="str">
        <f>"REF. PRO-LABORE MES 07/2024"</f>
        <v>REF. PRO-LABORE MES 07/2024</v>
      </c>
      <c r="I226" t="str">
        <f t="shared" si="81"/>
        <v>05/12/2025</v>
      </c>
      <c r="J226" t="str">
        <f t="shared" ref="J226:J231" si="83">("01/01/2025")</f>
        <v>01/01/2025</v>
      </c>
      <c r="K226" t="str">
        <f>("05/12/2025")</f>
        <v>05/12/2025</v>
      </c>
      <c r="L226">
        <v>23333.33</v>
      </c>
      <c r="M226">
        <v>23333.33</v>
      </c>
      <c r="N226">
        <v>124</v>
      </c>
      <c r="O226" t="str">
        <f>"PRO LABORE - LILIANE"</f>
        <v>PRO LABORE - LILIANE</v>
      </c>
      <c r="P226">
        <v>23333.33</v>
      </c>
      <c r="S226" t="str">
        <f>"BANCO CORA (102)"</f>
        <v>BANCO CORA (102)</v>
      </c>
      <c r="T226">
        <v>3438</v>
      </c>
      <c r="U226">
        <v>574</v>
      </c>
      <c r="V226" t="s">
        <v>22</v>
      </c>
    </row>
    <row r="227" spans="1:22">
      <c r="A227" t="str">
        <f t="shared" si="78"/>
        <v>05/12/2025</v>
      </c>
      <c r="B227" t="str">
        <f t="shared" si="79"/>
        <v>SAÍDA</v>
      </c>
      <c r="C227" t="str">
        <f t="shared" si="82"/>
        <v>PIX</v>
      </c>
      <c r="D227" t="str">
        <f>"07"</f>
        <v>07</v>
      </c>
      <c r="E227" t="str">
        <f>"24"</f>
        <v>24</v>
      </c>
      <c r="F227" t="str">
        <f t="shared" si="80"/>
        <v>COM</v>
      </c>
      <c r="G227" t="str">
        <f>"LILIANE DE FATIMA REZENDE JUSTINO (20013)"</f>
        <v>LILIANE DE FATIMA REZENDE JUSTINO (20013)</v>
      </c>
      <c r="H227" t="s">
        <v>92</v>
      </c>
      <c r="I227" t="str">
        <f t="shared" si="81"/>
        <v>05/12/2025</v>
      </c>
      <c r="J227" t="str">
        <f t="shared" si="83"/>
        <v>01/01/2025</v>
      </c>
      <c r="K227">
        <v>45996</v>
      </c>
      <c r="N227">
        <v>124</v>
      </c>
      <c r="O227" t="s">
        <v>93</v>
      </c>
      <c r="Q227">
        <v>23333.33</v>
      </c>
      <c r="R227" t="str">
        <f>"LILIANE DE FATIMA REZENDE JUSTINO (20013)"</f>
        <v>LILIANE DE FATIMA REZENDE JUSTINO (20013)</v>
      </c>
      <c r="S227" t="s">
        <v>22</v>
      </c>
      <c r="T227">
        <v>3438</v>
      </c>
      <c r="U227">
        <v>574</v>
      </c>
      <c r="V227" t="s">
        <v>22</v>
      </c>
    </row>
    <row r="228" spans="1:22">
      <c r="A228" t="str">
        <f t="shared" si="78"/>
        <v>05/12/2025</v>
      </c>
      <c r="B228" t="str">
        <f t="shared" si="79"/>
        <v>SAÍDA</v>
      </c>
      <c r="C228" t="str">
        <f t="shared" si="82"/>
        <v>PIX</v>
      </c>
      <c r="D228" t="str">
        <f>"01"</f>
        <v>01</v>
      </c>
      <c r="E228" t="str">
        <f>"18"</f>
        <v>18</v>
      </c>
      <c r="F228" t="str">
        <f t="shared" si="80"/>
        <v>COM</v>
      </c>
      <c r="G228" t="str">
        <f>"LILIANE DE FATIMA REZENDE JUSTINO (20013)"</f>
        <v>LILIANE DE FATIMA REZENDE JUSTINO (20013)</v>
      </c>
      <c r="H228" t="str">
        <f>"REF. PREST. SERVICO LILIANE"</f>
        <v>REF. PREST. SERVICO LILIANE</v>
      </c>
      <c r="I228" t="str">
        <f t="shared" si="81"/>
        <v>05/12/2025</v>
      </c>
      <c r="J228" t="str">
        <f t="shared" si="83"/>
        <v>01/01/2025</v>
      </c>
      <c r="K228" t="str">
        <f>("05/12/2025")</f>
        <v>05/12/2025</v>
      </c>
      <c r="L228">
        <v>1500</v>
      </c>
      <c r="M228">
        <v>1500</v>
      </c>
      <c r="N228">
        <v>103</v>
      </c>
      <c r="O228" t="str">
        <f>"PAGAMENTO DE FUNCIONÁRIOS"</f>
        <v>PAGAMENTO DE FUNCIONÁRIOS</v>
      </c>
      <c r="P228">
        <v>1500</v>
      </c>
      <c r="S228" t="str">
        <f>"BANCO CORA (102)"</f>
        <v>BANCO CORA (102)</v>
      </c>
      <c r="T228">
        <v>3439</v>
      </c>
      <c r="U228">
        <v>586</v>
      </c>
      <c r="V228" t="s">
        <v>22</v>
      </c>
    </row>
    <row r="229" spans="1:22">
      <c r="A229" t="str">
        <f t="shared" si="78"/>
        <v>05/12/2025</v>
      </c>
      <c r="B229" t="str">
        <f t="shared" si="79"/>
        <v>SAÍDA</v>
      </c>
      <c r="C229" t="str">
        <f t="shared" si="82"/>
        <v>PIX</v>
      </c>
      <c r="D229" t="str">
        <f>"01"</f>
        <v>01</v>
      </c>
      <c r="E229" t="str">
        <f>"18"</f>
        <v>18</v>
      </c>
      <c r="F229" t="str">
        <f t="shared" si="80"/>
        <v>COM</v>
      </c>
      <c r="G229" t="str">
        <f>"LILIANE DE FATIMA REZENDE JUSTINO (20013)"</f>
        <v>LILIANE DE FATIMA REZENDE JUSTINO (20013)</v>
      </c>
      <c r="H229" t="s">
        <v>94</v>
      </c>
      <c r="I229" t="str">
        <f t="shared" si="81"/>
        <v>05/12/2025</v>
      </c>
      <c r="J229" t="str">
        <f t="shared" si="83"/>
        <v>01/01/2025</v>
      </c>
      <c r="K229">
        <v>45996</v>
      </c>
      <c r="N229">
        <v>103</v>
      </c>
      <c r="O229" t="s">
        <v>95</v>
      </c>
      <c r="Q229">
        <v>1500</v>
      </c>
      <c r="R229" t="str">
        <f>"LILIANE DE FATIMA REZENDE JUSTINO (20013)"</f>
        <v>LILIANE DE FATIMA REZENDE JUSTINO (20013)</v>
      </c>
      <c r="S229" t="s">
        <v>22</v>
      </c>
      <c r="T229">
        <v>3439</v>
      </c>
      <c r="U229">
        <v>586</v>
      </c>
      <c r="V229" t="s">
        <v>22</v>
      </c>
    </row>
    <row r="230" spans="1:22">
      <c r="A230" t="str">
        <f t="shared" si="78"/>
        <v>05/12/2025</v>
      </c>
      <c r="B230" t="str">
        <f t="shared" si="79"/>
        <v>SAÍDA</v>
      </c>
      <c r="C230" t="str">
        <f t="shared" si="82"/>
        <v>PIX</v>
      </c>
      <c r="D230" t="str">
        <f>"0724"</f>
        <v>0724</v>
      </c>
      <c r="E230" t="str">
        <f>"18"</f>
        <v>18</v>
      </c>
      <c r="F230" t="str">
        <f t="shared" si="80"/>
        <v>COM</v>
      </c>
      <c r="G230" t="str">
        <f>"MARCELO REZENDE ARANTES (20014)"</f>
        <v>MARCELO REZENDE ARANTES (20014)</v>
      </c>
      <c r="H230" t="str">
        <f>"REF. PRO-LABORE MES 07/2024"</f>
        <v>REF. PRO-LABORE MES 07/2024</v>
      </c>
      <c r="I230" t="str">
        <f t="shared" si="81"/>
        <v>05/12/2025</v>
      </c>
      <c r="J230" t="str">
        <f t="shared" si="83"/>
        <v>01/01/2025</v>
      </c>
      <c r="K230" t="str">
        <f>("05/12/2025")</f>
        <v>05/12/2025</v>
      </c>
      <c r="L230">
        <v>10000</v>
      </c>
      <c r="M230">
        <v>10000</v>
      </c>
      <c r="N230">
        <v>108</v>
      </c>
      <c r="O230" t="str">
        <f>"PRO LABORE - MARCELO"</f>
        <v>PRO LABORE - MARCELO</v>
      </c>
      <c r="P230">
        <v>10000</v>
      </c>
      <c r="S230" t="str">
        <f>"BANCO CORA (102)"</f>
        <v>BANCO CORA (102)</v>
      </c>
      <c r="T230">
        <v>3440</v>
      </c>
      <c r="U230">
        <v>598</v>
      </c>
      <c r="V230" t="s">
        <v>22</v>
      </c>
    </row>
    <row r="231" spans="1:22">
      <c r="A231" t="str">
        <f t="shared" si="78"/>
        <v>05/12/2025</v>
      </c>
      <c r="B231" t="str">
        <f t="shared" si="79"/>
        <v>SAÍDA</v>
      </c>
      <c r="C231" t="str">
        <f t="shared" si="82"/>
        <v>PIX</v>
      </c>
      <c r="D231" t="str">
        <f>"0724"</f>
        <v>0724</v>
      </c>
      <c r="E231" t="str">
        <f>"18"</f>
        <v>18</v>
      </c>
      <c r="F231" t="str">
        <f t="shared" si="80"/>
        <v>COM</v>
      </c>
      <c r="G231" t="str">
        <f>"MARCELO REZENDE ARANTES (20014)"</f>
        <v>MARCELO REZENDE ARANTES (20014)</v>
      </c>
      <c r="H231" t="s">
        <v>92</v>
      </c>
      <c r="I231" t="str">
        <f t="shared" si="81"/>
        <v>05/12/2025</v>
      </c>
      <c r="J231" t="str">
        <f t="shared" si="83"/>
        <v>01/01/2025</v>
      </c>
      <c r="K231">
        <v>45996</v>
      </c>
      <c r="N231">
        <v>108</v>
      </c>
      <c r="O231" t="s">
        <v>96</v>
      </c>
      <c r="Q231">
        <v>10000</v>
      </c>
      <c r="R231" t="str">
        <f>"MARCELO REZENDE ARANTES (20014)"</f>
        <v>MARCELO REZENDE ARANTES (20014)</v>
      </c>
      <c r="S231" t="s">
        <v>22</v>
      </c>
      <c r="T231">
        <v>3440</v>
      </c>
      <c r="U231">
        <v>598</v>
      </c>
      <c r="V231" t="s">
        <v>22</v>
      </c>
    </row>
    <row r="232" spans="1:22">
      <c r="A232" t="str">
        <f t="shared" si="78"/>
        <v>05/12/2025</v>
      </c>
      <c r="B232" t="str">
        <f t="shared" si="79"/>
        <v>SAÍDA</v>
      </c>
      <c r="C232" t="str">
        <f t="shared" si="82"/>
        <v>PIX</v>
      </c>
      <c r="D232" t="str">
        <f t="shared" ref="D232:D237" si="84">"05122025"</f>
        <v>05122025</v>
      </c>
      <c r="E232" t="str">
        <f>"1"</f>
        <v>1</v>
      </c>
      <c r="F232" t="str">
        <f t="shared" si="80"/>
        <v>COM</v>
      </c>
      <c r="G232" t="str">
        <f>"GUSTAVO CESAR DE REZENDE (20060)"</f>
        <v>GUSTAVO CESAR DE REZENDE (20060)</v>
      </c>
      <c r="H232" t="str">
        <f>"BONUS DE PRODUTIVIDADE 11/25"</f>
        <v>BONUS DE PRODUTIVIDADE 11/25</v>
      </c>
      <c r="I232" t="str">
        <f t="shared" si="81"/>
        <v>05/12/2025</v>
      </c>
      <c r="J232" t="str">
        <f>("05/12/2025")</f>
        <v>05/12/2025</v>
      </c>
      <c r="K232" t="str">
        <f>("05/12/2025")</f>
        <v>05/12/2025</v>
      </c>
      <c r="L232">
        <v>4500</v>
      </c>
      <c r="M232">
        <v>4500</v>
      </c>
      <c r="N232">
        <v>103</v>
      </c>
      <c r="O232" t="str">
        <f>"PAGAMENTO DE FUNCIONÁRIOS"</f>
        <v>PAGAMENTO DE FUNCIONÁRIOS</v>
      </c>
      <c r="P232">
        <v>4500</v>
      </c>
      <c r="S232" t="str">
        <f>"BANCO CORA (102)"</f>
        <v>BANCO CORA (102)</v>
      </c>
      <c r="T232">
        <v>3441</v>
      </c>
      <c r="U232">
        <v>2980</v>
      </c>
      <c r="V232" t="s">
        <v>22</v>
      </c>
    </row>
    <row r="233" spans="1:22">
      <c r="A233" t="str">
        <f t="shared" si="78"/>
        <v>05/12/2025</v>
      </c>
      <c r="B233" t="str">
        <f t="shared" si="79"/>
        <v>SAÍDA</v>
      </c>
      <c r="C233" t="str">
        <f t="shared" si="82"/>
        <v>PIX</v>
      </c>
      <c r="D233" t="str">
        <f t="shared" si="84"/>
        <v>05122025</v>
      </c>
      <c r="E233" t="str">
        <f>"1"</f>
        <v>1</v>
      </c>
      <c r="F233" t="str">
        <f t="shared" si="80"/>
        <v>COM</v>
      </c>
      <c r="G233" t="str">
        <f>"GUSTAVO CESAR DE REZENDE (20060)"</f>
        <v>GUSTAVO CESAR DE REZENDE (20060)</v>
      </c>
      <c r="H233" t="s">
        <v>97</v>
      </c>
      <c r="I233" t="str">
        <f t="shared" si="81"/>
        <v>05/12/2025</v>
      </c>
      <c r="J233" t="str">
        <f>("05/12/2025")</f>
        <v>05/12/2025</v>
      </c>
      <c r="K233">
        <v>45996</v>
      </c>
      <c r="N233">
        <v>103</v>
      </c>
      <c r="O233" t="s">
        <v>95</v>
      </c>
      <c r="Q233">
        <v>4500</v>
      </c>
      <c r="R233" t="str">
        <f>"GUSTAVO CESAR DE REZENDE (20060)"</f>
        <v>GUSTAVO CESAR DE REZENDE (20060)</v>
      </c>
      <c r="S233" t="s">
        <v>22</v>
      </c>
      <c r="T233">
        <v>3441</v>
      </c>
      <c r="U233">
        <v>2980</v>
      </c>
      <c r="V233" t="s">
        <v>22</v>
      </c>
    </row>
    <row r="234" spans="1:22">
      <c r="A234" t="str">
        <f t="shared" si="78"/>
        <v>05/12/2025</v>
      </c>
      <c r="B234" t="str">
        <f t="shared" si="79"/>
        <v>SAÍDA</v>
      </c>
      <c r="C234" t="str">
        <f t="shared" si="82"/>
        <v>PIX</v>
      </c>
      <c r="D234" t="str">
        <f t="shared" si="84"/>
        <v>05122025</v>
      </c>
      <c r="E234" t="str">
        <f>"12"</f>
        <v>12</v>
      </c>
      <c r="F234" t="str">
        <f t="shared" si="80"/>
        <v>COM</v>
      </c>
      <c r="G234" t="str">
        <f>"LILIANE DE FATIMA REZENDE JUSTINO (20013)"</f>
        <v>LILIANE DE FATIMA REZENDE JUSTINO (20013)</v>
      </c>
      <c r="H234" t="str">
        <f>"DISTRIBUIÇÃO DE LUCROS"</f>
        <v>DISTRIBUIÇÃO DE LUCROS</v>
      </c>
      <c r="I234" t="str">
        <f t="shared" si="81"/>
        <v>05/12/2025</v>
      </c>
      <c r="J234" t="str">
        <f>("05/12/2025")</f>
        <v>05/12/2025</v>
      </c>
      <c r="K234" t="str">
        <f>("05/12/2025")</f>
        <v>05/12/2025</v>
      </c>
      <c r="L234">
        <v>11666</v>
      </c>
      <c r="M234">
        <v>11666</v>
      </c>
      <c r="N234">
        <v>125</v>
      </c>
      <c r="O234" t="str">
        <f>"DISTRIBUIÇÃO DE LUCRO"</f>
        <v>DISTRIBUIÇÃO DE LUCRO</v>
      </c>
      <c r="P234">
        <v>11666</v>
      </c>
      <c r="S234" t="str">
        <f>"BANCO CORA (102)"</f>
        <v>BANCO CORA (102)</v>
      </c>
      <c r="T234">
        <v>3442</v>
      </c>
      <c r="U234">
        <v>2981</v>
      </c>
      <c r="V234" t="s">
        <v>22</v>
      </c>
    </row>
    <row r="235" spans="1:22">
      <c r="A235" t="str">
        <f t="shared" si="78"/>
        <v>05/12/2025</v>
      </c>
      <c r="B235" t="str">
        <f t="shared" si="79"/>
        <v>SAÍDA</v>
      </c>
      <c r="C235" t="str">
        <f t="shared" si="82"/>
        <v>PIX</v>
      </c>
      <c r="D235" t="str">
        <f t="shared" si="84"/>
        <v>05122025</v>
      </c>
      <c r="E235" t="str">
        <f>"12"</f>
        <v>12</v>
      </c>
      <c r="F235" t="str">
        <f t="shared" si="80"/>
        <v>COM</v>
      </c>
      <c r="G235" t="str">
        <f>"LILIANE DE FATIMA REZENDE JUSTINO (20013)"</f>
        <v>LILIANE DE FATIMA REZENDE JUSTINO (20013)</v>
      </c>
      <c r="H235" t="s">
        <v>98</v>
      </c>
      <c r="I235" t="str">
        <f t="shared" si="81"/>
        <v>05/12/2025</v>
      </c>
      <c r="J235" t="str">
        <f>("05/12/2025")</f>
        <v>05/12/2025</v>
      </c>
      <c r="K235">
        <v>45996</v>
      </c>
      <c r="N235">
        <v>125</v>
      </c>
      <c r="O235" t="s">
        <v>99</v>
      </c>
      <c r="Q235">
        <v>11666</v>
      </c>
      <c r="R235" t="str">
        <f>"LILIANE DE FATIMA REZENDE JUSTINO (20013)"</f>
        <v>LILIANE DE FATIMA REZENDE JUSTINO (20013)</v>
      </c>
      <c r="S235" t="s">
        <v>22</v>
      </c>
      <c r="T235">
        <v>3442</v>
      </c>
      <c r="U235">
        <v>2981</v>
      </c>
      <c r="V235" t="s">
        <v>22</v>
      </c>
    </row>
    <row r="236" spans="1:22">
      <c r="A236" t="str">
        <f t="shared" si="78"/>
        <v>05/12/2025</v>
      </c>
      <c r="B236" t="str">
        <f t="shared" si="79"/>
        <v>SAÍDA</v>
      </c>
      <c r="C236" t="str">
        <f t="shared" si="82"/>
        <v>PIX</v>
      </c>
      <c r="D236" t="str">
        <f t="shared" si="84"/>
        <v>05122025</v>
      </c>
      <c r="E236" t="str">
        <f>"12"</f>
        <v>12</v>
      </c>
      <c r="F236" t="str">
        <f t="shared" si="80"/>
        <v>COM</v>
      </c>
      <c r="G236" t="str">
        <f>"MARCELO REZENDE ARANTES (20014)"</f>
        <v>MARCELO REZENDE ARANTES (20014)</v>
      </c>
      <c r="H236" t="str">
        <f>"DISTRIBUIÇÃO DE LUCROS"</f>
        <v>DISTRIBUIÇÃO DE LUCROS</v>
      </c>
      <c r="I236" t="str">
        <f t="shared" si="81"/>
        <v>05/12/2025</v>
      </c>
      <c r="J236" t="str">
        <f>("05/12/2025")</f>
        <v>05/12/2025</v>
      </c>
      <c r="K236" t="str">
        <f>("05/12/2025")</f>
        <v>05/12/2025</v>
      </c>
      <c r="L236">
        <v>5000</v>
      </c>
      <c r="M236">
        <v>5000</v>
      </c>
      <c r="N236">
        <v>125</v>
      </c>
      <c r="O236" t="str">
        <f>"DISTRIBUIÇÃO DE LUCRO"</f>
        <v>DISTRIBUIÇÃO DE LUCRO</v>
      </c>
      <c r="P236">
        <v>5000</v>
      </c>
      <c r="S236" t="str">
        <f>"BANCO CORA (102)"</f>
        <v>BANCO CORA (102)</v>
      </c>
      <c r="T236">
        <v>3443</v>
      </c>
      <c r="U236">
        <v>2982</v>
      </c>
      <c r="V236" t="s">
        <v>22</v>
      </c>
    </row>
    <row r="237" spans="1:22">
      <c r="A237" t="str">
        <f t="shared" si="78"/>
        <v>05/12/2025</v>
      </c>
      <c r="B237" t="str">
        <f t="shared" si="79"/>
        <v>SAÍDA</v>
      </c>
      <c r="C237" t="str">
        <f t="shared" si="82"/>
        <v>PIX</v>
      </c>
      <c r="D237" t="str">
        <f t="shared" si="84"/>
        <v>05122025</v>
      </c>
      <c r="E237" t="str">
        <f>"12"</f>
        <v>12</v>
      </c>
      <c r="F237" t="str">
        <f t="shared" si="80"/>
        <v>COM</v>
      </c>
      <c r="G237" t="str">
        <f>"MARCELO REZENDE ARANTES (20014)"</f>
        <v>MARCELO REZENDE ARANTES (20014)</v>
      </c>
      <c r="H237" t="s">
        <v>98</v>
      </c>
      <c r="I237" t="str">
        <f t="shared" si="81"/>
        <v>05/12/2025</v>
      </c>
      <c r="J237" t="str">
        <f>("05/12/2025")</f>
        <v>05/12/2025</v>
      </c>
      <c r="K237">
        <v>45996</v>
      </c>
      <c r="N237">
        <v>125</v>
      </c>
      <c r="O237" t="s">
        <v>99</v>
      </c>
      <c r="Q237">
        <v>5000</v>
      </c>
      <c r="R237" t="str">
        <f>"MARCELO REZENDE ARANTES (20014)"</f>
        <v>MARCELO REZENDE ARANTES (20014)</v>
      </c>
      <c r="S237" t="s">
        <v>22</v>
      </c>
      <c r="T237">
        <v>3443</v>
      </c>
      <c r="U237">
        <v>2982</v>
      </c>
      <c r="V237" t="s">
        <v>22</v>
      </c>
    </row>
    <row r="238" spans="1:22">
      <c r="A238" t="str">
        <f t="shared" si="78"/>
        <v>05/12/2025</v>
      </c>
      <c r="B238" t="str">
        <f t="shared" ref="B238:B243" si="85">"ENTRADA"</f>
        <v>ENTRADA</v>
      </c>
      <c r="C238" t="str">
        <f t="shared" ref="C238:C243" si="86">"NFSE"</f>
        <v>NFSE</v>
      </c>
      <c r="D238" t="str">
        <f>"3925"</f>
        <v>3925</v>
      </c>
      <c r="E238" t="str">
        <f t="shared" ref="E238:E243" si="87">"1"</f>
        <v>1</v>
      </c>
      <c r="F238" t="str">
        <f t="shared" si="80"/>
        <v>COM</v>
      </c>
      <c r="G238" t="str">
        <f>"DROGARIA POUPA MINAS (DOIS AMIGOS) 5 (10140)"</f>
        <v>DROGARIA POUPA MINAS (DOIS AMIGOS) 5 (10140)</v>
      </c>
      <c r="H238" t="str">
        <f>"Serv.Prest. 24/11/2025 a 30/11/2025 - RPS: 1687 - NFSe: 3925"</f>
        <v>Serv.Prest. 24/11/2025 a 30/11/2025 - RPS: 1687 - NFSe: 3925</v>
      </c>
      <c r="I238" t="str">
        <f t="shared" ref="I238:I243" si="88">("04/12/2025")</f>
        <v>04/12/2025</v>
      </c>
      <c r="J238" t="str">
        <f>("01/12/2025")</f>
        <v>01/12/2025</v>
      </c>
      <c r="K238" t="str">
        <f>("05/12/2025")</f>
        <v>05/12/2025</v>
      </c>
      <c r="L238">
        <v>787.95</v>
      </c>
      <c r="M238">
        <v>787.95</v>
      </c>
      <c r="N238">
        <v>303</v>
      </c>
      <c r="O238" t="str">
        <f>"RECEITAS COM ENTREGAS"</f>
        <v>RECEITAS COM ENTREGAS</v>
      </c>
      <c r="P238">
        <v>787.95</v>
      </c>
      <c r="S238" t="str">
        <f>"RECEITAS COM ENTREGAS (303)"</f>
        <v>RECEITAS COM ENTREGAS (303)</v>
      </c>
      <c r="T238">
        <v>3786</v>
      </c>
      <c r="U238">
        <v>2839</v>
      </c>
      <c r="V238" t="s">
        <v>36</v>
      </c>
    </row>
    <row r="239" spans="1:22">
      <c r="A239" t="str">
        <f t="shared" si="78"/>
        <v>05/12/2025</v>
      </c>
      <c r="B239" t="str">
        <f t="shared" si="85"/>
        <v>ENTRADA</v>
      </c>
      <c r="C239" t="str">
        <f t="shared" si="86"/>
        <v>NFSE</v>
      </c>
      <c r="D239" t="str">
        <f>"3925"</f>
        <v>3925</v>
      </c>
      <c r="E239" t="str">
        <f t="shared" si="87"/>
        <v>1</v>
      </c>
      <c r="F239" t="str">
        <f t="shared" si="80"/>
        <v>COM</v>
      </c>
      <c r="G239" t="str">
        <f>"DROGARIA POUPA MINAS (DOIS AMIGOS) 5 (10140)"</f>
        <v>DROGARIA POUPA MINAS (DOIS AMIGOS) 5 (10140)</v>
      </c>
      <c r="H239" t="s">
        <v>100</v>
      </c>
      <c r="I239" t="str">
        <f t="shared" si="88"/>
        <v>04/12/2025</v>
      </c>
      <c r="J239" t="str">
        <f>("01/12/2025")</f>
        <v>01/12/2025</v>
      </c>
      <c r="K239">
        <v>45996</v>
      </c>
      <c r="N239">
        <v>303</v>
      </c>
      <c r="O239" t="s">
        <v>30</v>
      </c>
      <c r="Q239">
        <v>787.95</v>
      </c>
      <c r="R239" t="str">
        <f>"DROGARIA POUPA MINAS (ULTRAMINAS) 1 (10181)"</f>
        <v>DROGARIA POUPA MINAS (ULTRAMINAS) 1 (10181)</v>
      </c>
      <c r="S239" t="s">
        <v>31</v>
      </c>
      <c r="T239">
        <v>3786</v>
      </c>
      <c r="U239">
        <v>2839</v>
      </c>
      <c r="V239" t="s">
        <v>36</v>
      </c>
    </row>
    <row r="240" spans="1:22">
      <c r="A240" t="str">
        <f t="shared" si="78"/>
        <v>05/12/2025</v>
      </c>
      <c r="B240" t="str">
        <f t="shared" si="85"/>
        <v>ENTRADA</v>
      </c>
      <c r="C240" t="str">
        <f t="shared" si="86"/>
        <v>NFSE</v>
      </c>
      <c r="D240" t="str">
        <f>"3926"</f>
        <v>3926</v>
      </c>
      <c r="E240" t="str">
        <f t="shared" si="87"/>
        <v>1</v>
      </c>
      <c r="F240" t="str">
        <f t="shared" si="80"/>
        <v>COM</v>
      </c>
      <c r="G240" t="str">
        <f>"DROGARIA POUPA MINAS (ULTRAMINAS) 3 (10129)"</f>
        <v>DROGARIA POUPA MINAS (ULTRAMINAS) 3 (10129)</v>
      </c>
      <c r="H240" t="str">
        <f>"Serv.Prest. 24/11/2025 a 30/11/2025 - RPS: 1688 - NFSe: 3926"</f>
        <v>Serv.Prest. 24/11/2025 a 30/11/2025 - RPS: 1688 - NFSe: 3926</v>
      </c>
      <c r="I240" t="str">
        <f t="shared" si="88"/>
        <v>04/12/2025</v>
      </c>
      <c r="J240" t="str">
        <f>("01/12/2025")</f>
        <v>01/12/2025</v>
      </c>
      <c r="K240" t="str">
        <f>("05/12/2025")</f>
        <v>05/12/2025</v>
      </c>
      <c r="L240">
        <v>171.6</v>
      </c>
      <c r="M240">
        <v>171.6</v>
      </c>
      <c r="N240">
        <v>303</v>
      </c>
      <c r="O240" t="str">
        <f>"RECEITAS COM ENTREGAS"</f>
        <v>RECEITAS COM ENTREGAS</v>
      </c>
      <c r="P240">
        <v>171.6</v>
      </c>
      <c r="S240" t="str">
        <f>"RECEITAS COM ENTREGAS (303)"</f>
        <v>RECEITAS COM ENTREGAS (303)</v>
      </c>
      <c r="T240">
        <v>3787</v>
      </c>
      <c r="U240">
        <v>2840</v>
      </c>
      <c r="V240" t="s">
        <v>36</v>
      </c>
    </row>
    <row r="241" spans="1:22">
      <c r="A241" t="str">
        <f t="shared" si="78"/>
        <v>05/12/2025</v>
      </c>
      <c r="B241" t="str">
        <f t="shared" si="85"/>
        <v>ENTRADA</v>
      </c>
      <c r="C241" t="str">
        <f t="shared" si="86"/>
        <v>NFSE</v>
      </c>
      <c r="D241" t="str">
        <f>"3926"</f>
        <v>3926</v>
      </c>
      <c r="E241" t="str">
        <f t="shared" si="87"/>
        <v>1</v>
      </c>
      <c r="F241" t="str">
        <f t="shared" si="80"/>
        <v>COM</v>
      </c>
      <c r="G241" t="str">
        <f>"DROGARIA POUPA MINAS (ULTRAMINAS) 3 (10129)"</f>
        <v>DROGARIA POUPA MINAS (ULTRAMINAS) 3 (10129)</v>
      </c>
      <c r="H241" t="s">
        <v>101</v>
      </c>
      <c r="I241" t="str">
        <f t="shared" si="88"/>
        <v>04/12/2025</v>
      </c>
      <c r="J241" t="str">
        <f>("01/12/2025")</f>
        <v>01/12/2025</v>
      </c>
      <c r="K241">
        <v>45996</v>
      </c>
      <c r="N241">
        <v>303</v>
      </c>
      <c r="O241" t="s">
        <v>30</v>
      </c>
      <c r="Q241">
        <v>171.6</v>
      </c>
      <c r="R241" t="str">
        <f>"DROGARIA POUPA MINAS (ULTRAMINAS) 3 (10129)"</f>
        <v>DROGARIA POUPA MINAS (ULTRAMINAS) 3 (10129)</v>
      </c>
      <c r="S241" t="s">
        <v>31</v>
      </c>
      <c r="T241">
        <v>3787</v>
      </c>
      <c r="U241">
        <v>2840</v>
      </c>
      <c r="V241" t="s">
        <v>36</v>
      </c>
    </row>
    <row r="242" spans="1:22">
      <c r="A242" t="str">
        <f t="shared" si="78"/>
        <v>05/12/2025</v>
      </c>
      <c r="B242" t="str">
        <f t="shared" si="85"/>
        <v>ENTRADA</v>
      </c>
      <c r="C242" t="str">
        <f t="shared" si="86"/>
        <v>NFSE</v>
      </c>
      <c r="D242" t="str">
        <f>"3964"</f>
        <v>3964</v>
      </c>
      <c r="E242" t="str">
        <f t="shared" si="87"/>
        <v>1</v>
      </c>
      <c r="F242" t="str">
        <f t="shared" si="80"/>
        <v>COM</v>
      </c>
      <c r="G242" t="str">
        <f>"DROGARIA POUPA MINAS (DOIS AMIGOS) 5 (10140)"</f>
        <v>DROGARIA POUPA MINAS (DOIS AMIGOS) 5 (10140)</v>
      </c>
      <c r="H242" t="str">
        <f>"Serv.Prest. 01/11/2025 a 30/11/2025 - RPS: 1726 - NFSe: 3964"</f>
        <v>Serv.Prest. 01/11/2025 a 30/11/2025 - RPS: 1726 - NFSe: 3964</v>
      </c>
      <c r="I242" t="str">
        <f t="shared" si="88"/>
        <v>04/12/2025</v>
      </c>
      <c r="J242" t="str">
        <f>("02/12/2025")</f>
        <v>02/12/2025</v>
      </c>
      <c r="K242" t="str">
        <f>("05/12/2025")</f>
        <v>05/12/2025</v>
      </c>
      <c r="L242">
        <v>400.1</v>
      </c>
      <c r="M242">
        <v>400.1</v>
      </c>
      <c r="N242">
        <v>303</v>
      </c>
      <c r="O242" t="str">
        <f>"RECEITAS COM ENTREGAS"</f>
        <v>RECEITAS COM ENTREGAS</v>
      </c>
      <c r="P242">
        <v>400.1</v>
      </c>
      <c r="S242" t="str">
        <f>"RECEITAS COM ENTREGAS (303)"</f>
        <v>RECEITAS COM ENTREGAS (303)</v>
      </c>
      <c r="T242">
        <v>3788</v>
      </c>
      <c r="U242">
        <v>2878</v>
      </c>
      <c r="V242" t="s">
        <v>36</v>
      </c>
    </row>
    <row r="243" spans="1:22">
      <c r="A243" t="str">
        <f t="shared" si="78"/>
        <v>05/12/2025</v>
      </c>
      <c r="B243" t="str">
        <f t="shared" si="85"/>
        <v>ENTRADA</v>
      </c>
      <c r="C243" t="str">
        <f t="shared" si="86"/>
        <v>NFSE</v>
      </c>
      <c r="D243" t="str">
        <f>"3964"</f>
        <v>3964</v>
      </c>
      <c r="E243" t="str">
        <f t="shared" si="87"/>
        <v>1</v>
      </c>
      <c r="F243" t="str">
        <f t="shared" si="80"/>
        <v>COM</v>
      </c>
      <c r="G243" t="str">
        <f>"DROGARIA POUPA MINAS (DOIS AMIGOS) 5 (10140)"</f>
        <v>DROGARIA POUPA MINAS (DOIS AMIGOS) 5 (10140)</v>
      </c>
      <c r="H243" t="s">
        <v>102</v>
      </c>
      <c r="I243" t="str">
        <f t="shared" si="88"/>
        <v>04/12/2025</v>
      </c>
      <c r="J243" t="str">
        <f>("02/12/2025")</f>
        <v>02/12/2025</v>
      </c>
      <c r="K243">
        <v>45996</v>
      </c>
      <c r="N243">
        <v>303</v>
      </c>
      <c r="O243" t="s">
        <v>30</v>
      </c>
      <c r="Q243">
        <v>400.1</v>
      </c>
      <c r="R243" t="str">
        <f>"DROGARIA POUPA MINAS (ULTRAMINAS) 1 (10181)"</f>
        <v>DROGARIA POUPA MINAS (ULTRAMINAS) 1 (10181)</v>
      </c>
      <c r="S243" t="s">
        <v>31</v>
      </c>
      <c r="T243">
        <v>3788</v>
      </c>
      <c r="U243">
        <v>2878</v>
      </c>
      <c r="V243" t="s">
        <v>36</v>
      </c>
    </row>
    <row r="244" spans="1:22">
      <c r="A244" t="str">
        <f>("08/12/2025")</f>
        <v>08/12/2025</v>
      </c>
      <c r="B244" t="str">
        <f>"SAÍDA"</f>
        <v>SAÍDA</v>
      </c>
      <c r="C244" t="str">
        <f>"JUROS"</f>
        <v>JUROS</v>
      </c>
      <c r="D244" t="str">
        <f>""</f>
        <v/>
      </c>
      <c r="F244" t="str">
        <f>"CXA"</f>
        <v>CXA</v>
      </c>
      <c r="G244" t="str">
        <f>""</f>
        <v/>
      </c>
      <c r="H244" t="str">
        <f>"TARIFA SER.COBR.TITULOS"</f>
        <v>TARIFA SER.COBR.TITULOS</v>
      </c>
      <c r="I244" t="str">
        <f>("08/12/2025")</f>
        <v>08/12/2025</v>
      </c>
      <c r="J244" t="str">
        <f>("08/12/2025")</f>
        <v>08/12/2025</v>
      </c>
      <c r="K244" t="str">
        <f>("08/12/2025")</f>
        <v>08/12/2025</v>
      </c>
      <c r="L244">
        <v>38.92</v>
      </c>
      <c r="M244">
        <v>38.92</v>
      </c>
      <c r="N244">
        <v>401</v>
      </c>
      <c r="O244" t="str">
        <f>"IOF/JUROS/DESP.FINANCEIRA"</f>
        <v>IOF/JUROS/DESP.FINANCEIRA</v>
      </c>
      <c r="P244">
        <v>38.92</v>
      </c>
      <c r="S244" t="str">
        <f>"BANCO SICREDI (131)"</f>
        <v>BANCO SICREDI (131)</v>
      </c>
      <c r="T244">
        <v>3552</v>
      </c>
      <c r="U244">
        <v>0</v>
      </c>
      <c r="V244" t="s">
        <v>53</v>
      </c>
    </row>
    <row r="245" spans="1:22">
      <c r="A245" t="str">
        <f>("08/12/2025")</f>
        <v>08/12/2025</v>
      </c>
      <c r="B245" t="str">
        <f>"ENTRADA"</f>
        <v>ENTRADA</v>
      </c>
      <c r="C245" t="str">
        <f>"NFSE"</f>
        <v>NFSE</v>
      </c>
      <c r="D245" t="str">
        <f>"3927"</f>
        <v>3927</v>
      </c>
      <c r="E245" t="str">
        <f>"1"</f>
        <v>1</v>
      </c>
      <c r="F245" t="str">
        <f t="shared" ref="F245:F267" si="89">"COM"</f>
        <v>COM</v>
      </c>
      <c r="G245" t="str">
        <f>"DROGARIA VAZ (10179)"</f>
        <v>DROGARIA VAZ (10179)</v>
      </c>
      <c r="H245" t="str">
        <f>"Serv.Prest. 24/11/2025 a 30/11/2025 - RPS: 1689 - NFSe: 3927"</f>
        <v>Serv.Prest. 24/11/2025 a 30/11/2025 - RPS: 1689 - NFSe: 3927</v>
      </c>
      <c r="I245" t="str">
        <f>("03/12/2025")</f>
        <v>03/12/2025</v>
      </c>
      <c r="J245" t="str">
        <f>("01/12/2025")</f>
        <v>01/12/2025</v>
      </c>
      <c r="K245" t="str">
        <f>("08/12/2025")</f>
        <v>08/12/2025</v>
      </c>
      <c r="L245">
        <v>229.03</v>
      </c>
      <c r="M245">
        <v>240.48</v>
      </c>
      <c r="N245">
        <v>303</v>
      </c>
      <c r="O245" t="str">
        <f>"RECEITAS COM ENTREGAS"</f>
        <v>RECEITAS COM ENTREGAS</v>
      </c>
      <c r="P245">
        <v>240.48</v>
      </c>
      <c r="S245" t="str">
        <f>"RECEITAS COM ENTREGAS (303)"</f>
        <v>RECEITAS COM ENTREGAS (303)</v>
      </c>
      <c r="T245">
        <v>3874</v>
      </c>
      <c r="U245">
        <v>2841</v>
      </c>
      <c r="V245" t="s">
        <v>36</v>
      </c>
    </row>
    <row r="246" spans="1:22">
      <c r="A246" t="str">
        <f>("08/12/2025")</f>
        <v>08/12/2025</v>
      </c>
      <c r="B246" t="str">
        <f>"ENTRADA"</f>
        <v>ENTRADA</v>
      </c>
      <c r="C246" t="str">
        <f>"NFSE"</f>
        <v>NFSE</v>
      </c>
      <c r="D246" t="str">
        <f>"3927"</f>
        <v>3927</v>
      </c>
      <c r="E246" t="str">
        <f>"1"</f>
        <v>1</v>
      </c>
      <c r="F246" t="str">
        <f t="shared" si="89"/>
        <v>COM</v>
      </c>
      <c r="G246" t="str">
        <f>"DROGARIA VAZ (10179)"</f>
        <v>DROGARIA VAZ (10179)</v>
      </c>
      <c r="H246" t="s">
        <v>103</v>
      </c>
      <c r="I246" t="str">
        <f>("03/12/2025")</f>
        <v>03/12/2025</v>
      </c>
      <c r="J246" t="str">
        <f>("01/12/2025")</f>
        <v>01/12/2025</v>
      </c>
      <c r="K246">
        <v>45999</v>
      </c>
      <c r="N246">
        <v>303</v>
      </c>
      <c r="O246" t="s">
        <v>30</v>
      </c>
      <c r="Q246">
        <v>240.48</v>
      </c>
      <c r="R246" t="str">
        <f>"DROGARIA VAZ (10179)"</f>
        <v>DROGARIA VAZ (10179)</v>
      </c>
      <c r="S246" t="s">
        <v>31</v>
      </c>
      <c r="T246">
        <v>3874</v>
      </c>
      <c r="U246">
        <v>2841</v>
      </c>
      <c r="V246" t="s">
        <v>36</v>
      </c>
    </row>
    <row r="247" spans="1:22">
      <c r="A247" t="str">
        <f t="shared" ref="A247:A271" si="90">("09/12/2025")</f>
        <v>09/12/2025</v>
      </c>
      <c r="B247" t="str">
        <f t="shared" ref="B247:B255" si="91">"SAÍDA"</f>
        <v>SAÍDA</v>
      </c>
      <c r="C247" t="str">
        <f>"BOLETO"</f>
        <v>BOLETO</v>
      </c>
      <c r="D247" t="str">
        <f>"0901"</f>
        <v>0901</v>
      </c>
      <c r="E247" t="str">
        <f>"36"</f>
        <v>36</v>
      </c>
      <c r="F247" t="str">
        <f t="shared" si="89"/>
        <v>COM</v>
      </c>
      <c r="G247" t="str">
        <f>"CORA SOCIEDADE DE CREDITO, FINANCIAMENTO E INVESTIMENTO (20035)"</f>
        <v>CORA SOCIEDADE DE CREDITO, FINANCIAMENTO E INVESTIMENTO (20035)</v>
      </c>
      <c r="H247" t="str">
        <f>"DESPESAS COM TARIFAS BANCARIAS"</f>
        <v>DESPESAS COM TARIFAS BANCARIAS</v>
      </c>
      <c r="I247" t="str">
        <f t="shared" ref="I247:I255" si="92">("09/12/2025")</f>
        <v>09/12/2025</v>
      </c>
      <c r="J247" t="str">
        <f>("01/01/2025")</f>
        <v>01/01/2025</v>
      </c>
      <c r="K247" t="str">
        <f>("09/12/2025")</f>
        <v>09/12/2025</v>
      </c>
      <c r="L247">
        <v>44.9</v>
      </c>
      <c r="M247">
        <v>44.9</v>
      </c>
      <c r="N247">
        <v>401</v>
      </c>
      <c r="O247" t="str">
        <f>"IOF/JUROS/DESP.FINANCEIRA"</f>
        <v>IOF/JUROS/DESP.FINANCEIRA</v>
      </c>
      <c r="P247">
        <v>44.9</v>
      </c>
      <c r="S247" t="str">
        <f>"BANCO CORA (102)"</f>
        <v>BANCO CORA (102)</v>
      </c>
      <c r="T247">
        <v>3451</v>
      </c>
      <c r="U247">
        <v>754</v>
      </c>
      <c r="V247" t="s">
        <v>22</v>
      </c>
    </row>
    <row r="248" spans="1:22">
      <c r="A248" t="str">
        <f t="shared" si="90"/>
        <v>09/12/2025</v>
      </c>
      <c r="B248" t="str">
        <f t="shared" si="91"/>
        <v>SAÍDA</v>
      </c>
      <c r="C248" t="str">
        <f>"BOLETO"</f>
        <v>BOLETO</v>
      </c>
      <c r="D248" t="str">
        <f>"0901"</f>
        <v>0901</v>
      </c>
      <c r="E248" t="str">
        <f>"36"</f>
        <v>36</v>
      </c>
      <c r="F248" t="str">
        <f t="shared" si="89"/>
        <v>COM</v>
      </c>
      <c r="G248" t="str">
        <f>"CORA SOCIEDADE DE CREDITO, FINANCIAMENTO E INVESTIMENTO (20035)"</f>
        <v>CORA SOCIEDADE DE CREDITO, FINANCIAMENTO E INVESTIMENTO (20035)</v>
      </c>
      <c r="H248" t="s">
        <v>104</v>
      </c>
      <c r="I248" t="str">
        <f t="shared" si="92"/>
        <v>09/12/2025</v>
      </c>
      <c r="J248" t="str">
        <f>("01/01/2025")</f>
        <v>01/01/2025</v>
      </c>
      <c r="K248">
        <v>46000</v>
      </c>
      <c r="N248">
        <v>401</v>
      </c>
      <c r="O248" t="s">
        <v>34</v>
      </c>
      <c r="Q248">
        <v>44.9</v>
      </c>
      <c r="R248" t="str">
        <f>"CORA SOCIEDADE DE CREDITO, FINANCIAMENTO E INVESTIMENTO (20035)"</f>
        <v>CORA SOCIEDADE DE CREDITO, FINANCIAMENTO E INVESTIMENTO (20035)</v>
      </c>
      <c r="S248" t="s">
        <v>22</v>
      </c>
      <c r="T248">
        <v>3451</v>
      </c>
      <c r="U248">
        <v>754</v>
      </c>
      <c r="V248" t="s">
        <v>22</v>
      </c>
    </row>
    <row r="249" spans="1:22">
      <c r="A249" t="str">
        <f t="shared" si="90"/>
        <v>09/12/2025</v>
      </c>
      <c r="B249" t="str">
        <f t="shared" si="91"/>
        <v>SAÍDA</v>
      </c>
      <c r="C249" t="str">
        <f>"BOLETO"</f>
        <v>BOLETO</v>
      </c>
      <c r="D249" t="str">
        <f>"751540"</f>
        <v>751540</v>
      </c>
      <c r="E249" t="str">
        <f>"12"</f>
        <v>12</v>
      </c>
      <c r="F249" t="str">
        <f t="shared" si="89"/>
        <v>COM</v>
      </c>
      <c r="G249" t="str">
        <f>"MONGERAL AEGON SEGUROS E PREVIDENCIA SA (20063)"</f>
        <v>MONGERAL AEGON SEGUROS E PREVIDENCIA SA (20063)</v>
      </c>
      <c r="H249" t="str">
        <f>"SEGURO DE VIDA SOCIOS"</f>
        <v>SEGURO DE VIDA SOCIOS</v>
      </c>
      <c r="I249" t="str">
        <f t="shared" si="92"/>
        <v>09/12/2025</v>
      </c>
      <c r="J249" t="str">
        <f>("05/02/2025")</f>
        <v>05/02/2025</v>
      </c>
      <c r="K249" t="str">
        <f>("09/12/2025")</f>
        <v>09/12/2025</v>
      </c>
      <c r="L249">
        <v>228.35</v>
      </c>
      <c r="M249">
        <v>228.35</v>
      </c>
      <c r="N249">
        <v>192</v>
      </c>
      <c r="O249" t="str">
        <f>"PLANOS E SEGUROS"</f>
        <v>PLANOS E SEGUROS</v>
      </c>
      <c r="P249">
        <v>228.35</v>
      </c>
      <c r="S249" t="str">
        <f>"BANCO CORA (102)"</f>
        <v>BANCO CORA (102)</v>
      </c>
      <c r="T249">
        <v>3452</v>
      </c>
      <c r="U249">
        <v>835</v>
      </c>
      <c r="V249" t="s">
        <v>22</v>
      </c>
    </row>
    <row r="250" spans="1:22">
      <c r="A250" t="str">
        <f t="shared" si="90"/>
        <v>09/12/2025</v>
      </c>
      <c r="B250" t="str">
        <f t="shared" si="91"/>
        <v>SAÍDA</v>
      </c>
      <c r="C250" t="str">
        <f>"BOLETO"</f>
        <v>BOLETO</v>
      </c>
      <c r="D250" t="str">
        <f>"751540"</f>
        <v>751540</v>
      </c>
      <c r="E250" t="str">
        <f>"12"</f>
        <v>12</v>
      </c>
      <c r="F250" t="str">
        <f t="shared" si="89"/>
        <v>COM</v>
      </c>
      <c r="G250" t="str">
        <f>"MONGERAL AEGON SEGUROS E PREVIDENCIA SA (20063)"</f>
        <v>MONGERAL AEGON SEGUROS E PREVIDENCIA SA (20063)</v>
      </c>
      <c r="H250" t="s">
        <v>105</v>
      </c>
      <c r="I250" t="str">
        <f t="shared" si="92"/>
        <v>09/12/2025</v>
      </c>
      <c r="J250" t="str">
        <f>("05/02/2025")</f>
        <v>05/02/2025</v>
      </c>
      <c r="K250">
        <v>46000</v>
      </c>
      <c r="N250">
        <v>192</v>
      </c>
      <c r="O250" t="s">
        <v>28</v>
      </c>
      <c r="Q250">
        <v>228.35</v>
      </c>
      <c r="R250" t="str">
        <f>"MONGERAL AEGON SEGUROS E PREVIDENCIA SA (20063)"</f>
        <v>MONGERAL AEGON SEGUROS E PREVIDENCIA SA (20063)</v>
      </c>
      <c r="S250" t="s">
        <v>22</v>
      </c>
      <c r="T250">
        <v>3452</v>
      </c>
      <c r="U250">
        <v>835</v>
      </c>
      <c r="V250" t="s">
        <v>22</v>
      </c>
    </row>
    <row r="251" spans="1:22">
      <c r="A251" t="str">
        <f t="shared" si="90"/>
        <v>09/12/2025</v>
      </c>
      <c r="B251" t="str">
        <f t="shared" si="91"/>
        <v>SAÍDA</v>
      </c>
      <c r="C251" t="str">
        <f>"PIX"</f>
        <v>PIX</v>
      </c>
      <c r="D251" t="str">
        <f>"19112535"</f>
        <v>19112535</v>
      </c>
      <c r="E251" t="str">
        <f>"2"</f>
        <v>2</v>
      </c>
      <c r="F251" t="str">
        <f t="shared" si="89"/>
        <v>COM</v>
      </c>
      <c r="G251" t="str">
        <f>"LILIANE DE FATIMA REZENDE JUSTINO (20013)"</f>
        <v>LILIANE DE FATIMA REZENDE JUSTINO (20013)</v>
      </c>
      <c r="H251" t="str">
        <f>"REEMBOLSO - MENSALIDADE CANVA"</f>
        <v>REEMBOLSO - MENSALIDADE CANVA</v>
      </c>
      <c r="I251" t="str">
        <f t="shared" si="92"/>
        <v>09/12/2025</v>
      </c>
      <c r="J251" t="str">
        <f>("18/11/2025")</f>
        <v>18/11/2025</v>
      </c>
      <c r="K251" t="str">
        <f>("09/12/2025")</f>
        <v>09/12/2025</v>
      </c>
      <c r="L251">
        <v>35</v>
      </c>
      <c r="M251">
        <v>35</v>
      </c>
      <c r="N251">
        <v>104</v>
      </c>
      <c r="O251" t="str">
        <f>"SOFTWARE / LICENÇAS"</f>
        <v>SOFTWARE / LICENÇAS</v>
      </c>
      <c r="P251">
        <v>35</v>
      </c>
      <c r="S251" t="str">
        <f>"BANCO CORA (102)"</f>
        <v>BANCO CORA (102)</v>
      </c>
      <c r="T251">
        <v>3454</v>
      </c>
      <c r="U251">
        <v>2678</v>
      </c>
      <c r="V251" t="s">
        <v>22</v>
      </c>
    </row>
    <row r="252" spans="1:22">
      <c r="A252" t="str">
        <f t="shared" si="90"/>
        <v>09/12/2025</v>
      </c>
      <c r="B252" t="str">
        <f t="shared" si="91"/>
        <v>SAÍDA</v>
      </c>
      <c r="C252" t="str">
        <f>"PIX"</f>
        <v>PIX</v>
      </c>
      <c r="D252" t="str">
        <f>"19112535"</f>
        <v>19112535</v>
      </c>
      <c r="E252" t="str">
        <f>"2"</f>
        <v>2</v>
      </c>
      <c r="F252" t="str">
        <f t="shared" si="89"/>
        <v>COM</v>
      </c>
      <c r="G252" t="str">
        <f>"LILIANE DE FATIMA REZENDE JUSTINO (20013)"</f>
        <v>LILIANE DE FATIMA REZENDE JUSTINO (20013)</v>
      </c>
      <c r="H252" t="s">
        <v>106</v>
      </c>
      <c r="I252" t="str">
        <f t="shared" si="92"/>
        <v>09/12/2025</v>
      </c>
      <c r="J252" t="str">
        <f>("18/11/2025")</f>
        <v>18/11/2025</v>
      </c>
      <c r="K252">
        <v>46000</v>
      </c>
      <c r="N252">
        <v>104</v>
      </c>
      <c r="O252" t="s">
        <v>52</v>
      </c>
      <c r="Q252">
        <v>35</v>
      </c>
      <c r="R252" t="str">
        <f>"LILIANE DE FATIMA REZENDE JUSTINO (20013)"</f>
        <v>LILIANE DE FATIMA REZENDE JUSTINO (20013)</v>
      </c>
      <c r="S252" t="s">
        <v>22</v>
      </c>
      <c r="T252">
        <v>3454</v>
      </c>
      <c r="U252">
        <v>2678</v>
      </c>
      <c r="V252" t="s">
        <v>22</v>
      </c>
    </row>
    <row r="253" spans="1:22">
      <c r="A253" t="str">
        <f t="shared" si="90"/>
        <v>09/12/2025</v>
      </c>
      <c r="B253" t="str">
        <f t="shared" si="91"/>
        <v>SAÍDA</v>
      </c>
      <c r="C253" t="str">
        <f>"PIX"</f>
        <v>PIX</v>
      </c>
      <c r="D253" t="str">
        <f>"1012253290"</f>
        <v>1012253290</v>
      </c>
      <c r="E253" t="str">
        <f>""</f>
        <v/>
      </c>
      <c r="F253" t="str">
        <f t="shared" si="89"/>
        <v>COM</v>
      </c>
      <c r="G253" t="str">
        <f>"LILIANE DE FATIMA REZENDE JUSTINO (20013)"</f>
        <v>LILIANE DE FATIMA REZENDE JUSTINO (20013)</v>
      </c>
      <c r="H253" t="str">
        <f>"ASSINATURA CAPCUT"</f>
        <v>ASSINATURA CAPCUT</v>
      </c>
      <c r="I253" t="str">
        <f t="shared" si="92"/>
        <v>09/12/2025</v>
      </c>
      <c r="J253" t="str">
        <f>("18/11/2025")</f>
        <v>18/11/2025</v>
      </c>
      <c r="K253" t="str">
        <f>("09/12/2025")</f>
        <v>09/12/2025</v>
      </c>
      <c r="L253">
        <v>32.9</v>
      </c>
      <c r="M253">
        <v>32.9</v>
      </c>
      <c r="N253">
        <v>104</v>
      </c>
      <c r="O253" t="str">
        <f>"SOFTWARE / LICENÇAS"</f>
        <v>SOFTWARE / LICENÇAS</v>
      </c>
      <c r="P253">
        <v>32.9</v>
      </c>
      <c r="S253" t="str">
        <f>"BANCO CORA (102)"</f>
        <v>BANCO CORA (102)</v>
      </c>
      <c r="T253">
        <v>3455</v>
      </c>
      <c r="U253">
        <v>2691</v>
      </c>
      <c r="V253" t="s">
        <v>22</v>
      </c>
    </row>
    <row r="254" spans="1:22">
      <c r="A254" t="str">
        <f t="shared" si="90"/>
        <v>09/12/2025</v>
      </c>
      <c r="B254" t="str">
        <f t="shared" si="91"/>
        <v>SAÍDA</v>
      </c>
      <c r="C254" t="str">
        <f>"PIX"</f>
        <v>PIX</v>
      </c>
      <c r="D254" t="str">
        <f>"1012253290"</f>
        <v>1012253290</v>
      </c>
      <c r="E254" t="str">
        <f>""</f>
        <v/>
      </c>
      <c r="F254" t="str">
        <f t="shared" si="89"/>
        <v>COM</v>
      </c>
      <c r="G254" t="str">
        <f>"LILIANE DE FATIMA REZENDE JUSTINO (20013)"</f>
        <v>LILIANE DE FATIMA REZENDE JUSTINO (20013)</v>
      </c>
      <c r="H254" t="s">
        <v>107</v>
      </c>
      <c r="I254" t="str">
        <f t="shared" si="92"/>
        <v>09/12/2025</v>
      </c>
      <c r="J254" t="str">
        <f>("18/11/2025")</f>
        <v>18/11/2025</v>
      </c>
      <c r="K254">
        <v>46000</v>
      </c>
      <c r="N254">
        <v>104</v>
      </c>
      <c r="O254" t="s">
        <v>52</v>
      </c>
      <c r="Q254">
        <v>32.9</v>
      </c>
      <c r="R254" t="str">
        <f>"LILIANE DE FATIMA REZENDE JUSTINO (20013)"</f>
        <v>LILIANE DE FATIMA REZENDE JUSTINO (20013)</v>
      </c>
      <c r="S254" t="s">
        <v>22</v>
      </c>
      <c r="T254">
        <v>3455</v>
      </c>
      <c r="U254">
        <v>2691</v>
      </c>
      <c r="V254" t="s">
        <v>22</v>
      </c>
    </row>
    <row r="255" spans="1:22">
      <c r="A255" t="str">
        <f t="shared" si="90"/>
        <v>09/12/2025</v>
      </c>
      <c r="B255" t="str">
        <f t="shared" si="91"/>
        <v>SAÍDA</v>
      </c>
      <c r="C255" t="str">
        <f>"BOLETO"</f>
        <v>BOLETO</v>
      </c>
      <c r="D255" t="str">
        <f>"0000409514"</f>
        <v>0000409514</v>
      </c>
      <c r="E255" t="str">
        <f>"01"</f>
        <v>01</v>
      </c>
      <c r="F255" t="str">
        <f t="shared" si="89"/>
        <v>COM</v>
      </c>
      <c r="G255" t="str">
        <f>"SOLIDES TECNOLOGIA SA (20114)"</f>
        <v>SOLIDES TECNOLOGIA SA (20114)</v>
      </c>
      <c r="H255" t="str">
        <f>"PLATAFORMA DE RECRUTAMENTO "</f>
        <v xml:space="preserve">PLATAFORMA DE RECRUTAMENTO </v>
      </c>
      <c r="I255" t="str">
        <f t="shared" si="92"/>
        <v>09/12/2025</v>
      </c>
      <c r="J255" t="str">
        <f>("03/12/2025")</f>
        <v>03/12/2025</v>
      </c>
      <c r="K255" t="str">
        <f>("09/12/2025")</f>
        <v>09/12/2025</v>
      </c>
      <c r="L255">
        <v>86</v>
      </c>
      <c r="M255">
        <v>86</v>
      </c>
      <c r="N255">
        <v>104</v>
      </c>
      <c r="O255" t="str">
        <f>"SOFTWARE / LICENÇAS"</f>
        <v>SOFTWARE / LICENÇAS</v>
      </c>
      <c r="P255">
        <v>86</v>
      </c>
      <c r="S255" t="str">
        <f>"BANCO CORA (102)"</f>
        <v>BANCO CORA (102)</v>
      </c>
      <c r="T255">
        <v>3456</v>
      </c>
      <c r="U255">
        <v>2977</v>
      </c>
      <c r="V255" t="s">
        <v>22</v>
      </c>
    </row>
    <row r="256" spans="1:22">
      <c r="A256" t="str">
        <f t="shared" si="90"/>
        <v>09/12/2025</v>
      </c>
      <c r="B256" t="str">
        <f t="shared" ref="B256:B265" si="93">"ENTRADA"</f>
        <v>ENTRADA</v>
      </c>
      <c r="C256" t="str">
        <f t="shared" ref="C256:C265" si="94">"NFSE"</f>
        <v>NFSE</v>
      </c>
      <c r="D256" t="str">
        <f>"3873"</f>
        <v>3873</v>
      </c>
      <c r="E256" t="str">
        <f t="shared" ref="E256:E265" si="95">"1"</f>
        <v>1</v>
      </c>
      <c r="F256" t="str">
        <f t="shared" si="89"/>
        <v>COM</v>
      </c>
      <c r="G256" t="str">
        <f>"PAGMENOS - LJ 768 (10266)"</f>
        <v>PAGMENOS - LJ 768 (10266)</v>
      </c>
      <c r="H256" t="str">
        <f>"Serv.Prest. 17/11/2025 a 23/11/2025 - RPS: 1636 - NFSe: 3873"</f>
        <v>Serv.Prest. 17/11/2025 a 23/11/2025 - RPS: 1636 - NFSe: 3873</v>
      </c>
      <c r="I256" t="str">
        <f t="shared" ref="I256:I265" si="96">("04/12/2025")</f>
        <v>04/12/2025</v>
      </c>
      <c r="J256" t="str">
        <f t="shared" ref="J256:J265" si="97">("24/11/2025")</f>
        <v>24/11/2025</v>
      </c>
      <c r="K256" t="str">
        <f>("09/12/2025")</f>
        <v>09/12/2025</v>
      </c>
      <c r="L256">
        <v>237.97</v>
      </c>
      <c r="M256">
        <v>237.97</v>
      </c>
      <c r="N256">
        <v>303</v>
      </c>
      <c r="O256" t="str">
        <f>"RECEITAS COM ENTREGAS"</f>
        <v>RECEITAS COM ENTREGAS</v>
      </c>
      <c r="P256">
        <v>237.97</v>
      </c>
      <c r="S256" t="str">
        <f>"RECEITAS COM ENTREGAS (303)"</f>
        <v>RECEITAS COM ENTREGAS (303)</v>
      </c>
      <c r="T256">
        <v>3504</v>
      </c>
      <c r="U256">
        <v>2784</v>
      </c>
      <c r="V256" t="s">
        <v>22</v>
      </c>
    </row>
    <row r="257" spans="1:22">
      <c r="A257" t="str">
        <f t="shared" si="90"/>
        <v>09/12/2025</v>
      </c>
      <c r="B257" t="str">
        <f t="shared" si="93"/>
        <v>ENTRADA</v>
      </c>
      <c r="C257" t="str">
        <f t="shared" si="94"/>
        <v>NFSE</v>
      </c>
      <c r="D257" t="str">
        <f>"3873"</f>
        <v>3873</v>
      </c>
      <c r="E257" t="str">
        <f t="shared" si="95"/>
        <v>1</v>
      </c>
      <c r="F257" t="str">
        <f t="shared" si="89"/>
        <v>COM</v>
      </c>
      <c r="G257" t="str">
        <f>"PAGMENOS - LJ 768 (10266)"</f>
        <v>PAGMENOS - LJ 768 (10266)</v>
      </c>
      <c r="H257" t="s">
        <v>108</v>
      </c>
      <c r="I257" t="str">
        <f t="shared" si="96"/>
        <v>04/12/2025</v>
      </c>
      <c r="J257" t="str">
        <f t="shared" si="97"/>
        <v>24/11/2025</v>
      </c>
      <c r="K257">
        <v>46000</v>
      </c>
      <c r="N257">
        <v>303</v>
      </c>
      <c r="O257" t="s">
        <v>30</v>
      </c>
      <c r="Q257">
        <v>237.97</v>
      </c>
      <c r="R257" t="str">
        <f>"PAGMENOS - LJ 768 (10266)"</f>
        <v>PAGMENOS - LJ 768 (10266)</v>
      </c>
      <c r="S257" t="s">
        <v>31</v>
      </c>
      <c r="T257">
        <v>3504</v>
      </c>
      <c r="U257">
        <v>2784</v>
      </c>
      <c r="V257" t="s">
        <v>22</v>
      </c>
    </row>
    <row r="258" spans="1:22">
      <c r="A258" t="str">
        <f t="shared" si="90"/>
        <v>09/12/2025</v>
      </c>
      <c r="B258" t="str">
        <f t="shared" si="93"/>
        <v>ENTRADA</v>
      </c>
      <c r="C258" t="str">
        <f t="shared" si="94"/>
        <v>NFSE</v>
      </c>
      <c r="D258" t="str">
        <f>"3870"</f>
        <v>3870</v>
      </c>
      <c r="E258" t="str">
        <f t="shared" si="95"/>
        <v>1</v>
      </c>
      <c r="F258" t="str">
        <f t="shared" si="89"/>
        <v>COM</v>
      </c>
      <c r="G258" t="str">
        <f>"PAGMENOS - LJ 657 (10136)"</f>
        <v>PAGMENOS - LJ 657 (10136)</v>
      </c>
      <c r="H258" t="str">
        <f>"Serv.Prest. 17/11/2025 a 23/11/2025 - RPS: 1633 - NFSe: 3870"</f>
        <v>Serv.Prest. 17/11/2025 a 23/11/2025 - RPS: 1633 - NFSe: 3870</v>
      </c>
      <c r="I258" t="str">
        <f t="shared" si="96"/>
        <v>04/12/2025</v>
      </c>
      <c r="J258" t="str">
        <f t="shared" si="97"/>
        <v>24/11/2025</v>
      </c>
      <c r="K258" t="str">
        <f>("09/12/2025")</f>
        <v>09/12/2025</v>
      </c>
      <c r="L258">
        <v>550.62</v>
      </c>
      <c r="M258">
        <v>550.62</v>
      </c>
      <c r="N258">
        <v>303</v>
      </c>
      <c r="O258" t="str">
        <f>"RECEITAS COM ENTREGAS"</f>
        <v>RECEITAS COM ENTREGAS</v>
      </c>
      <c r="P258">
        <v>550.62</v>
      </c>
      <c r="S258" t="str">
        <f>"RECEITAS COM ENTREGAS (303)"</f>
        <v>RECEITAS COM ENTREGAS (303)</v>
      </c>
      <c r="T258">
        <v>3505</v>
      </c>
      <c r="U258">
        <v>2781</v>
      </c>
      <c r="V258" t="s">
        <v>22</v>
      </c>
    </row>
    <row r="259" spans="1:22">
      <c r="A259" t="str">
        <f t="shared" si="90"/>
        <v>09/12/2025</v>
      </c>
      <c r="B259" t="str">
        <f t="shared" si="93"/>
        <v>ENTRADA</v>
      </c>
      <c r="C259" t="str">
        <f t="shared" si="94"/>
        <v>NFSE</v>
      </c>
      <c r="D259" t="str">
        <f>"3870"</f>
        <v>3870</v>
      </c>
      <c r="E259" t="str">
        <f t="shared" si="95"/>
        <v>1</v>
      </c>
      <c r="F259" t="str">
        <f t="shared" si="89"/>
        <v>COM</v>
      </c>
      <c r="G259" t="str">
        <f>"PAGMENOS - LJ 657 (10136)"</f>
        <v>PAGMENOS - LJ 657 (10136)</v>
      </c>
      <c r="H259" t="s">
        <v>109</v>
      </c>
      <c r="I259" t="str">
        <f t="shared" si="96"/>
        <v>04/12/2025</v>
      </c>
      <c r="J259" t="str">
        <f t="shared" si="97"/>
        <v>24/11/2025</v>
      </c>
      <c r="K259">
        <v>46000</v>
      </c>
      <c r="N259">
        <v>303</v>
      </c>
      <c r="O259" t="s">
        <v>30</v>
      </c>
      <c r="Q259">
        <v>550.62</v>
      </c>
      <c r="R259" t="str">
        <f>"PAGMENOS - LJ 657 (10136)"</f>
        <v>PAGMENOS - LJ 657 (10136)</v>
      </c>
      <c r="S259" t="s">
        <v>31</v>
      </c>
      <c r="T259">
        <v>3505</v>
      </c>
      <c r="U259">
        <v>2781</v>
      </c>
      <c r="V259" t="s">
        <v>22</v>
      </c>
    </row>
    <row r="260" spans="1:22">
      <c r="A260" t="str">
        <f t="shared" si="90"/>
        <v>09/12/2025</v>
      </c>
      <c r="B260" t="str">
        <f t="shared" si="93"/>
        <v>ENTRADA</v>
      </c>
      <c r="C260" t="str">
        <f t="shared" si="94"/>
        <v>NFSE</v>
      </c>
      <c r="D260" t="str">
        <f>"3869"</f>
        <v>3869</v>
      </c>
      <c r="E260" t="str">
        <f t="shared" si="95"/>
        <v>1</v>
      </c>
      <c r="F260" t="str">
        <f t="shared" si="89"/>
        <v>COM</v>
      </c>
      <c r="G260" t="str">
        <f>"PAGMENOS - LJ 608 (10135)"</f>
        <v>PAGMENOS - LJ 608 (10135)</v>
      </c>
      <c r="H260" t="str">
        <f>"Serv.Prest. 17/11/2025 a 23/11/2025 - RPS: 1632 - NFSe: 3869"</f>
        <v>Serv.Prest. 17/11/2025 a 23/11/2025 - RPS: 1632 - NFSe: 3869</v>
      </c>
      <c r="I260" t="str">
        <f t="shared" si="96"/>
        <v>04/12/2025</v>
      </c>
      <c r="J260" t="str">
        <f t="shared" si="97"/>
        <v>24/11/2025</v>
      </c>
      <c r="K260" t="str">
        <f>("09/12/2025")</f>
        <v>09/12/2025</v>
      </c>
      <c r="L260">
        <v>220.25</v>
      </c>
      <c r="M260">
        <v>220.25</v>
      </c>
      <c r="N260">
        <v>303</v>
      </c>
      <c r="O260" t="str">
        <f>"RECEITAS COM ENTREGAS"</f>
        <v>RECEITAS COM ENTREGAS</v>
      </c>
      <c r="P260">
        <v>220.25</v>
      </c>
      <c r="S260" t="str">
        <f>"RECEITAS COM ENTREGAS (303)"</f>
        <v>RECEITAS COM ENTREGAS (303)</v>
      </c>
      <c r="T260">
        <v>3506</v>
      </c>
      <c r="U260">
        <v>2780</v>
      </c>
      <c r="V260" t="s">
        <v>22</v>
      </c>
    </row>
    <row r="261" spans="1:22">
      <c r="A261" t="str">
        <f t="shared" si="90"/>
        <v>09/12/2025</v>
      </c>
      <c r="B261" t="str">
        <f t="shared" si="93"/>
        <v>ENTRADA</v>
      </c>
      <c r="C261" t="str">
        <f t="shared" si="94"/>
        <v>NFSE</v>
      </c>
      <c r="D261" t="str">
        <f>"3869"</f>
        <v>3869</v>
      </c>
      <c r="E261" t="str">
        <f t="shared" si="95"/>
        <v>1</v>
      </c>
      <c r="F261" t="str">
        <f t="shared" si="89"/>
        <v>COM</v>
      </c>
      <c r="G261" t="str">
        <f>"PAGMENOS - LJ 608 (10135)"</f>
        <v>PAGMENOS - LJ 608 (10135)</v>
      </c>
      <c r="H261" t="s">
        <v>110</v>
      </c>
      <c r="I261" t="str">
        <f t="shared" si="96"/>
        <v>04/12/2025</v>
      </c>
      <c r="J261" t="str">
        <f t="shared" si="97"/>
        <v>24/11/2025</v>
      </c>
      <c r="K261">
        <v>46000</v>
      </c>
      <c r="N261">
        <v>303</v>
      </c>
      <c r="O261" t="s">
        <v>30</v>
      </c>
      <c r="Q261">
        <v>220.25</v>
      </c>
      <c r="R261" t="str">
        <f>"PAGMENOS - LJ 608 (10135)"</f>
        <v>PAGMENOS - LJ 608 (10135)</v>
      </c>
      <c r="S261" t="s">
        <v>31</v>
      </c>
      <c r="T261">
        <v>3506</v>
      </c>
      <c r="U261">
        <v>2780</v>
      </c>
      <c r="V261" t="s">
        <v>22</v>
      </c>
    </row>
    <row r="262" spans="1:22">
      <c r="A262" t="str">
        <f t="shared" si="90"/>
        <v>09/12/2025</v>
      </c>
      <c r="B262" t="str">
        <f t="shared" si="93"/>
        <v>ENTRADA</v>
      </c>
      <c r="C262" t="str">
        <f t="shared" si="94"/>
        <v>NFSE</v>
      </c>
      <c r="D262" t="str">
        <f>"3872"</f>
        <v>3872</v>
      </c>
      <c r="E262" t="str">
        <f t="shared" si="95"/>
        <v>1</v>
      </c>
      <c r="F262" t="str">
        <f t="shared" si="89"/>
        <v>COM</v>
      </c>
      <c r="G262" t="str">
        <f>"PAGMENOS - LJ 431 (10265)"</f>
        <v>PAGMENOS - LJ 431 (10265)</v>
      </c>
      <c r="H262" t="str">
        <f>"Serv.Prest. 17/11/2025 a 23/11/2025 - RPS: 1635 - NFSe: 3872"</f>
        <v>Serv.Prest. 17/11/2025 a 23/11/2025 - RPS: 1635 - NFSe: 3872</v>
      </c>
      <c r="I262" t="str">
        <f t="shared" si="96"/>
        <v>04/12/2025</v>
      </c>
      <c r="J262" t="str">
        <f t="shared" si="97"/>
        <v>24/11/2025</v>
      </c>
      <c r="K262" t="str">
        <f>("09/12/2025")</f>
        <v>09/12/2025</v>
      </c>
      <c r="L262">
        <v>245.1</v>
      </c>
      <c r="M262">
        <v>245.1</v>
      </c>
      <c r="N262">
        <v>303</v>
      </c>
      <c r="O262" t="str">
        <f>"RECEITAS COM ENTREGAS"</f>
        <v>RECEITAS COM ENTREGAS</v>
      </c>
      <c r="P262">
        <v>245.1</v>
      </c>
      <c r="S262" t="str">
        <f>"RECEITAS COM ENTREGAS (303)"</f>
        <v>RECEITAS COM ENTREGAS (303)</v>
      </c>
      <c r="T262">
        <v>3507</v>
      </c>
      <c r="U262">
        <v>2783</v>
      </c>
      <c r="V262" t="s">
        <v>22</v>
      </c>
    </row>
    <row r="263" spans="1:22">
      <c r="A263" t="str">
        <f t="shared" si="90"/>
        <v>09/12/2025</v>
      </c>
      <c r="B263" t="str">
        <f t="shared" si="93"/>
        <v>ENTRADA</v>
      </c>
      <c r="C263" t="str">
        <f t="shared" si="94"/>
        <v>NFSE</v>
      </c>
      <c r="D263" t="str">
        <f>"3872"</f>
        <v>3872</v>
      </c>
      <c r="E263" t="str">
        <f t="shared" si="95"/>
        <v>1</v>
      </c>
      <c r="F263" t="str">
        <f t="shared" si="89"/>
        <v>COM</v>
      </c>
      <c r="G263" t="str">
        <f>"PAGMENOS - LJ 431 (10265)"</f>
        <v>PAGMENOS - LJ 431 (10265)</v>
      </c>
      <c r="H263" t="s">
        <v>111</v>
      </c>
      <c r="I263" t="str">
        <f t="shared" si="96"/>
        <v>04/12/2025</v>
      </c>
      <c r="J263" t="str">
        <f t="shared" si="97"/>
        <v>24/11/2025</v>
      </c>
      <c r="K263">
        <v>46000</v>
      </c>
      <c r="N263">
        <v>303</v>
      </c>
      <c r="O263" t="s">
        <v>30</v>
      </c>
      <c r="Q263">
        <v>245.1</v>
      </c>
      <c r="R263" t="str">
        <f>"PAGMENOS - LJ 431 (10265)"</f>
        <v>PAGMENOS - LJ 431 (10265)</v>
      </c>
      <c r="S263" t="s">
        <v>31</v>
      </c>
      <c r="T263">
        <v>3507</v>
      </c>
      <c r="U263">
        <v>2783</v>
      </c>
      <c r="V263" t="s">
        <v>22</v>
      </c>
    </row>
    <row r="264" spans="1:22">
      <c r="A264" t="str">
        <f t="shared" si="90"/>
        <v>09/12/2025</v>
      </c>
      <c r="B264" t="str">
        <f t="shared" si="93"/>
        <v>ENTRADA</v>
      </c>
      <c r="C264" t="str">
        <f t="shared" si="94"/>
        <v>NFSE</v>
      </c>
      <c r="D264" t="str">
        <f>"3871"</f>
        <v>3871</v>
      </c>
      <c r="E264" t="str">
        <f t="shared" si="95"/>
        <v>1</v>
      </c>
      <c r="F264" t="str">
        <f t="shared" si="89"/>
        <v>COM</v>
      </c>
      <c r="G264" t="str">
        <f>"PAGMENOS - LJ 326 (10264)"</f>
        <v>PAGMENOS - LJ 326 (10264)</v>
      </c>
      <c r="H264" t="str">
        <f>"Serv.Prest. 17/11/2025 a 23/11/2025 - RPS: 1634 - NFSe: 3871"</f>
        <v>Serv.Prest. 17/11/2025 a 23/11/2025 - RPS: 1634 - NFSe: 3871</v>
      </c>
      <c r="I264" t="str">
        <f t="shared" si="96"/>
        <v>04/12/2025</v>
      </c>
      <c r="J264" t="str">
        <f t="shared" si="97"/>
        <v>24/11/2025</v>
      </c>
      <c r="K264" t="str">
        <f>("09/12/2025")</f>
        <v>09/12/2025</v>
      </c>
      <c r="L264">
        <v>33.03</v>
      </c>
      <c r="M264">
        <v>33.03</v>
      </c>
      <c r="N264">
        <v>303</v>
      </c>
      <c r="O264" t="str">
        <f>"RECEITAS COM ENTREGAS"</f>
        <v>RECEITAS COM ENTREGAS</v>
      </c>
      <c r="P264">
        <v>33.03</v>
      </c>
      <c r="S264" t="str">
        <f>"RECEITAS COM ENTREGAS (303)"</f>
        <v>RECEITAS COM ENTREGAS (303)</v>
      </c>
      <c r="T264">
        <v>3508</v>
      </c>
      <c r="U264">
        <v>2782</v>
      </c>
      <c r="V264" t="s">
        <v>22</v>
      </c>
    </row>
    <row r="265" spans="1:22">
      <c r="A265" t="str">
        <f t="shared" si="90"/>
        <v>09/12/2025</v>
      </c>
      <c r="B265" t="str">
        <f t="shared" si="93"/>
        <v>ENTRADA</v>
      </c>
      <c r="C265" t="str">
        <f t="shared" si="94"/>
        <v>NFSE</v>
      </c>
      <c r="D265" t="str">
        <f>"3871"</f>
        <v>3871</v>
      </c>
      <c r="E265" t="str">
        <f t="shared" si="95"/>
        <v>1</v>
      </c>
      <c r="F265" t="str">
        <f t="shared" si="89"/>
        <v>COM</v>
      </c>
      <c r="G265" t="str">
        <f>"PAGMENOS - LJ 326 (10264)"</f>
        <v>PAGMENOS - LJ 326 (10264)</v>
      </c>
      <c r="H265" t="s">
        <v>112</v>
      </c>
      <c r="I265" t="str">
        <f t="shared" si="96"/>
        <v>04/12/2025</v>
      </c>
      <c r="J265" t="str">
        <f t="shared" si="97"/>
        <v>24/11/2025</v>
      </c>
      <c r="K265">
        <v>46000</v>
      </c>
      <c r="N265">
        <v>303</v>
      </c>
      <c r="O265" t="s">
        <v>30</v>
      </c>
      <c r="Q265">
        <v>33.03</v>
      </c>
      <c r="R265" t="str">
        <f>"PAGMENOS - LJ 326 (10264)"</f>
        <v>PAGMENOS - LJ 326 (10264)</v>
      </c>
      <c r="S265" t="s">
        <v>31</v>
      </c>
      <c r="T265">
        <v>3508</v>
      </c>
      <c r="U265">
        <v>2782</v>
      </c>
      <c r="V265" t="s">
        <v>22</v>
      </c>
    </row>
    <row r="266" spans="1:22">
      <c r="A266" t="str">
        <f t="shared" si="90"/>
        <v>09/12/2025</v>
      </c>
      <c r="B266" t="str">
        <f>"SAÍDA"</f>
        <v>SAÍDA</v>
      </c>
      <c r="C266" t="str">
        <f>"BOLETO"</f>
        <v>BOLETO</v>
      </c>
      <c r="D266" t="str">
        <f>"107621952025"</f>
        <v>107621952025</v>
      </c>
      <c r="E266" t="str">
        <f>"01"</f>
        <v>01</v>
      </c>
      <c r="F266" t="str">
        <f t="shared" si="89"/>
        <v>COM</v>
      </c>
      <c r="G266" t="str">
        <f>"UNIODONTO REGIONAL COOPERATIVA ODONTOLOGICA LTDA. (20024)"</f>
        <v>UNIODONTO REGIONAL COOPERATIVA ODONTOLOGICA LTDA. (20024)</v>
      </c>
      <c r="H266" t="str">
        <f>"PLANO ODONTOLOGICO 12/2025"</f>
        <v>PLANO ODONTOLOGICO 12/2025</v>
      </c>
      <c r="I266" t="str">
        <f>("09/12/2025")</f>
        <v>09/12/2025</v>
      </c>
      <c r="J266" t="str">
        <f>("16/11/2025")</f>
        <v>16/11/2025</v>
      </c>
      <c r="K266" t="str">
        <f>("09/12/2025")</f>
        <v>09/12/2025</v>
      </c>
      <c r="L266">
        <v>1549.45</v>
      </c>
      <c r="M266">
        <v>1549.55</v>
      </c>
      <c r="N266">
        <v>192</v>
      </c>
      <c r="O266" t="str">
        <f>"PLANOS E SEGUROS"</f>
        <v>PLANOS E SEGUROS</v>
      </c>
      <c r="P266">
        <v>1549.55</v>
      </c>
      <c r="S266" t="str">
        <f>"BANCO CORA (102)"</f>
        <v>BANCO CORA (102)</v>
      </c>
      <c r="T266">
        <v>3509</v>
      </c>
      <c r="U266">
        <v>846</v>
      </c>
      <c r="V266" t="s">
        <v>22</v>
      </c>
    </row>
    <row r="267" spans="1:22">
      <c r="A267" t="str">
        <f t="shared" si="90"/>
        <v>09/12/2025</v>
      </c>
      <c r="B267" t="str">
        <f>"SAÍDA"</f>
        <v>SAÍDA</v>
      </c>
      <c r="C267" t="str">
        <f>"BOLETO"</f>
        <v>BOLETO</v>
      </c>
      <c r="D267" t="str">
        <f>"107621952025"</f>
        <v>107621952025</v>
      </c>
      <c r="E267" t="str">
        <f>"01"</f>
        <v>01</v>
      </c>
      <c r="F267" t="str">
        <f t="shared" si="89"/>
        <v>COM</v>
      </c>
      <c r="G267" t="str">
        <f>"UNIODONTO REGIONAL COOPERATIVA ODONTOLOGICA LTDA. (20024)"</f>
        <v>UNIODONTO REGIONAL COOPERATIVA ODONTOLOGICA LTDA. (20024)</v>
      </c>
      <c r="H267" t="s">
        <v>113</v>
      </c>
      <c r="I267" t="str">
        <f>("09/12/2025")</f>
        <v>09/12/2025</v>
      </c>
      <c r="J267" t="str">
        <f>("16/11/2025")</f>
        <v>16/11/2025</v>
      </c>
      <c r="K267">
        <v>46000</v>
      </c>
      <c r="N267">
        <v>192</v>
      </c>
      <c r="O267" t="s">
        <v>28</v>
      </c>
      <c r="Q267">
        <v>1549.55</v>
      </c>
      <c r="R267" t="str">
        <f>"UNIODONTO REGIONAL COOPERATIVA ODONTOLOGICA LTDA. (20024)"</f>
        <v>UNIODONTO REGIONAL COOPERATIVA ODONTOLOGICA LTDA. (20024)</v>
      </c>
      <c r="S267" t="s">
        <v>22</v>
      </c>
      <c r="T267">
        <v>3509</v>
      </c>
      <c r="U267">
        <v>846</v>
      </c>
      <c r="V267" t="s">
        <v>22</v>
      </c>
    </row>
    <row r="268" spans="1:22">
      <c r="A268" t="str">
        <f t="shared" si="90"/>
        <v>09/12/2025</v>
      </c>
      <c r="B268" t="str">
        <f>"SAÍDA"</f>
        <v>SAÍDA</v>
      </c>
      <c r="C268" t="str">
        <f>"JUROS"</f>
        <v>JUROS</v>
      </c>
      <c r="D268" t="str">
        <f>""</f>
        <v/>
      </c>
      <c r="F268" t="str">
        <f>"CXA"</f>
        <v>CXA</v>
      </c>
      <c r="G268" t="str">
        <f>""</f>
        <v/>
      </c>
      <c r="H268" t="str">
        <f>"TARIFA SERV.COBR.TITULOS"</f>
        <v>TARIFA SERV.COBR.TITULOS</v>
      </c>
      <c r="I268" t="str">
        <f>("09/12/2025")</f>
        <v>09/12/2025</v>
      </c>
      <c r="J268" t="str">
        <f>("09/12/2025")</f>
        <v>09/12/2025</v>
      </c>
      <c r="K268" t="str">
        <f>("09/12/2025")</f>
        <v>09/12/2025</v>
      </c>
      <c r="L268">
        <v>4.17</v>
      </c>
      <c r="M268">
        <v>4.17</v>
      </c>
      <c r="N268">
        <v>401</v>
      </c>
      <c r="O268" t="str">
        <f>"IOF/JUROS/DESP.FINANCEIRA"</f>
        <v>IOF/JUROS/DESP.FINANCEIRA</v>
      </c>
      <c r="P268">
        <v>4.17</v>
      </c>
      <c r="S268" t="str">
        <f>"BANCO SICREDI (131)"</f>
        <v>BANCO SICREDI (131)</v>
      </c>
      <c r="T268">
        <v>3553</v>
      </c>
      <c r="U268">
        <v>0</v>
      </c>
      <c r="V268" t="s">
        <v>53</v>
      </c>
    </row>
    <row r="269" spans="1:22">
      <c r="A269" t="str">
        <f t="shared" si="90"/>
        <v>09/12/2025</v>
      </c>
      <c r="B269" t="str">
        <f>"SAÍDA"</f>
        <v>SAÍDA</v>
      </c>
      <c r="C269" t="str">
        <f>"JUROS"</f>
        <v>JUROS</v>
      </c>
      <c r="D269" t="str">
        <f>""</f>
        <v/>
      </c>
      <c r="F269" t="str">
        <f>"CXA"</f>
        <v>CXA</v>
      </c>
      <c r="G269" t="str">
        <f>""</f>
        <v/>
      </c>
      <c r="H269" t="str">
        <f>"TARIFA SERV.COBR.TITULOS"</f>
        <v>TARIFA SERV.COBR.TITULOS</v>
      </c>
      <c r="I269" t="str">
        <f>("09/12/2025")</f>
        <v>09/12/2025</v>
      </c>
      <c r="J269" t="str">
        <f>("09/12/2025")</f>
        <v>09/12/2025</v>
      </c>
      <c r="K269" t="str">
        <f>("09/12/2025")</f>
        <v>09/12/2025</v>
      </c>
      <c r="L269">
        <v>16.68</v>
      </c>
      <c r="M269">
        <v>16.68</v>
      </c>
      <c r="N269">
        <v>401</v>
      </c>
      <c r="O269" t="str">
        <f>"IOF/JUROS/DESP.FINANCEIRA"</f>
        <v>IOF/JUROS/DESP.FINANCEIRA</v>
      </c>
      <c r="P269">
        <v>16.68</v>
      </c>
      <c r="S269" t="str">
        <f>"BANCO SICREDI (131)"</f>
        <v>BANCO SICREDI (131)</v>
      </c>
      <c r="T269">
        <v>3554</v>
      </c>
      <c r="U269">
        <v>0</v>
      </c>
      <c r="V269" t="s">
        <v>53</v>
      </c>
    </row>
    <row r="270" spans="1:22">
      <c r="A270" t="str">
        <f t="shared" si="90"/>
        <v>09/12/2025</v>
      </c>
      <c r="B270" t="str">
        <f t="shared" ref="B270:B301" si="98">"ENTRADA"</f>
        <v>ENTRADA</v>
      </c>
      <c r="C270" t="str">
        <f t="shared" ref="C270:C301" si="99">"NFSE"</f>
        <v>NFSE</v>
      </c>
      <c r="D270" t="str">
        <f>"3924"</f>
        <v>3924</v>
      </c>
      <c r="E270" t="str">
        <f t="shared" ref="E270:E301" si="100">"1"</f>
        <v>1</v>
      </c>
      <c r="F270" t="str">
        <f t="shared" ref="F270:F301" si="101">"COM"</f>
        <v>COM</v>
      </c>
      <c r="G270" t="str">
        <f>"DROGARIA NIQUINHO (10257)"</f>
        <v>DROGARIA NIQUINHO (10257)</v>
      </c>
      <c r="H270" t="str">
        <f>"Serv.Prest. 24/11/2025 a 30/11/2025 - RPS: 1686 - NFSe: 3924"</f>
        <v>Serv.Prest. 24/11/2025 a 30/11/2025 - RPS: 1686 - NFSe: 3924</v>
      </c>
      <c r="I270" t="str">
        <f>("03/12/2025")</f>
        <v>03/12/2025</v>
      </c>
      <c r="J270" t="str">
        <f>("01/12/2025")</f>
        <v>01/12/2025</v>
      </c>
      <c r="K270" t="str">
        <f>("09/12/2025")</f>
        <v>09/12/2025</v>
      </c>
      <c r="L270">
        <v>174.01</v>
      </c>
      <c r="M270">
        <v>186.19</v>
      </c>
      <c r="N270">
        <v>303</v>
      </c>
      <c r="O270" t="str">
        <f>"RECEITAS COM ENTREGAS"</f>
        <v>RECEITAS COM ENTREGAS</v>
      </c>
      <c r="P270">
        <v>186.19</v>
      </c>
      <c r="S270" t="str">
        <f>"RECEITAS COM ENTREGAS (303)"</f>
        <v>RECEITAS COM ENTREGAS (303)</v>
      </c>
      <c r="T270">
        <v>3912</v>
      </c>
      <c r="U270">
        <v>2838</v>
      </c>
      <c r="V270" t="s">
        <v>36</v>
      </c>
    </row>
    <row r="271" spans="1:22">
      <c r="A271" t="str">
        <f t="shared" si="90"/>
        <v>09/12/2025</v>
      </c>
      <c r="B271" t="str">
        <f t="shared" si="98"/>
        <v>ENTRADA</v>
      </c>
      <c r="C271" t="str">
        <f t="shared" si="99"/>
        <v>NFSE</v>
      </c>
      <c r="D271" t="str">
        <f>"3924"</f>
        <v>3924</v>
      </c>
      <c r="E271" t="str">
        <f t="shared" si="100"/>
        <v>1</v>
      </c>
      <c r="F271" t="str">
        <f t="shared" si="101"/>
        <v>COM</v>
      </c>
      <c r="G271" t="str">
        <f>"DROGARIA NIQUINHO (10257)"</f>
        <v>DROGARIA NIQUINHO (10257)</v>
      </c>
      <c r="H271" t="s">
        <v>114</v>
      </c>
      <c r="I271" t="str">
        <f>("03/12/2025")</f>
        <v>03/12/2025</v>
      </c>
      <c r="J271" t="str">
        <f>("01/12/2025")</f>
        <v>01/12/2025</v>
      </c>
      <c r="K271">
        <v>46000</v>
      </c>
      <c r="N271">
        <v>303</v>
      </c>
      <c r="O271" t="s">
        <v>30</v>
      </c>
      <c r="Q271">
        <v>186.19</v>
      </c>
      <c r="R271" t="str">
        <f>"DROGARIA NIQUINHO (10257)"</f>
        <v>DROGARIA NIQUINHO (10257)</v>
      </c>
      <c r="S271" t="s">
        <v>31</v>
      </c>
      <c r="T271">
        <v>3912</v>
      </c>
      <c r="U271">
        <v>2838</v>
      </c>
      <c r="V271" t="s">
        <v>36</v>
      </c>
    </row>
    <row r="272" spans="1:22">
      <c r="A272" t="str">
        <f t="shared" ref="A272:A303" si="102">("10/12/2025")</f>
        <v>10/12/2025</v>
      </c>
      <c r="B272" t="str">
        <f t="shared" si="98"/>
        <v>ENTRADA</v>
      </c>
      <c r="C272" t="str">
        <f t="shared" si="99"/>
        <v>NFSE</v>
      </c>
      <c r="D272" t="str">
        <f t="shared" ref="D272:D303" si="103">"3966"</f>
        <v>3966</v>
      </c>
      <c r="E272" t="str">
        <f t="shared" si="100"/>
        <v>1</v>
      </c>
      <c r="F272" t="str">
        <f t="shared" si="101"/>
        <v>COM</v>
      </c>
      <c r="G272" t="str">
        <f t="shared" ref="G272:G303" si="104">"FARMÁCIA INDIANA LJ 1 (10126)"</f>
        <v>FARMÁCIA INDIANA LJ 1 (10126)</v>
      </c>
      <c r="H272" t="str">
        <f>"Serv.Prest. 24/11/2025 a 30/11/2025 - RPS: 1728 - NFSe: 3966"</f>
        <v>Serv.Prest. 24/11/2025 a 30/11/2025 - RPS: 1728 - NFSe: 3966</v>
      </c>
      <c r="I272" t="str">
        <f t="shared" ref="I272:I303" si="105">("10/12/2025")</f>
        <v>10/12/2025</v>
      </c>
      <c r="J272" t="str">
        <f t="shared" ref="J272:J303" si="106">("02/12/2025")</f>
        <v>02/12/2025</v>
      </c>
      <c r="K272" t="str">
        <f>("10/12/2025")</f>
        <v>10/12/2025</v>
      </c>
      <c r="L272">
        <v>13544.07</v>
      </c>
      <c r="M272">
        <v>13544.07</v>
      </c>
      <c r="N272">
        <v>303</v>
      </c>
      <c r="O272" t="str">
        <f>"RECEITAS COM ENTREGAS"</f>
        <v>RECEITAS COM ENTREGAS</v>
      </c>
      <c r="P272">
        <v>13544.07</v>
      </c>
      <c r="S272" t="str">
        <f>"RECEITAS COM ENTREGAS (303)"</f>
        <v>RECEITAS COM ENTREGAS (303)</v>
      </c>
      <c r="T272">
        <v>3501</v>
      </c>
      <c r="U272">
        <v>2881</v>
      </c>
      <c r="V272" t="s">
        <v>22</v>
      </c>
    </row>
    <row r="273" spans="1:22">
      <c r="A273" t="str">
        <f t="shared" si="102"/>
        <v>10/12/2025</v>
      </c>
      <c r="B273" t="str">
        <f t="shared" si="98"/>
        <v>ENTRADA</v>
      </c>
      <c r="C273" t="str">
        <f t="shared" si="99"/>
        <v>NFSE</v>
      </c>
      <c r="D273" t="str">
        <f t="shared" si="103"/>
        <v>3966</v>
      </c>
      <c r="E273" t="str">
        <f t="shared" si="100"/>
        <v>1</v>
      </c>
      <c r="F273" t="str">
        <f t="shared" si="101"/>
        <v>COM</v>
      </c>
      <c r="G273" t="str">
        <f t="shared" si="104"/>
        <v>FARMÁCIA INDIANA LJ 1 (10126)</v>
      </c>
      <c r="H273" t="s">
        <v>115</v>
      </c>
      <c r="I273" t="str">
        <f t="shared" si="105"/>
        <v>10/12/2025</v>
      </c>
      <c r="J273" t="str">
        <f t="shared" si="106"/>
        <v>02/12/2025</v>
      </c>
      <c r="K273">
        <v>46001</v>
      </c>
      <c r="N273">
        <v>303</v>
      </c>
      <c r="O273" t="s">
        <v>30</v>
      </c>
      <c r="Q273">
        <v>1993.67</v>
      </c>
      <c r="R273" t="str">
        <f>"FARMÁCIA INDIANA LJ 06 (10006)"</f>
        <v>FARMÁCIA INDIANA LJ 06 (10006)</v>
      </c>
      <c r="S273" t="s">
        <v>31</v>
      </c>
      <c r="T273">
        <v>3501</v>
      </c>
      <c r="U273">
        <v>2881</v>
      </c>
      <c r="V273" t="s">
        <v>22</v>
      </c>
    </row>
    <row r="274" spans="1:22">
      <c r="A274" t="str">
        <f t="shared" si="102"/>
        <v>10/12/2025</v>
      </c>
      <c r="B274" t="str">
        <f t="shared" si="98"/>
        <v>ENTRADA</v>
      </c>
      <c r="C274" t="str">
        <f t="shared" si="99"/>
        <v>NFSE</v>
      </c>
      <c r="D274" t="str">
        <f t="shared" si="103"/>
        <v>3966</v>
      </c>
      <c r="E274" t="str">
        <f t="shared" si="100"/>
        <v>1</v>
      </c>
      <c r="F274" t="str">
        <f t="shared" si="101"/>
        <v>COM</v>
      </c>
      <c r="G274" t="str">
        <f t="shared" si="104"/>
        <v>FARMÁCIA INDIANA LJ 1 (10126)</v>
      </c>
      <c r="H274" t="s">
        <v>115</v>
      </c>
      <c r="I274" t="str">
        <f t="shared" si="105"/>
        <v>10/12/2025</v>
      </c>
      <c r="J274" t="str">
        <f t="shared" si="106"/>
        <v>02/12/2025</v>
      </c>
      <c r="K274">
        <v>46001</v>
      </c>
      <c r="N274">
        <v>303</v>
      </c>
      <c r="O274" t="s">
        <v>30</v>
      </c>
      <c r="Q274">
        <v>1437.03</v>
      </c>
      <c r="R274" t="str">
        <f>"FARMÁCIA INDIANA LJ 07 (10007)"</f>
        <v>FARMÁCIA INDIANA LJ 07 (10007)</v>
      </c>
      <c r="S274" t="s">
        <v>31</v>
      </c>
      <c r="T274">
        <v>3501</v>
      </c>
      <c r="U274">
        <v>2881</v>
      </c>
      <c r="V274" t="s">
        <v>22</v>
      </c>
    </row>
    <row r="275" spans="1:22">
      <c r="A275" t="str">
        <f t="shared" si="102"/>
        <v>10/12/2025</v>
      </c>
      <c r="B275" t="str">
        <f t="shared" si="98"/>
        <v>ENTRADA</v>
      </c>
      <c r="C275" t="str">
        <f t="shared" si="99"/>
        <v>NFSE</v>
      </c>
      <c r="D275" t="str">
        <f t="shared" si="103"/>
        <v>3966</v>
      </c>
      <c r="E275" t="str">
        <f t="shared" si="100"/>
        <v>1</v>
      </c>
      <c r="F275" t="str">
        <f t="shared" si="101"/>
        <v>COM</v>
      </c>
      <c r="G275" t="str">
        <f t="shared" si="104"/>
        <v>FARMÁCIA INDIANA LJ 1 (10126)</v>
      </c>
      <c r="H275" t="s">
        <v>115</v>
      </c>
      <c r="I275" t="str">
        <f t="shared" si="105"/>
        <v>10/12/2025</v>
      </c>
      <c r="J275" t="str">
        <f t="shared" si="106"/>
        <v>02/12/2025</v>
      </c>
      <c r="K275">
        <v>46001</v>
      </c>
      <c r="N275">
        <v>303</v>
      </c>
      <c r="O275" t="s">
        <v>30</v>
      </c>
      <c r="Q275">
        <v>1065.92</v>
      </c>
      <c r="R275" t="str">
        <f>"FARMÁCIA INDIANA LJ 11 (10008)"</f>
        <v>FARMÁCIA INDIANA LJ 11 (10008)</v>
      </c>
      <c r="S275" t="s">
        <v>31</v>
      </c>
      <c r="T275">
        <v>3501</v>
      </c>
      <c r="U275">
        <v>2881</v>
      </c>
      <c r="V275" t="s">
        <v>22</v>
      </c>
    </row>
    <row r="276" spans="1:22">
      <c r="A276" t="str">
        <f t="shared" si="102"/>
        <v>10/12/2025</v>
      </c>
      <c r="B276" t="str">
        <f t="shared" si="98"/>
        <v>ENTRADA</v>
      </c>
      <c r="C276" t="str">
        <f t="shared" si="99"/>
        <v>NFSE</v>
      </c>
      <c r="D276" t="str">
        <f t="shared" si="103"/>
        <v>3966</v>
      </c>
      <c r="E276" t="str">
        <f t="shared" si="100"/>
        <v>1</v>
      </c>
      <c r="F276" t="str">
        <f t="shared" si="101"/>
        <v>COM</v>
      </c>
      <c r="G276" t="str">
        <f t="shared" si="104"/>
        <v>FARMÁCIA INDIANA LJ 1 (10126)</v>
      </c>
      <c r="H276" t="s">
        <v>115</v>
      </c>
      <c r="I276" t="str">
        <f t="shared" si="105"/>
        <v>10/12/2025</v>
      </c>
      <c r="J276" t="str">
        <f t="shared" si="106"/>
        <v>02/12/2025</v>
      </c>
      <c r="K276">
        <v>46001</v>
      </c>
      <c r="N276">
        <v>303</v>
      </c>
      <c r="O276" t="s">
        <v>30</v>
      </c>
      <c r="Q276">
        <v>461.85</v>
      </c>
      <c r="R276" t="str">
        <f>"FARMÁCIA INDIANA LJ 14 (10009)"</f>
        <v>FARMÁCIA INDIANA LJ 14 (10009)</v>
      </c>
      <c r="S276" t="s">
        <v>31</v>
      </c>
      <c r="T276">
        <v>3501</v>
      </c>
      <c r="U276">
        <v>2881</v>
      </c>
      <c r="V276" t="s">
        <v>22</v>
      </c>
    </row>
    <row r="277" spans="1:22">
      <c r="A277" t="str">
        <f t="shared" si="102"/>
        <v>10/12/2025</v>
      </c>
      <c r="B277" t="str">
        <f t="shared" si="98"/>
        <v>ENTRADA</v>
      </c>
      <c r="C277" t="str">
        <f t="shared" si="99"/>
        <v>NFSE</v>
      </c>
      <c r="D277" t="str">
        <f t="shared" si="103"/>
        <v>3966</v>
      </c>
      <c r="E277" t="str">
        <f t="shared" si="100"/>
        <v>1</v>
      </c>
      <c r="F277" t="str">
        <f t="shared" si="101"/>
        <v>COM</v>
      </c>
      <c r="G277" t="str">
        <f t="shared" si="104"/>
        <v>FARMÁCIA INDIANA LJ 1 (10126)</v>
      </c>
      <c r="H277" t="s">
        <v>115</v>
      </c>
      <c r="I277" t="str">
        <f t="shared" si="105"/>
        <v>10/12/2025</v>
      </c>
      <c r="J277" t="str">
        <f t="shared" si="106"/>
        <v>02/12/2025</v>
      </c>
      <c r="K277">
        <v>46001</v>
      </c>
      <c r="N277">
        <v>303</v>
      </c>
      <c r="O277" t="s">
        <v>30</v>
      </c>
      <c r="Q277">
        <v>299.32</v>
      </c>
      <c r="R277" t="str">
        <f>"FARMÁCIA INDIANA LJ 18 (10011)"</f>
        <v>FARMÁCIA INDIANA LJ 18 (10011)</v>
      </c>
      <c r="S277" t="s">
        <v>31</v>
      </c>
      <c r="T277">
        <v>3501</v>
      </c>
      <c r="U277">
        <v>2881</v>
      </c>
      <c r="V277" t="s">
        <v>22</v>
      </c>
    </row>
    <row r="278" spans="1:22">
      <c r="A278" t="str">
        <f t="shared" si="102"/>
        <v>10/12/2025</v>
      </c>
      <c r="B278" t="str">
        <f t="shared" si="98"/>
        <v>ENTRADA</v>
      </c>
      <c r="C278" t="str">
        <f t="shared" si="99"/>
        <v>NFSE</v>
      </c>
      <c r="D278" t="str">
        <f t="shared" si="103"/>
        <v>3966</v>
      </c>
      <c r="E278" t="str">
        <f t="shared" si="100"/>
        <v>1</v>
      </c>
      <c r="F278" t="str">
        <f t="shared" si="101"/>
        <v>COM</v>
      </c>
      <c r="G278" t="str">
        <f t="shared" si="104"/>
        <v>FARMÁCIA INDIANA LJ 1 (10126)</v>
      </c>
      <c r="H278" t="s">
        <v>115</v>
      </c>
      <c r="I278" t="str">
        <f t="shared" si="105"/>
        <v>10/12/2025</v>
      </c>
      <c r="J278" t="str">
        <f t="shared" si="106"/>
        <v>02/12/2025</v>
      </c>
      <c r="K278">
        <v>46001</v>
      </c>
      <c r="N278">
        <v>303</v>
      </c>
      <c r="O278" t="s">
        <v>30</v>
      </c>
      <c r="Q278">
        <v>377.88</v>
      </c>
      <c r="R278" t="str">
        <f>"FARMÁCIA INDIANA LJ 19 (10012)"</f>
        <v>FARMÁCIA INDIANA LJ 19 (10012)</v>
      </c>
      <c r="S278" t="s">
        <v>31</v>
      </c>
      <c r="T278">
        <v>3501</v>
      </c>
      <c r="U278">
        <v>2881</v>
      </c>
      <c r="V278" t="s">
        <v>22</v>
      </c>
    </row>
    <row r="279" spans="1:22">
      <c r="A279" t="str">
        <f t="shared" si="102"/>
        <v>10/12/2025</v>
      </c>
      <c r="B279" t="str">
        <f t="shared" si="98"/>
        <v>ENTRADA</v>
      </c>
      <c r="C279" t="str">
        <f t="shared" si="99"/>
        <v>NFSE</v>
      </c>
      <c r="D279" t="str">
        <f t="shared" si="103"/>
        <v>3966</v>
      </c>
      <c r="E279" t="str">
        <f t="shared" si="100"/>
        <v>1</v>
      </c>
      <c r="F279" t="str">
        <f t="shared" si="101"/>
        <v>COM</v>
      </c>
      <c r="G279" t="str">
        <f t="shared" si="104"/>
        <v>FARMÁCIA INDIANA LJ 1 (10126)</v>
      </c>
      <c r="H279" t="s">
        <v>115</v>
      </c>
      <c r="I279" t="str">
        <f t="shared" si="105"/>
        <v>10/12/2025</v>
      </c>
      <c r="J279" t="str">
        <f t="shared" si="106"/>
        <v>02/12/2025</v>
      </c>
      <c r="K279">
        <v>46001</v>
      </c>
      <c r="N279">
        <v>303</v>
      </c>
      <c r="O279" t="s">
        <v>30</v>
      </c>
      <c r="Q279">
        <v>616.26</v>
      </c>
      <c r="R279" t="str">
        <f>"FARMÁCIA INDIANA LJ 40 (10016)"</f>
        <v>FARMÁCIA INDIANA LJ 40 (10016)</v>
      </c>
      <c r="S279" t="s">
        <v>31</v>
      </c>
      <c r="T279">
        <v>3501</v>
      </c>
      <c r="U279">
        <v>2881</v>
      </c>
      <c r="V279" t="s">
        <v>22</v>
      </c>
    </row>
    <row r="280" spans="1:22">
      <c r="A280" t="str">
        <f t="shared" si="102"/>
        <v>10/12/2025</v>
      </c>
      <c r="B280" t="str">
        <f t="shared" si="98"/>
        <v>ENTRADA</v>
      </c>
      <c r="C280" t="str">
        <f t="shared" si="99"/>
        <v>NFSE</v>
      </c>
      <c r="D280" t="str">
        <f t="shared" si="103"/>
        <v>3966</v>
      </c>
      <c r="E280" t="str">
        <f t="shared" si="100"/>
        <v>1</v>
      </c>
      <c r="F280" t="str">
        <f t="shared" si="101"/>
        <v>COM</v>
      </c>
      <c r="G280" t="str">
        <f t="shared" si="104"/>
        <v>FARMÁCIA INDIANA LJ 1 (10126)</v>
      </c>
      <c r="H280" t="s">
        <v>115</v>
      </c>
      <c r="I280" t="str">
        <f t="shared" si="105"/>
        <v>10/12/2025</v>
      </c>
      <c r="J280" t="str">
        <f t="shared" si="106"/>
        <v>02/12/2025</v>
      </c>
      <c r="K280">
        <v>46001</v>
      </c>
      <c r="N280">
        <v>303</v>
      </c>
      <c r="O280" t="s">
        <v>30</v>
      </c>
      <c r="Q280">
        <v>239.73</v>
      </c>
      <c r="R280" t="str">
        <f>"FARMÁCIA INDIANA LJ 59 (10026)"</f>
        <v>FARMÁCIA INDIANA LJ 59 (10026)</v>
      </c>
      <c r="S280" t="s">
        <v>31</v>
      </c>
      <c r="T280">
        <v>3501</v>
      </c>
      <c r="U280">
        <v>2881</v>
      </c>
      <c r="V280" t="s">
        <v>22</v>
      </c>
    </row>
    <row r="281" spans="1:22">
      <c r="A281" t="str">
        <f t="shared" si="102"/>
        <v>10/12/2025</v>
      </c>
      <c r="B281" t="str">
        <f t="shared" si="98"/>
        <v>ENTRADA</v>
      </c>
      <c r="C281" t="str">
        <f t="shared" si="99"/>
        <v>NFSE</v>
      </c>
      <c r="D281" t="str">
        <f t="shared" si="103"/>
        <v>3966</v>
      </c>
      <c r="E281" t="str">
        <f t="shared" si="100"/>
        <v>1</v>
      </c>
      <c r="F281" t="str">
        <f t="shared" si="101"/>
        <v>COM</v>
      </c>
      <c r="G281" t="str">
        <f t="shared" si="104"/>
        <v>FARMÁCIA INDIANA LJ 1 (10126)</v>
      </c>
      <c r="H281" t="s">
        <v>115</v>
      </c>
      <c r="I281" t="str">
        <f t="shared" si="105"/>
        <v>10/12/2025</v>
      </c>
      <c r="J281" t="str">
        <f t="shared" si="106"/>
        <v>02/12/2025</v>
      </c>
      <c r="K281">
        <v>46001</v>
      </c>
      <c r="N281">
        <v>303</v>
      </c>
      <c r="O281" t="s">
        <v>30</v>
      </c>
      <c r="Q281">
        <v>563.42999999999995</v>
      </c>
      <c r="R281" t="str">
        <f>"FARMÁCIA INDIANA LJ 61 (10027)"</f>
        <v>FARMÁCIA INDIANA LJ 61 (10027)</v>
      </c>
      <c r="S281" t="s">
        <v>31</v>
      </c>
      <c r="T281">
        <v>3501</v>
      </c>
      <c r="U281">
        <v>2881</v>
      </c>
      <c r="V281" t="s">
        <v>22</v>
      </c>
    </row>
    <row r="282" spans="1:22">
      <c r="A282" t="str">
        <f t="shared" si="102"/>
        <v>10/12/2025</v>
      </c>
      <c r="B282" t="str">
        <f t="shared" si="98"/>
        <v>ENTRADA</v>
      </c>
      <c r="C282" t="str">
        <f t="shared" si="99"/>
        <v>NFSE</v>
      </c>
      <c r="D282" t="str">
        <f t="shared" si="103"/>
        <v>3966</v>
      </c>
      <c r="E282" t="str">
        <f t="shared" si="100"/>
        <v>1</v>
      </c>
      <c r="F282" t="str">
        <f t="shared" si="101"/>
        <v>COM</v>
      </c>
      <c r="G282" t="str">
        <f t="shared" si="104"/>
        <v>FARMÁCIA INDIANA LJ 1 (10126)</v>
      </c>
      <c r="H282" t="s">
        <v>115</v>
      </c>
      <c r="I282" t="str">
        <f t="shared" si="105"/>
        <v>10/12/2025</v>
      </c>
      <c r="J282" t="str">
        <f t="shared" si="106"/>
        <v>02/12/2025</v>
      </c>
      <c r="K282">
        <v>46001</v>
      </c>
      <c r="N282">
        <v>303</v>
      </c>
      <c r="O282" t="s">
        <v>30</v>
      </c>
      <c r="Q282">
        <v>234.31</v>
      </c>
      <c r="R282" t="str">
        <f>"FARMÁCIA INDIANA LJ 62 (10028)"</f>
        <v>FARMÁCIA INDIANA LJ 62 (10028)</v>
      </c>
      <c r="S282" t="s">
        <v>31</v>
      </c>
      <c r="T282">
        <v>3501</v>
      </c>
      <c r="U282">
        <v>2881</v>
      </c>
      <c r="V282" t="s">
        <v>22</v>
      </c>
    </row>
    <row r="283" spans="1:22">
      <c r="A283" t="str">
        <f t="shared" si="102"/>
        <v>10/12/2025</v>
      </c>
      <c r="B283" t="str">
        <f t="shared" si="98"/>
        <v>ENTRADA</v>
      </c>
      <c r="C283" t="str">
        <f t="shared" si="99"/>
        <v>NFSE</v>
      </c>
      <c r="D283" t="str">
        <f t="shared" si="103"/>
        <v>3966</v>
      </c>
      <c r="E283" t="str">
        <f t="shared" si="100"/>
        <v>1</v>
      </c>
      <c r="F283" t="str">
        <f t="shared" si="101"/>
        <v>COM</v>
      </c>
      <c r="G283" t="str">
        <f t="shared" si="104"/>
        <v>FARMÁCIA INDIANA LJ 1 (10126)</v>
      </c>
      <c r="H283" t="s">
        <v>115</v>
      </c>
      <c r="I283" t="str">
        <f t="shared" si="105"/>
        <v>10/12/2025</v>
      </c>
      <c r="J283" t="str">
        <f t="shared" si="106"/>
        <v>02/12/2025</v>
      </c>
      <c r="K283">
        <v>46001</v>
      </c>
      <c r="N283">
        <v>303</v>
      </c>
      <c r="O283" t="s">
        <v>30</v>
      </c>
      <c r="Q283">
        <v>85.33</v>
      </c>
      <c r="R283" t="str">
        <f>"FARMÁCIA INDIANA LJ 64 (10029)"</f>
        <v>FARMÁCIA INDIANA LJ 64 (10029)</v>
      </c>
      <c r="S283" t="s">
        <v>31</v>
      </c>
      <c r="T283">
        <v>3501</v>
      </c>
      <c r="U283">
        <v>2881</v>
      </c>
      <c r="V283" t="s">
        <v>22</v>
      </c>
    </row>
    <row r="284" spans="1:22">
      <c r="A284" t="str">
        <f t="shared" si="102"/>
        <v>10/12/2025</v>
      </c>
      <c r="B284" t="str">
        <f t="shared" si="98"/>
        <v>ENTRADA</v>
      </c>
      <c r="C284" t="str">
        <f t="shared" si="99"/>
        <v>NFSE</v>
      </c>
      <c r="D284" t="str">
        <f t="shared" si="103"/>
        <v>3966</v>
      </c>
      <c r="E284" t="str">
        <f t="shared" si="100"/>
        <v>1</v>
      </c>
      <c r="F284" t="str">
        <f t="shared" si="101"/>
        <v>COM</v>
      </c>
      <c r="G284" t="str">
        <f t="shared" si="104"/>
        <v>FARMÁCIA INDIANA LJ 1 (10126)</v>
      </c>
      <c r="H284" t="s">
        <v>115</v>
      </c>
      <c r="I284" t="str">
        <f t="shared" si="105"/>
        <v>10/12/2025</v>
      </c>
      <c r="J284" t="str">
        <f t="shared" si="106"/>
        <v>02/12/2025</v>
      </c>
      <c r="K284">
        <v>46001</v>
      </c>
      <c r="N284">
        <v>303</v>
      </c>
      <c r="O284" t="s">
        <v>30</v>
      </c>
      <c r="Q284">
        <v>67.72</v>
      </c>
      <c r="R284" t="str">
        <f>"FARMÁCIA INDIANA LJ 97 (10040)"</f>
        <v>FARMÁCIA INDIANA LJ 97 (10040)</v>
      </c>
      <c r="S284" t="s">
        <v>31</v>
      </c>
      <c r="T284">
        <v>3501</v>
      </c>
      <c r="U284">
        <v>2881</v>
      </c>
      <c r="V284" t="s">
        <v>22</v>
      </c>
    </row>
    <row r="285" spans="1:22">
      <c r="A285" t="str">
        <f t="shared" si="102"/>
        <v>10/12/2025</v>
      </c>
      <c r="B285" t="str">
        <f t="shared" si="98"/>
        <v>ENTRADA</v>
      </c>
      <c r="C285" t="str">
        <f t="shared" si="99"/>
        <v>NFSE</v>
      </c>
      <c r="D285" t="str">
        <f t="shared" si="103"/>
        <v>3966</v>
      </c>
      <c r="E285" t="str">
        <f t="shared" si="100"/>
        <v>1</v>
      </c>
      <c r="F285" t="str">
        <f t="shared" si="101"/>
        <v>COM</v>
      </c>
      <c r="G285" t="str">
        <f t="shared" si="104"/>
        <v>FARMÁCIA INDIANA LJ 1 (10126)</v>
      </c>
      <c r="H285" t="s">
        <v>115</v>
      </c>
      <c r="I285" t="str">
        <f t="shared" si="105"/>
        <v>10/12/2025</v>
      </c>
      <c r="J285" t="str">
        <f t="shared" si="106"/>
        <v>02/12/2025</v>
      </c>
      <c r="K285">
        <v>46001</v>
      </c>
      <c r="N285">
        <v>303</v>
      </c>
      <c r="O285" t="s">
        <v>30</v>
      </c>
      <c r="Q285">
        <v>200.45</v>
      </c>
      <c r="R285" t="str">
        <f>"FARMÁCIA INDIANA LJ 100 (10042)"</f>
        <v>FARMÁCIA INDIANA LJ 100 (10042)</v>
      </c>
      <c r="S285" t="s">
        <v>31</v>
      </c>
      <c r="T285">
        <v>3501</v>
      </c>
      <c r="U285">
        <v>2881</v>
      </c>
      <c r="V285" t="s">
        <v>22</v>
      </c>
    </row>
    <row r="286" spans="1:22">
      <c r="A286" t="str">
        <f t="shared" si="102"/>
        <v>10/12/2025</v>
      </c>
      <c r="B286" t="str">
        <f t="shared" si="98"/>
        <v>ENTRADA</v>
      </c>
      <c r="C286" t="str">
        <f t="shared" si="99"/>
        <v>NFSE</v>
      </c>
      <c r="D286" t="str">
        <f t="shared" si="103"/>
        <v>3966</v>
      </c>
      <c r="E286" t="str">
        <f t="shared" si="100"/>
        <v>1</v>
      </c>
      <c r="F286" t="str">
        <f t="shared" si="101"/>
        <v>COM</v>
      </c>
      <c r="G286" t="str">
        <f t="shared" si="104"/>
        <v>FARMÁCIA INDIANA LJ 1 (10126)</v>
      </c>
      <c r="H286" t="s">
        <v>115</v>
      </c>
      <c r="I286" t="str">
        <f t="shared" si="105"/>
        <v>10/12/2025</v>
      </c>
      <c r="J286" t="str">
        <f t="shared" si="106"/>
        <v>02/12/2025</v>
      </c>
      <c r="K286">
        <v>46001</v>
      </c>
      <c r="N286">
        <v>303</v>
      </c>
      <c r="O286" t="s">
        <v>30</v>
      </c>
      <c r="Q286">
        <v>646.04999999999995</v>
      </c>
      <c r="R286" t="str">
        <f>"FARMÁCIA INDIANA LJ 101 (10043)"</f>
        <v>FARMÁCIA INDIANA LJ 101 (10043)</v>
      </c>
      <c r="S286" t="s">
        <v>31</v>
      </c>
      <c r="T286">
        <v>3501</v>
      </c>
      <c r="U286">
        <v>2881</v>
      </c>
      <c r="V286" t="s">
        <v>22</v>
      </c>
    </row>
    <row r="287" spans="1:22">
      <c r="A287" t="str">
        <f t="shared" si="102"/>
        <v>10/12/2025</v>
      </c>
      <c r="B287" t="str">
        <f t="shared" si="98"/>
        <v>ENTRADA</v>
      </c>
      <c r="C287" t="str">
        <f t="shared" si="99"/>
        <v>NFSE</v>
      </c>
      <c r="D287" t="str">
        <f t="shared" si="103"/>
        <v>3966</v>
      </c>
      <c r="E287" t="str">
        <f t="shared" si="100"/>
        <v>1</v>
      </c>
      <c r="F287" t="str">
        <f t="shared" si="101"/>
        <v>COM</v>
      </c>
      <c r="G287" t="str">
        <f t="shared" si="104"/>
        <v>FARMÁCIA INDIANA LJ 1 (10126)</v>
      </c>
      <c r="H287" t="s">
        <v>115</v>
      </c>
      <c r="I287" t="str">
        <f t="shared" si="105"/>
        <v>10/12/2025</v>
      </c>
      <c r="J287" t="str">
        <f t="shared" si="106"/>
        <v>02/12/2025</v>
      </c>
      <c r="K287">
        <v>46001</v>
      </c>
      <c r="N287">
        <v>303</v>
      </c>
      <c r="O287" t="s">
        <v>30</v>
      </c>
      <c r="Q287">
        <v>108.35</v>
      </c>
      <c r="R287" t="str">
        <f>"FARMÁCIA INDIANA LJ 103 (10044)"</f>
        <v>FARMÁCIA INDIANA LJ 103 (10044)</v>
      </c>
      <c r="S287" t="s">
        <v>31</v>
      </c>
      <c r="T287">
        <v>3501</v>
      </c>
      <c r="U287">
        <v>2881</v>
      </c>
      <c r="V287" t="s">
        <v>22</v>
      </c>
    </row>
    <row r="288" spans="1:22">
      <c r="A288" t="str">
        <f t="shared" si="102"/>
        <v>10/12/2025</v>
      </c>
      <c r="B288" t="str">
        <f t="shared" si="98"/>
        <v>ENTRADA</v>
      </c>
      <c r="C288" t="str">
        <f t="shared" si="99"/>
        <v>NFSE</v>
      </c>
      <c r="D288" t="str">
        <f t="shared" si="103"/>
        <v>3966</v>
      </c>
      <c r="E288" t="str">
        <f t="shared" si="100"/>
        <v>1</v>
      </c>
      <c r="F288" t="str">
        <f t="shared" si="101"/>
        <v>COM</v>
      </c>
      <c r="G288" t="str">
        <f t="shared" si="104"/>
        <v>FARMÁCIA INDIANA LJ 1 (10126)</v>
      </c>
      <c r="H288" t="s">
        <v>115</v>
      </c>
      <c r="I288" t="str">
        <f t="shared" si="105"/>
        <v>10/12/2025</v>
      </c>
      <c r="J288" t="str">
        <f t="shared" si="106"/>
        <v>02/12/2025</v>
      </c>
      <c r="K288">
        <v>46001</v>
      </c>
      <c r="N288">
        <v>303</v>
      </c>
      <c r="O288" t="s">
        <v>30</v>
      </c>
      <c r="Q288">
        <v>280.36</v>
      </c>
      <c r="R288" t="str">
        <f>"FARMÁCIA INDIANA LJ 109 (10047)"</f>
        <v>FARMÁCIA INDIANA LJ 109 (10047)</v>
      </c>
      <c r="S288" t="s">
        <v>31</v>
      </c>
      <c r="T288">
        <v>3501</v>
      </c>
      <c r="U288">
        <v>2881</v>
      </c>
      <c r="V288" t="s">
        <v>22</v>
      </c>
    </row>
    <row r="289" spans="1:22">
      <c r="A289" t="str">
        <f t="shared" si="102"/>
        <v>10/12/2025</v>
      </c>
      <c r="B289" t="str">
        <f t="shared" si="98"/>
        <v>ENTRADA</v>
      </c>
      <c r="C289" t="str">
        <f t="shared" si="99"/>
        <v>NFSE</v>
      </c>
      <c r="D289" t="str">
        <f t="shared" si="103"/>
        <v>3966</v>
      </c>
      <c r="E289" t="str">
        <f t="shared" si="100"/>
        <v>1</v>
      </c>
      <c r="F289" t="str">
        <f t="shared" si="101"/>
        <v>COM</v>
      </c>
      <c r="G289" t="str">
        <f t="shared" si="104"/>
        <v>FARMÁCIA INDIANA LJ 1 (10126)</v>
      </c>
      <c r="H289" t="s">
        <v>115</v>
      </c>
      <c r="I289" t="str">
        <f t="shared" si="105"/>
        <v>10/12/2025</v>
      </c>
      <c r="J289" t="str">
        <f t="shared" si="106"/>
        <v>02/12/2025</v>
      </c>
      <c r="K289">
        <v>46001</v>
      </c>
      <c r="N289">
        <v>303</v>
      </c>
      <c r="O289" t="s">
        <v>30</v>
      </c>
      <c r="Q289">
        <v>380.59</v>
      </c>
      <c r="R289" t="str">
        <f>"FARMÁCIA INDIANA LJ 110 (10048)"</f>
        <v>FARMÁCIA INDIANA LJ 110 (10048)</v>
      </c>
      <c r="S289" t="s">
        <v>31</v>
      </c>
      <c r="T289">
        <v>3501</v>
      </c>
      <c r="U289">
        <v>2881</v>
      </c>
      <c r="V289" t="s">
        <v>22</v>
      </c>
    </row>
    <row r="290" spans="1:22">
      <c r="A290" t="str">
        <f t="shared" si="102"/>
        <v>10/12/2025</v>
      </c>
      <c r="B290" t="str">
        <f t="shared" si="98"/>
        <v>ENTRADA</v>
      </c>
      <c r="C290" t="str">
        <f t="shared" si="99"/>
        <v>NFSE</v>
      </c>
      <c r="D290" t="str">
        <f t="shared" si="103"/>
        <v>3966</v>
      </c>
      <c r="E290" t="str">
        <f t="shared" si="100"/>
        <v>1</v>
      </c>
      <c r="F290" t="str">
        <f t="shared" si="101"/>
        <v>COM</v>
      </c>
      <c r="G290" t="str">
        <f t="shared" si="104"/>
        <v>FARMÁCIA INDIANA LJ 1 (10126)</v>
      </c>
      <c r="H290" t="s">
        <v>115</v>
      </c>
      <c r="I290" t="str">
        <f t="shared" si="105"/>
        <v>10/12/2025</v>
      </c>
      <c r="J290" t="str">
        <f t="shared" si="106"/>
        <v>02/12/2025</v>
      </c>
      <c r="K290">
        <v>46001</v>
      </c>
      <c r="N290">
        <v>303</v>
      </c>
      <c r="O290" t="s">
        <v>30</v>
      </c>
      <c r="Q290">
        <v>65.010000000000005</v>
      </c>
      <c r="R290" t="str">
        <f>"FARMÁCIA INDIANA LJ 111 (10049)"</f>
        <v>FARMÁCIA INDIANA LJ 111 (10049)</v>
      </c>
      <c r="S290" t="s">
        <v>31</v>
      </c>
      <c r="T290">
        <v>3501</v>
      </c>
      <c r="U290">
        <v>2881</v>
      </c>
      <c r="V290" t="s">
        <v>22</v>
      </c>
    </row>
    <row r="291" spans="1:22">
      <c r="A291" t="str">
        <f t="shared" si="102"/>
        <v>10/12/2025</v>
      </c>
      <c r="B291" t="str">
        <f t="shared" si="98"/>
        <v>ENTRADA</v>
      </c>
      <c r="C291" t="str">
        <f t="shared" si="99"/>
        <v>NFSE</v>
      </c>
      <c r="D291" t="str">
        <f t="shared" si="103"/>
        <v>3966</v>
      </c>
      <c r="E291" t="str">
        <f t="shared" si="100"/>
        <v>1</v>
      </c>
      <c r="F291" t="str">
        <f t="shared" si="101"/>
        <v>COM</v>
      </c>
      <c r="G291" t="str">
        <f t="shared" si="104"/>
        <v>FARMÁCIA INDIANA LJ 1 (10126)</v>
      </c>
      <c r="H291" t="s">
        <v>115</v>
      </c>
      <c r="I291" t="str">
        <f t="shared" si="105"/>
        <v>10/12/2025</v>
      </c>
      <c r="J291" t="str">
        <f t="shared" si="106"/>
        <v>02/12/2025</v>
      </c>
      <c r="K291">
        <v>46001</v>
      </c>
      <c r="N291">
        <v>303</v>
      </c>
      <c r="O291" t="s">
        <v>30</v>
      </c>
      <c r="Q291">
        <v>100.23</v>
      </c>
      <c r="R291" t="str">
        <f>"FARMÁCIA INDIANA LJ 112 (10050)"</f>
        <v>FARMÁCIA INDIANA LJ 112 (10050)</v>
      </c>
      <c r="S291" t="s">
        <v>31</v>
      </c>
      <c r="T291">
        <v>3501</v>
      </c>
      <c r="U291">
        <v>2881</v>
      </c>
      <c r="V291" t="s">
        <v>22</v>
      </c>
    </row>
    <row r="292" spans="1:22">
      <c r="A292" t="str">
        <f t="shared" si="102"/>
        <v>10/12/2025</v>
      </c>
      <c r="B292" t="str">
        <f t="shared" si="98"/>
        <v>ENTRADA</v>
      </c>
      <c r="C292" t="str">
        <f t="shared" si="99"/>
        <v>NFSE</v>
      </c>
      <c r="D292" t="str">
        <f t="shared" si="103"/>
        <v>3966</v>
      </c>
      <c r="E292" t="str">
        <f t="shared" si="100"/>
        <v>1</v>
      </c>
      <c r="F292" t="str">
        <f t="shared" si="101"/>
        <v>COM</v>
      </c>
      <c r="G292" t="str">
        <f t="shared" si="104"/>
        <v>FARMÁCIA INDIANA LJ 1 (10126)</v>
      </c>
      <c r="H292" t="s">
        <v>115</v>
      </c>
      <c r="I292" t="str">
        <f t="shared" si="105"/>
        <v>10/12/2025</v>
      </c>
      <c r="J292" t="str">
        <f t="shared" si="106"/>
        <v>02/12/2025</v>
      </c>
      <c r="K292">
        <v>46001</v>
      </c>
      <c r="N292">
        <v>303</v>
      </c>
      <c r="O292" t="s">
        <v>30</v>
      </c>
      <c r="Q292">
        <v>100.23</v>
      </c>
      <c r="R292" t="str">
        <f>"FARMÁCIA INDIANA LJ 116 (10051)"</f>
        <v>FARMÁCIA INDIANA LJ 116 (10051)</v>
      </c>
      <c r="S292" t="s">
        <v>31</v>
      </c>
      <c r="T292">
        <v>3501</v>
      </c>
      <c r="U292">
        <v>2881</v>
      </c>
      <c r="V292" t="s">
        <v>22</v>
      </c>
    </row>
    <row r="293" spans="1:22">
      <c r="A293" t="str">
        <f t="shared" si="102"/>
        <v>10/12/2025</v>
      </c>
      <c r="B293" t="str">
        <f t="shared" si="98"/>
        <v>ENTRADA</v>
      </c>
      <c r="C293" t="str">
        <f t="shared" si="99"/>
        <v>NFSE</v>
      </c>
      <c r="D293" t="str">
        <f t="shared" si="103"/>
        <v>3966</v>
      </c>
      <c r="E293" t="str">
        <f t="shared" si="100"/>
        <v>1</v>
      </c>
      <c r="F293" t="str">
        <f t="shared" si="101"/>
        <v>COM</v>
      </c>
      <c r="G293" t="str">
        <f t="shared" si="104"/>
        <v>FARMÁCIA INDIANA LJ 1 (10126)</v>
      </c>
      <c r="H293" t="s">
        <v>115</v>
      </c>
      <c r="I293" t="str">
        <f t="shared" si="105"/>
        <v>10/12/2025</v>
      </c>
      <c r="J293" t="str">
        <f t="shared" si="106"/>
        <v>02/12/2025</v>
      </c>
      <c r="K293">
        <v>46001</v>
      </c>
      <c r="N293">
        <v>303</v>
      </c>
      <c r="O293" t="s">
        <v>30</v>
      </c>
      <c r="Q293">
        <v>121.9</v>
      </c>
      <c r="R293" t="str">
        <f>"FARMÁCIA INDIANA LJ 118 (10052)"</f>
        <v>FARMÁCIA INDIANA LJ 118 (10052)</v>
      </c>
      <c r="S293" t="s">
        <v>31</v>
      </c>
      <c r="T293">
        <v>3501</v>
      </c>
      <c r="U293">
        <v>2881</v>
      </c>
      <c r="V293" t="s">
        <v>22</v>
      </c>
    </row>
    <row r="294" spans="1:22">
      <c r="A294" t="str">
        <f t="shared" si="102"/>
        <v>10/12/2025</v>
      </c>
      <c r="B294" t="str">
        <f t="shared" si="98"/>
        <v>ENTRADA</v>
      </c>
      <c r="C294" t="str">
        <f t="shared" si="99"/>
        <v>NFSE</v>
      </c>
      <c r="D294" t="str">
        <f t="shared" si="103"/>
        <v>3966</v>
      </c>
      <c r="E294" t="str">
        <f t="shared" si="100"/>
        <v>1</v>
      </c>
      <c r="F294" t="str">
        <f t="shared" si="101"/>
        <v>COM</v>
      </c>
      <c r="G294" t="str">
        <f t="shared" si="104"/>
        <v>FARMÁCIA INDIANA LJ 1 (10126)</v>
      </c>
      <c r="H294" t="s">
        <v>115</v>
      </c>
      <c r="I294" t="str">
        <f t="shared" si="105"/>
        <v>10/12/2025</v>
      </c>
      <c r="J294" t="str">
        <f t="shared" si="106"/>
        <v>02/12/2025</v>
      </c>
      <c r="K294">
        <v>46001</v>
      </c>
      <c r="N294">
        <v>303</v>
      </c>
      <c r="O294" t="s">
        <v>30</v>
      </c>
      <c r="Q294">
        <v>100.23</v>
      </c>
      <c r="R294" t="str">
        <f>"FARMÁCIA INDIANA LJ 121 (10054)"</f>
        <v>FARMÁCIA INDIANA LJ 121 (10054)</v>
      </c>
      <c r="S294" t="s">
        <v>31</v>
      </c>
      <c r="T294">
        <v>3501</v>
      </c>
      <c r="U294">
        <v>2881</v>
      </c>
      <c r="V294" t="s">
        <v>22</v>
      </c>
    </row>
    <row r="295" spans="1:22">
      <c r="A295" t="str">
        <f t="shared" si="102"/>
        <v>10/12/2025</v>
      </c>
      <c r="B295" t="str">
        <f t="shared" si="98"/>
        <v>ENTRADA</v>
      </c>
      <c r="C295" t="str">
        <f t="shared" si="99"/>
        <v>NFSE</v>
      </c>
      <c r="D295" t="str">
        <f t="shared" si="103"/>
        <v>3966</v>
      </c>
      <c r="E295" t="str">
        <f t="shared" si="100"/>
        <v>1</v>
      </c>
      <c r="F295" t="str">
        <f t="shared" si="101"/>
        <v>COM</v>
      </c>
      <c r="G295" t="str">
        <f t="shared" si="104"/>
        <v>FARMÁCIA INDIANA LJ 1 (10126)</v>
      </c>
      <c r="H295" t="s">
        <v>115</v>
      </c>
      <c r="I295" t="str">
        <f t="shared" si="105"/>
        <v>10/12/2025</v>
      </c>
      <c r="J295" t="str">
        <f t="shared" si="106"/>
        <v>02/12/2025</v>
      </c>
      <c r="K295">
        <v>46001</v>
      </c>
      <c r="N295">
        <v>303</v>
      </c>
      <c r="O295" t="s">
        <v>30</v>
      </c>
      <c r="Q295">
        <v>100.23</v>
      </c>
      <c r="R295" t="str">
        <f>"FARMÁCIA INDIANA LJ 128 (10057)"</f>
        <v>FARMÁCIA INDIANA LJ 128 (10057)</v>
      </c>
      <c r="S295" t="s">
        <v>31</v>
      </c>
      <c r="T295">
        <v>3501</v>
      </c>
      <c r="U295">
        <v>2881</v>
      </c>
      <c r="V295" t="s">
        <v>22</v>
      </c>
    </row>
    <row r="296" spans="1:22">
      <c r="A296" t="str">
        <f t="shared" si="102"/>
        <v>10/12/2025</v>
      </c>
      <c r="B296" t="str">
        <f t="shared" si="98"/>
        <v>ENTRADA</v>
      </c>
      <c r="C296" t="str">
        <f t="shared" si="99"/>
        <v>NFSE</v>
      </c>
      <c r="D296" t="str">
        <f t="shared" si="103"/>
        <v>3966</v>
      </c>
      <c r="E296" t="str">
        <f t="shared" si="100"/>
        <v>1</v>
      </c>
      <c r="F296" t="str">
        <f t="shared" si="101"/>
        <v>COM</v>
      </c>
      <c r="G296" t="str">
        <f t="shared" si="104"/>
        <v>FARMÁCIA INDIANA LJ 1 (10126)</v>
      </c>
      <c r="H296" t="s">
        <v>115</v>
      </c>
      <c r="I296" t="str">
        <f t="shared" si="105"/>
        <v>10/12/2025</v>
      </c>
      <c r="J296" t="str">
        <f t="shared" si="106"/>
        <v>02/12/2025</v>
      </c>
      <c r="K296">
        <v>46001</v>
      </c>
      <c r="N296">
        <v>303</v>
      </c>
      <c r="O296" t="s">
        <v>30</v>
      </c>
      <c r="Q296">
        <v>24.38</v>
      </c>
      <c r="R296" t="str">
        <f>"FARMÁCIA INDIANA LJ 140 (10064)"</f>
        <v>FARMÁCIA INDIANA LJ 140 (10064)</v>
      </c>
      <c r="S296" t="s">
        <v>31</v>
      </c>
      <c r="T296">
        <v>3501</v>
      </c>
      <c r="U296">
        <v>2881</v>
      </c>
      <c r="V296" t="s">
        <v>22</v>
      </c>
    </row>
    <row r="297" spans="1:22">
      <c r="A297" t="str">
        <f t="shared" si="102"/>
        <v>10/12/2025</v>
      </c>
      <c r="B297" t="str">
        <f t="shared" si="98"/>
        <v>ENTRADA</v>
      </c>
      <c r="C297" t="str">
        <f t="shared" si="99"/>
        <v>NFSE</v>
      </c>
      <c r="D297" t="str">
        <f t="shared" si="103"/>
        <v>3966</v>
      </c>
      <c r="E297" t="str">
        <f t="shared" si="100"/>
        <v>1</v>
      </c>
      <c r="F297" t="str">
        <f t="shared" si="101"/>
        <v>COM</v>
      </c>
      <c r="G297" t="str">
        <f t="shared" si="104"/>
        <v>FARMÁCIA INDIANA LJ 1 (10126)</v>
      </c>
      <c r="H297" t="s">
        <v>115</v>
      </c>
      <c r="I297" t="str">
        <f t="shared" si="105"/>
        <v>10/12/2025</v>
      </c>
      <c r="J297" t="str">
        <f t="shared" si="106"/>
        <v>02/12/2025</v>
      </c>
      <c r="K297">
        <v>46001</v>
      </c>
      <c r="N297">
        <v>303</v>
      </c>
      <c r="O297" t="s">
        <v>30</v>
      </c>
      <c r="Q297">
        <v>17.61</v>
      </c>
      <c r="R297" t="str">
        <f>"FARMÁCIA INDIANA LJ 141 (10065)"</f>
        <v>FARMÁCIA INDIANA LJ 141 (10065)</v>
      </c>
      <c r="S297" t="s">
        <v>31</v>
      </c>
      <c r="T297">
        <v>3501</v>
      </c>
      <c r="U297">
        <v>2881</v>
      </c>
      <c r="V297" t="s">
        <v>22</v>
      </c>
    </row>
    <row r="298" spans="1:22">
      <c r="A298" t="str">
        <f t="shared" si="102"/>
        <v>10/12/2025</v>
      </c>
      <c r="B298" t="str">
        <f t="shared" si="98"/>
        <v>ENTRADA</v>
      </c>
      <c r="C298" t="str">
        <f t="shared" si="99"/>
        <v>NFSE</v>
      </c>
      <c r="D298" t="str">
        <f t="shared" si="103"/>
        <v>3966</v>
      </c>
      <c r="E298" t="str">
        <f t="shared" si="100"/>
        <v>1</v>
      </c>
      <c r="F298" t="str">
        <f t="shared" si="101"/>
        <v>COM</v>
      </c>
      <c r="G298" t="str">
        <f t="shared" si="104"/>
        <v>FARMÁCIA INDIANA LJ 1 (10126)</v>
      </c>
      <c r="H298" t="s">
        <v>115</v>
      </c>
      <c r="I298" t="str">
        <f t="shared" si="105"/>
        <v>10/12/2025</v>
      </c>
      <c r="J298" t="str">
        <f t="shared" si="106"/>
        <v>02/12/2025</v>
      </c>
      <c r="K298">
        <v>46001</v>
      </c>
      <c r="N298">
        <v>303</v>
      </c>
      <c r="O298" t="s">
        <v>30</v>
      </c>
      <c r="Q298">
        <v>746.28</v>
      </c>
      <c r="R298" t="str">
        <f>"FARMÁCIA INDIANA LJ 142 (10066)"</f>
        <v>FARMÁCIA INDIANA LJ 142 (10066)</v>
      </c>
      <c r="S298" t="s">
        <v>31</v>
      </c>
      <c r="T298">
        <v>3501</v>
      </c>
      <c r="U298">
        <v>2881</v>
      </c>
      <c r="V298" t="s">
        <v>22</v>
      </c>
    </row>
    <row r="299" spans="1:22">
      <c r="A299" t="str">
        <f t="shared" si="102"/>
        <v>10/12/2025</v>
      </c>
      <c r="B299" t="str">
        <f t="shared" si="98"/>
        <v>ENTRADA</v>
      </c>
      <c r="C299" t="str">
        <f t="shared" si="99"/>
        <v>NFSE</v>
      </c>
      <c r="D299" t="str">
        <f t="shared" si="103"/>
        <v>3966</v>
      </c>
      <c r="E299" t="str">
        <f t="shared" si="100"/>
        <v>1</v>
      </c>
      <c r="F299" t="str">
        <f t="shared" si="101"/>
        <v>COM</v>
      </c>
      <c r="G299" t="str">
        <f t="shared" si="104"/>
        <v>FARMÁCIA INDIANA LJ 1 (10126)</v>
      </c>
      <c r="H299" t="s">
        <v>115</v>
      </c>
      <c r="I299" t="str">
        <f t="shared" si="105"/>
        <v>10/12/2025</v>
      </c>
      <c r="J299" t="str">
        <f t="shared" si="106"/>
        <v>02/12/2025</v>
      </c>
      <c r="K299">
        <v>46001</v>
      </c>
      <c r="N299">
        <v>303</v>
      </c>
      <c r="O299" t="s">
        <v>30</v>
      </c>
      <c r="Q299">
        <v>67.72</v>
      </c>
      <c r="R299" t="str">
        <f>"FARMÁCIA INDIANA LJ 143 (10067)"</f>
        <v>FARMÁCIA INDIANA LJ 143 (10067)</v>
      </c>
      <c r="S299" t="s">
        <v>31</v>
      </c>
      <c r="T299">
        <v>3501</v>
      </c>
      <c r="U299">
        <v>2881</v>
      </c>
      <c r="V299" t="s">
        <v>22</v>
      </c>
    </row>
    <row r="300" spans="1:22">
      <c r="A300" t="str">
        <f t="shared" si="102"/>
        <v>10/12/2025</v>
      </c>
      <c r="B300" t="str">
        <f t="shared" si="98"/>
        <v>ENTRADA</v>
      </c>
      <c r="C300" t="str">
        <f t="shared" si="99"/>
        <v>NFSE</v>
      </c>
      <c r="D300" t="str">
        <f t="shared" si="103"/>
        <v>3966</v>
      </c>
      <c r="E300" t="str">
        <f t="shared" si="100"/>
        <v>1</v>
      </c>
      <c r="F300" t="str">
        <f t="shared" si="101"/>
        <v>COM</v>
      </c>
      <c r="G300" t="str">
        <f t="shared" si="104"/>
        <v>FARMÁCIA INDIANA LJ 1 (10126)</v>
      </c>
      <c r="H300" t="s">
        <v>115</v>
      </c>
      <c r="I300" t="str">
        <f t="shared" si="105"/>
        <v>10/12/2025</v>
      </c>
      <c r="J300" t="str">
        <f t="shared" si="106"/>
        <v>02/12/2025</v>
      </c>
      <c r="K300">
        <v>46001</v>
      </c>
      <c r="N300">
        <v>303</v>
      </c>
      <c r="O300" t="s">
        <v>30</v>
      </c>
      <c r="Q300">
        <v>422.57</v>
      </c>
      <c r="R300" t="str">
        <f>"FARMÁCIA INDIANA LJ 152 (10069)"</f>
        <v>FARMÁCIA INDIANA LJ 152 (10069)</v>
      </c>
      <c r="S300" t="s">
        <v>31</v>
      </c>
      <c r="T300">
        <v>3501</v>
      </c>
      <c r="U300">
        <v>2881</v>
      </c>
      <c r="V300" t="s">
        <v>22</v>
      </c>
    </row>
    <row r="301" spans="1:22">
      <c r="A301" t="str">
        <f t="shared" si="102"/>
        <v>10/12/2025</v>
      </c>
      <c r="B301" t="str">
        <f t="shared" si="98"/>
        <v>ENTRADA</v>
      </c>
      <c r="C301" t="str">
        <f t="shared" si="99"/>
        <v>NFSE</v>
      </c>
      <c r="D301" t="str">
        <f t="shared" si="103"/>
        <v>3966</v>
      </c>
      <c r="E301" t="str">
        <f t="shared" si="100"/>
        <v>1</v>
      </c>
      <c r="F301" t="str">
        <f t="shared" si="101"/>
        <v>COM</v>
      </c>
      <c r="G301" t="str">
        <f t="shared" si="104"/>
        <v>FARMÁCIA INDIANA LJ 1 (10126)</v>
      </c>
      <c r="H301" t="s">
        <v>115</v>
      </c>
      <c r="I301" t="str">
        <f t="shared" si="105"/>
        <v>10/12/2025</v>
      </c>
      <c r="J301" t="str">
        <f t="shared" si="106"/>
        <v>02/12/2025</v>
      </c>
      <c r="K301">
        <v>46001</v>
      </c>
      <c r="N301">
        <v>303</v>
      </c>
      <c r="O301" t="s">
        <v>30</v>
      </c>
      <c r="Q301">
        <v>24.38</v>
      </c>
      <c r="R301" t="str">
        <f>"FARMÁCIA INDIANA LJ 154 (10070)"</f>
        <v>FARMÁCIA INDIANA LJ 154 (10070)</v>
      </c>
      <c r="S301" t="s">
        <v>31</v>
      </c>
      <c r="T301">
        <v>3501</v>
      </c>
      <c r="U301">
        <v>2881</v>
      </c>
      <c r="V301" t="s">
        <v>22</v>
      </c>
    </row>
    <row r="302" spans="1:22">
      <c r="A302" t="str">
        <f t="shared" si="102"/>
        <v>10/12/2025</v>
      </c>
      <c r="B302" t="str">
        <f t="shared" ref="B302:B333" si="107">"ENTRADA"</f>
        <v>ENTRADA</v>
      </c>
      <c r="C302" t="str">
        <f t="shared" ref="C302:C333" si="108">"NFSE"</f>
        <v>NFSE</v>
      </c>
      <c r="D302" t="str">
        <f t="shared" si="103"/>
        <v>3966</v>
      </c>
      <c r="E302" t="str">
        <f t="shared" ref="E302:E333" si="109">"1"</f>
        <v>1</v>
      </c>
      <c r="F302" t="str">
        <f t="shared" ref="F302:F333" si="110">"COM"</f>
        <v>COM</v>
      </c>
      <c r="G302" t="str">
        <f t="shared" si="104"/>
        <v>FARMÁCIA INDIANA LJ 1 (10126)</v>
      </c>
      <c r="H302" t="s">
        <v>115</v>
      </c>
      <c r="I302" t="str">
        <f t="shared" si="105"/>
        <v>10/12/2025</v>
      </c>
      <c r="J302" t="str">
        <f t="shared" si="106"/>
        <v>02/12/2025</v>
      </c>
      <c r="K302">
        <v>46001</v>
      </c>
      <c r="N302">
        <v>303</v>
      </c>
      <c r="O302" t="s">
        <v>30</v>
      </c>
      <c r="Q302">
        <v>214</v>
      </c>
      <c r="R302" t="str">
        <f>"FARMÁCIA INDIANA LJ 171 (10074)"</f>
        <v>FARMÁCIA INDIANA LJ 171 (10074)</v>
      </c>
      <c r="S302" t="s">
        <v>31</v>
      </c>
      <c r="T302">
        <v>3501</v>
      </c>
      <c r="U302">
        <v>2881</v>
      </c>
      <c r="V302" t="s">
        <v>22</v>
      </c>
    </row>
    <row r="303" spans="1:22">
      <c r="A303" t="str">
        <f t="shared" si="102"/>
        <v>10/12/2025</v>
      </c>
      <c r="B303" t="str">
        <f t="shared" si="107"/>
        <v>ENTRADA</v>
      </c>
      <c r="C303" t="str">
        <f t="shared" si="108"/>
        <v>NFSE</v>
      </c>
      <c r="D303" t="str">
        <f t="shared" si="103"/>
        <v>3966</v>
      </c>
      <c r="E303" t="str">
        <f t="shared" si="109"/>
        <v>1</v>
      </c>
      <c r="F303" t="str">
        <f t="shared" si="110"/>
        <v>COM</v>
      </c>
      <c r="G303" t="str">
        <f t="shared" si="104"/>
        <v>FARMÁCIA INDIANA LJ 1 (10126)</v>
      </c>
      <c r="H303" t="s">
        <v>115</v>
      </c>
      <c r="I303" t="str">
        <f t="shared" si="105"/>
        <v>10/12/2025</v>
      </c>
      <c r="J303" t="str">
        <f t="shared" si="106"/>
        <v>02/12/2025</v>
      </c>
      <c r="K303">
        <v>46001</v>
      </c>
      <c r="N303">
        <v>303</v>
      </c>
      <c r="O303" t="s">
        <v>30</v>
      </c>
      <c r="Q303">
        <v>82.62</v>
      </c>
      <c r="R303" t="str">
        <f>"FARMÁCIA INDIANA LJ 175 (10076)"</f>
        <v>FARMÁCIA INDIANA LJ 175 (10076)</v>
      </c>
      <c r="S303" t="s">
        <v>31</v>
      </c>
      <c r="T303">
        <v>3501</v>
      </c>
      <c r="U303">
        <v>2881</v>
      </c>
      <c r="V303" t="s">
        <v>22</v>
      </c>
    </row>
    <row r="304" spans="1:22">
      <c r="A304" t="str">
        <f t="shared" ref="A304:A335" si="111">("10/12/2025")</f>
        <v>10/12/2025</v>
      </c>
      <c r="B304" t="str">
        <f t="shared" si="107"/>
        <v>ENTRADA</v>
      </c>
      <c r="C304" t="str">
        <f t="shared" si="108"/>
        <v>NFSE</v>
      </c>
      <c r="D304" t="str">
        <f t="shared" ref="D304:D320" si="112">"3966"</f>
        <v>3966</v>
      </c>
      <c r="E304" t="str">
        <f t="shared" si="109"/>
        <v>1</v>
      </c>
      <c r="F304" t="str">
        <f t="shared" si="110"/>
        <v>COM</v>
      </c>
      <c r="G304" t="str">
        <f t="shared" ref="G304:G320" si="113">"FARMÁCIA INDIANA LJ 1 (10126)"</f>
        <v>FARMÁCIA INDIANA LJ 1 (10126)</v>
      </c>
      <c r="H304" t="s">
        <v>115</v>
      </c>
      <c r="I304" t="str">
        <f t="shared" ref="I304:I335" si="114">("10/12/2025")</f>
        <v>10/12/2025</v>
      </c>
      <c r="J304" t="str">
        <f t="shared" ref="J304:J335" si="115">("02/12/2025")</f>
        <v>02/12/2025</v>
      </c>
      <c r="K304">
        <v>46001</v>
      </c>
      <c r="N304">
        <v>303</v>
      </c>
      <c r="O304" t="s">
        <v>30</v>
      </c>
      <c r="Q304">
        <v>128.66999999999999</v>
      </c>
      <c r="R304" t="str">
        <f>"FARMÁCIA INDIANA LJ 178 (10077)"</f>
        <v>FARMÁCIA INDIANA LJ 178 (10077)</v>
      </c>
      <c r="S304" t="s">
        <v>31</v>
      </c>
      <c r="T304">
        <v>3501</v>
      </c>
      <c r="U304">
        <v>2881</v>
      </c>
      <c r="V304" t="s">
        <v>22</v>
      </c>
    </row>
    <row r="305" spans="1:22">
      <c r="A305" t="str">
        <f t="shared" si="111"/>
        <v>10/12/2025</v>
      </c>
      <c r="B305" t="str">
        <f t="shared" si="107"/>
        <v>ENTRADA</v>
      </c>
      <c r="C305" t="str">
        <f t="shared" si="108"/>
        <v>NFSE</v>
      </c>
      <c r="D305" t="str">
        <f t="shared" si="112"/>
        <v>3966</v>
      </c>
      <c r="E305" t="str">
        <f t="shared" si="109"/>
        <v>1</v>
      </c>
      <c r="F305" t="str">
        <f t="shared" si="110"/>
        <v>COM</v>
      </c>
      <c r="G305" t="str">
        <f t="shared" si="113"/>
        <v>FARMÁCIA INDIANA LJ 1 (10126)</v>
      </c>
      <c r="H305" t="s">
        <v>115</v>
      </c>
      <c r="I305" t="str">
        <f t="shared" si="114"/>
        <v>10/12/2025</v>
      </c>
      <c r="J305" t="str">
        <f t="shared" si="115"/>
        <v>02/12/2025</v>
      </c>
      <c r="K305">
        <v>46001</v>
      </c>
      <c r="N305">
        <v>303</v>
      </c>
      <c r="O305" t="s">
        <v>30</v>
      </c>
      <c r="Q305">
        <v>50.11</v>
      </c>
      <c r="R305" t="str">
        <f>"FARMÁCIA INDIANA LJ 182 (10079)"</f>
        <v>FARMÁCIA INDIANA LJ 182 (10079)</v>
      </c>
      <c r="S305" t="s">
        <v>31</v>
      </c>
      <c r="T305">
        <v>3501</v>
      </c>
      <c r="U305">
        <v>2881</v>
      </c>
      <c r="V305" t="s">
        <v>22</v>
      </c>
    </row>
    <row r="306" spans="1:22">
      <c r="A306" t="str">
        <f t="shared" si="111"/>
        <v>10/12/2025</v>
      </c>
      <c r="B306" t="str">
        <f t="shared" si="107"/>
        <v>ENTRADA</v>
      </c>
      <c r="C306" t="str">
        <f t="shared" si="108"/>
        <v>NFSE</v>
      </c>
      <c r="D306" t="str">
        <f t="shared" si="112"/>
        <v>3966</v>
      </c>
      <c r="E306" t="str">
        <f t="shared" si="109"/>
        <v>1</v>
      </c>
      <c r="F306" t="str">
        <f t="shared" si="110"/>
        <v>COM</v>
      </c>
      <c r="G306" t="str">
        <f t="shared" si="113"/>
        <v>FARMÁCIA INDIANA LJ 1 (10126)</v>
      </c>
      <c r="H306" t="s">
        <v>115</v>
      </c>
      <c r="I306" t="str">
        <f t="shared" si="114"/>
        <v>10/12/2025</v>
      </c>
      <c r="J306" t="str">
        <f t="shared" si="115"/>
        <v>02/12/2025</v>
      </c>
      <c r="K306">
        <v>46001</v>
      </c>
      <c r="N306">
        <v>303</v>
      </c>
      <c r="O306" t="s">
        <v>30</v>
      </c>
      <c r="Q306">
        <v>40.630000000000003</v>
      </c>
      <c r="R306" t="str">
        <f>"FARMÁCIA INDIANA LJ 184 (10080)"</f>
        <v>FARMÁCIA INDIANA LJ 184 (10080)</v>
      </c>
      <c r="S306" t="s">
        <v>31</v>
      </c>
      <c r="T306">
        <v>3501</v>
      </c>
      <c r="U306">
        <v>2881</v>
      </c>
      <c r="V306" t="s">
        <v>22</v>
      </c>
    </row>
    <row r="307" spans="1:22">
      <c r="A307" t="str">
        <f t="shared" si="111"/>
        <v>10/12/2025</v>
      </c>
      <c r="B307" t="str">
        <f t="shared" si="107"/>
        <v>ENTRADA</v>
      </c>
      <c r="C307" t="str">
        <f t="shared" si="108"/>
        <v>NFSE</v>
      </c>
      <c r="D307" t="str">
        <f t="shared" si="112"/>
        <v>3966</v>
      </c>
      <c r="E307" t="str">
        <f t="shared" si="109"/>
        <v>1</v>
      </c>
      <c r="F307" t="str">
        <f t="shared" si="110"/>
        <v>COM</v>
      </c>
      <c r="G307" t="str">
        <f t="shared" si="113"/>
        <v>FARMÁCIA INDIANA LJ 1 (10126)</v>
      </c>
      <c r="H307" t="s">
        <v>115</v>
      </c>
      <c r="I307" t="str">
        <f t="shared" si="114"/>
        <v>10/12/2025</v>
      </c>
      <c r="J307" t="str">
        <f t="shared" si="115"/>
        <v>02/12/2025</v>
      </c>
      <c r="K307">
        <v>46001</v>
      </c>
      <c r="N307">
        <v>303</v>
      </c>
      <c r="O307" t="s">
        <v>30</v>
      </c>
      <c r="Q307">
        <v>50.11</v>
      </c>
      <c r="R307" t="str">
        <f>"FARMÁCIA INDIANA LJ 186 (10081)"</f>
        <v>FARMÁCIA INDIANA LJ 186 (10081)</v>
      </c>
      <c r="S307" t="s">
        <v>31</v>
      </c>
      <c r="T307">
        <v>3501</v>
      </c>
      <c r="U307">
        <v>2881</v>
      </c>
      <c r="V307" t="s">
        <v>22</v>
      </c>
    </row>
    <row r="308" spans="1:22">
      <c r="A308" t="str">
        <f t="shared" si="111"/>
        <v>10/12/2025</v>
      </c>
      <c r="B308" t="str">
        <f t="shared" si="107"/>
        <v>ENTRADA</v>
      </c>
      <c r="C308" t="str">
        <f t="shared" si="108"/>
        <v>NFSE</v>
      </c>
      <c r="D308" t="str">
        <f t="shared" si="112"/>
        <v>3966</v>
      </c>
      <c r="E308" t="str">
        <f t="shared" si="109"/>
        <v>1</v>
      </c>
      <c r="F308" t="str">
        <f t="shared" si="110"/>
        <v>COM</v>
      </c>
      <c r="G308" t="str">
        <f t="shared" si="113"/>
        <v>FARMÁCIA INDIANA LJ 1 (10126)</v>
      </c>
      <c r="H308" t="s">
        <v>115</v>
      </c>
      <c r="I308" t="str">
        <f t="shared" si="114"/>
        <v>10/12/2025</v>
      </c>
      <c r="J308" t="str">
        <f t="shared" si="115"/>
        <v>02/12/2025</v>
      </c>
      <c r="K308">
        <v>46001</v>
      </c>
      <c r="N308">
        <v>303</v>
      </c>
      <c r="O308" t="s">
        <v>30</v>
      </c>
      <c r="Q308">
        <v>123.25</v>
      </c>
      <c r="R308" t="str">
        <f>"FARMÁCIA INDIANA LJ 192 (10082)"</f>
        <v>FARMÁCIA INDIANA LJ 192 (10082)</v>
      </c>
      <c r="S308" t="s">
        <v>31</v>
      </c>
      <c r="T308">
        <v>3501</v>
      </c>
      <c r="U308">
        <v>2881</v>
      </c>
      <c r="V308" t="s">
        <v>22</v>
      </c>
    </row>
    <row r="309" spans="1:22">
      <c r="A309" t="str">
        <f t="shared" si="111"/>
        <v>10/12/2025</v>
      </c>
      <c r="B309" t="str">
        <f t="shared" si="107"/>
        <v>ENTRADA</v>
      </c>
      <c r="C309" t="str">
        <f t="shared" si="108"/>
        <v>NFSE</v>
      </c>
      <c r="D309" t="str">
        <f t="shared" si="112"/>
        <v>3966</v>
      </c>
      <c r="E309" t="str">
        <f t="shared" si="109"/>
        <v>1</v>
      </c>
      <c r="F309" t="str">
        <f t="shared" si="110"/>
        <v>COM</v>
      </c>
      <c r="G309" t="str">
        <f t="shared" si="113"/>
        <v>FARMÁCIA INDIANA LJ 1 (10126)</v>
      </c>
      <c r="H309" t="s">
        <v>115</v>
      </c>
      <c r="I309" t="str">
        <f t="shared" si="114"/>
        <v>10/12/2025</v>
      </c>
      <c r="J309" t="str">
        <f t="shared" si="115"/>
        <v>02/12/2025</v>
      </c>
      <c r="K309">
        <v>46001</v>
      </c>
      <c r="N309">
        <v>303</v>
      </c>
      <c r="O309" t="s">
        <v>30</v>
      </c>
      <c r="Q309">
        <v>40.630000000000003</v>
      </c>
      <c r="R309" t="str">
        <f>"FARMÁCIA INDIANA LJ 195 (10083)"</f>
        <v>FARMÁCIA INDIANA LJ 195 (10083)</v>
      </c>
      <c r="S309" t="s">
        <v>31</v>
      </c>
      <c r="T309">
        <v>3501</v>
      </c>
      <c r="U309">
        <v>2881</v>
      </c>
      <c r="V309" t="s">
        <v>22</v>
      </c>
    </row>
    <row r="310" spans="1:22">
      <c r="A310" t="str">
        <f t="shared" si="111"/>
        <v>10/12/2025</v>
      </c>
      <c r="B310" t="str">
        <f t="shared" si="107"/>
        <v>ENTRADA</v>
      </c>
      <c r="C310" t="str">
        <f t="shared" si="108"/>
        <v>NFSE</v>
      </c>
      <c r="D310" t="str">
        <f t="shared" si="112"/>
        <v>3966</v>
      </c>
      <c r="E310" t="str">
        <f t="shared" si="109"/>
        <v>1</v>
      </c>
      <c r="F310" t="str">
        <f t="shared" si="110"/>
        <v>COM</v>
      </c>
      <c r="G310" t="str">
        <f t="shared" si="113"/>
        <v>FARMÁCIA INDIANA LJ 1 (10126)</v>
      </c>
      <c r="H310" t="s">
        <v>115</v>
      </c>
      <c r="I310" t="str">
        <f t="shared" si="114"/>
        <v>10/12/2025</v>
      </c>
      <c r="J310" t="str">
        <f t="shared" si="115"/>
        <v>02/12/2025</v>
      </c>
      <c r="K310">
        <v>46001</v>
      </c>
      <c r="N310">
        <v>303</v>
      </c>
      <c r="O310" t="s">
        <v>30</v>
      </c>
      <c r="Q310">
        <v>100.23</v>
      </c>
      <c r="R310" t="str">
        <f>"FARMÁCIA INDIANA LJ 202 (10085)"</f>
        <v>FARMÁCIA INDIANA LJ 202 (10085)</v>
      </c>
      <c r="S310" t="s">
        <v>31</v>
      </c>
      <c r="T310">
        <v>3501</v>
      </c>
      <c r="U310">
        <v>2881</v>
      </c>
      <c r="V310" t="s">
        <v>22</v>
      </c>
    </row>
    <row r="311" spans="1:22">
      <c r="A311" t="str">
        <f t="shared" si="111"/>
        <v>10/12/2025</v>
      </c>
      <c r="B311" t="str">
        <f t="shared" si="107"/>
        <v>ENTRADA</v>
      </c>
      <c r="C311" t="str">
        <f t="shared" si="108"/>
        <v>NFSE</v>
      </c>
      <c r="D311" t="str">
        <f t="shared" si="112"/>
        <v>3966</v>
      </c>
      <c r="E311" t="str">
        <f t="shared" si="109"/>
        <v>1</v>
      </c>
      <c r="F311" t="str">
        <f t="shared" si="110"/>
        <v>COM</v>
      </c>
      <c r="G311" t="str">
        <f t="shared" si="113"/>
        <v>FARMÁCIA INDIANA LJ 1 (10126)</v>
      </c>
      <c r="H311" t="s">
        <v>115</v>
      </c>
      <c r="I311" t="str">
        <f t="shared" si="114"/>
        <v>10/12/2025</v>
      </c>
      <c r="J311" t="str">
        <f t="shared" si="115"/>
        <v>02/12/2025</v>
      </c>
      <c r="K311">
        <v>46001</v>
      </c>
      <c r="N311">
        <v>303</v>
      </c>
      <c r="O311" t="s">
        <v>30</v>
      </c>
      <c r="Q311">
        <v>79.91</v>
      </c>
      <c r="R311" t="str">
        <f>"FARMÁCIA INDIANA LJ 204 (10087)"</f>
        <v>FARMÁCIA INDIANA LJ 204 (10087)</v>
      </c>
      <c r="S311" t="s">
        <v>31</v>
      </c>
      <c r="T311">
        <v>3501</v>
      </c>
      <c r="U311">
        <v>2881</v>
      </c>
      <c r="V311" t="s">
        <v>22</v>
      </c>
    </row>
    <row r="312" spans="1:22">
      <c r="A312" t="str">
        <f t="shared" si="111"/>
        <v>10/12/2025</v>
      </c>
      <c r="B312" t="str">
        <f t="shared" si="107"/>
        <v>ENTRADA</v>
      </c>
      <c r="C312" t="str">
        <f t="shared" si="108"/>
        <v>NFSE</v>
      </c>
      <c r="D312" t="str">
        <f t="shared" si="112"/>
        <v>3966</v>
      </c>
      <c r="E312" t="str">
        <f t="shared" si="109"/>
        <v>1</v>
      </c>
      <c r="F312" t="str">
        <f t="shared" si="110"/>
        <v>COM</v>
      </c>
      <c r="G312" t="str">
        <f t="shared" si="113"/>
        <v>FARMÁCIA INDIANA LJ 1 (10126)</v>
      </c>
      <c r="H312" t="s">
        <v>115</v>
      </c>
      <c r="I312" t="str">
        <f t="shared" si="114"/>
        <v>10/12/2025</v>
      </c>
      <c r="J312" t="str">
        <f t="shared" si="115"/>
        <v>02/12/2025</v>
      </c>
      <c r="K312">
        <v>46001</v>
      </c>
      <c r="N312">
        <v>303</v>
      </c>
      <c r="O312" t="s">
        <v>30</v>
      </c>
      <c r="Q312">
        <v>146.28</v>
      </c>
      <c r="R312" t="str">
        <f>"FARMÁCIA INDIANA LJ 207 (10088)"</f>
        <v>FARMÁCIA INDIANA LJ 207 (10088)</v>
      </c>
      <c r="S312" t="s">
        <v>31</v>
      </c>
      <c r="T312">
        <v>3501</v>
      </c>
      <c r="U312">
        <v>2881</v>
      </c>
      <c r="V312" t="s">
        <v>22</v>
      </c>
    </row>
    <row r="313" spans="1:22">
      <c r="A313" t="str">
        <f t="shared" si="111"/>
        <v>10/12/2025</v>
      </c>
      <c r="B313" t="str">
        <f t="shared" si="107"/>
        <v>ENTRADA</v>
      </c>
      <c r="C313" t="str">
        <f t="shared" si="108"/>
        <v>NFSE</v>
      </c>
      <c r="D313" t="str">
        <f t="shared" si="112"/>
        <v>3966</v>
      </c>
      <c r="E313" t="str">
        <f t="shared" si="109"/>
        <v>1</v>
      </c>
      <c r="F313" t="str">
        <f t="shared" si="110"/>
        <v>COM</v>
      </c>
      <c r="G313" t="str">
        <f t="shared" si="113"/>
        <v>FARMÁCIA INDIANA LJ 1 (10126)</v>
      </c>
      <c r="H313" t="s">
        <v>115</v>
      </c>
      <c r="I313" t="str">
        <f t="shared" si="114"/>
        <v>10/12/2025</v>
      </c>
      <c r="J313" t="str">
        <f t="shared" si="115"/>
        <v>02/12/2025</v>
      </c>
      <c r="K313">
        <v>46001</v>
      </c>
      <c r="N313">
        <v>303</v>
      </c>
      <c r="O313" t="s">
        <v>30</v>
      </c>
      <c r="Q313">
        <v>125.96</v>
      </c>
      <c r="R313" t="str">
        <f>"FARMÁCIA INDIANA LJ 209 (10089)"</f>
        <v>FARMÁCIA INDIANA LJ 209 (10089)</v>
      </c>
      <c r="S313" t="s">
        <v>31</v>
      </c>
      <c r="T313">
        <v>3501</v>
      </c>
      <c r="U313">
        <v>2881</v>
      </c>
      <c r="V313" t="s">
        <v>22</v>
      </c>
    </row>
    <row r="314" spans="1:22">
      <c r="A314" t="str">
        <f t="shared" si="111"/>
        <v>10/12/2025</v>
      </c>
      <c r="B314" t="str">
        <f t="shared" si="107"/>
        <v>ENTRADA</v>
      </c>
      <c r="C314" t="str">
        <f t="shared" si="108"/>
        <v>NFSE</v>
      </c>
      <c r="D314" t="str">
        <f t="shared" si="112"/>
        <v>3966</v>
      </c>
      <c r="E314" t="str">
        <f t="shared" si="109"/>
        <v>1</v>
      </c>
      <c r="F314" t="str">
        <f t="shared" si="110"/>
        <v>COM</v>
      </c>
      <c r="G314" t="str">
        <f t="shared" si="113"/>
        <v>FARMÁCIA INDIANA LJ 1 (10126)</v>
      </c>
      <c r="H314" t="s">
        <v>115</v>
      </c>
      <c r="I314" t="str">
        <f t="shared" si="114"/>
        <v>10/12/2025</v>
      </c>
      <c r="J314" t="str">
        <f t="shared" si="115"/>
        <v>02/12/2025</v>
      </c>
      <c r="K314">
        <v>46001</v>
      </c>
      <c r="N314">
        <v>303</v>
      </c>
      <c r="O314" t="s">
        <v>30</v>
      </c>
      <c r="Q314">
        <v>216.71</v>
      </c>
      <c r="R314" t="str">
        <f>"FARMÁCIA INDIANA LJ 219 (10091)"</f>
        <v>FARMÁCIA INDIANA LJ 219 (10091)</v>
      </c>
      <c r="S314" t="s">
        <v>31</v>
      </c>
      <c r="T314">
        <v>3501</v>
      </c>
      <c r="U314">
        <v>2881</v>
      </c>
      <c r="V314" t="s">
        <v>22</v>
      </c>
    </row>
    <row r="315" spans="1:22">
      <c r="A315" t="str">
        <f t="shared" si="111"/>
        <v>10/12/2025</v>
      </c>
      <c r="B315" t="str">
        <f t="shared" si="107"/>
        <v>ENTRADA</v>
      </c>
      <c r="C315" t="str">
        <f t="shared" si="108"/>
        <v>NFSE</v>
      </c>
      <c r="D315" t="str">
        <f t="shared" si="112"/>
        <v>3966</v>
      </c>
      <c r="E315" t="str">
        <f t="shared" si="109"/>
        <v>1</v>
      </c>
      <c r="F315" t="str">
        <f t="shared" si="110"/>
        <v>COM</v>
      </c>
      <c r="G315" t="str">
        <f t="shared" si="113"/>
        <v>FARMÁCIA INDIANA LJ 1 (10126)</v>
      </c>
      <c r="H315" t="s">
        <v>115</v>
      </c>
      <c r="I315" t="str">
        <f t="shared" si="114"/>
        <v>10/12/2025</v>
      </c>
      <c r="J315" t="str">
        <f t="shared" si="115"/>
        <v>02/12/2025</v>
      </c>
      <c r="K315">
        <v>46001</v>
      </c>
      <c r="N315">
        <v>303</v>
      </c>
      <c r="O315" t="s">
        <v>30</v>
      </c>
      <c r="Q315">
        <v>285.77999999999997</v>
      </c>
      <c r="R315" t="str">
        <f>"FARMÁCIA INDIANA LJ 220 (10092)"</f>
        <v>FARMÁCIA INDIANA LJ 220 (10092)</v>
      </c>
      <c r="S315" t="s">
        <v>31</v>
      </c>
      <c r="T315">
        <v>3501</v>
      </c>
      <c r="U315">
        <v>2881</v>
      </c>
      <c r="V315" t="s">
        <v>22</v>
      </c>
    </row>
    <row r="316" spans="1:22">
      <c r="A316" t="str">
        <f t="shared" si="111"/>
        <v>10/12/2025</v>
      </c>
      <c r="B316" t="str">
        <f t="shared" si="107"/>
        <v>ENTRADA</v>
      </c>
      <c r="C316" t="str">
        <f t="shared" si="108"/>
        <v>NFSE</v>
      </c>
      <c r="D316" t="str">
        <f t="shared" si="112"/>
        <v>3966</v>
      </c>
      <c r="E316" t="str">
        <f t="shared" si="109"/>
        <v>1</v>
      </c>
      <c r="F316" t="str">
        <f t="shared" si="110"/>
        <v>COM</v>
      </c>
      <c r="G316" t="str">
        <f t="shared" si="113"/>
        <v>FARMÁCIA INDIANA LJ 1 (10126)</v>
      </c>
      <c r="H316" t="s">
        <v>115</v>
      </c>
      <c r="I316" t="str">
        <f t="shared" si="114"/>
        <v>10/12/2025</v>
      </c>
      <c r="J316" t="str">
        <f t="shared" si="115"/>
        <v>02/12/2025</v>
      </c>
      <c r="K316">
        <v>46001</v>
      </c>
      <c r="N316">
        <v>303</v>
      </c>
      <c r="O316" t="s">
        <v>30</v>
      </c>
      <c r="Q316">
        <v>115.12</v>
      </c>
      <c r="R316" t="str">
        <f>"FARMÁCIA INDIANA LJ 185 (10141)"</f>
        <v>FARMÁCIA INDIANA LJ 185 (10141)</v>
      </c>
      <c r="S316" t="s">
        <v>31</v>
      </c>
      <c r="T316">
        <v>3501</v>
      </c>
      <c r="U316">
        <v>2881</v>
      </c>
      <c r="V316" t="s">
        <v>22</v>
      </c>
    </row>
    <row r="317" spans="1:22">
      <c r="A317" t="str">
        <f t="shared" si="111"/>
        <v>10/12/2025</v>
      </c>
      <c r="B317" t="str">
        <f t="shared" si="107"/>
        <v>ENTRADA</v>
      </c>
      <c r="C317" t="str">
        <f t="shared" si="108"/>
        <v>NFSE</v>
      </c>
      <c r="D317" t="str">
        <f t="shared" si="112"/>
        <v>3966</v>
      </c>
      <c r="E317" t="str">
        <f t="shared" si="109"/>
        <v>1</v>
      </c>
      <c r="F317" t="str">
        <f t="shared" si="110"/>
        <v>COM</v>
      </c>
      <c r="G317" t="str">
        <f t="shared" si="113"/>
        <v>FARMÁCIA INDIANA LJ 1 (10126)</v>
      </c>
      <c r="H317" t="s">
        <v>115</v>
      </c>
      <c r="I317" t="str">
        <f t="shared" si="114"/>
        <v>10/12/2025</v>
      </c>
      <c r="J317" t="str">
        <f t="shared" si="115"/>
        <v>02/12/2025</v>
      </c>
      <c r="K317">
        <v>46001</v>
      </c>
      <c r="N317">
        <v>303</v>
      </c>
      <c r="O317" t="s">
        <v>30</v>
      </c>
      <c r="Q317">
        <v>107</v>
      </c>
      <c r="R317" t="str">
        <f>"FARMÁCIA INDIANA LJ 205 (10150)"</f>
        <v>FARMÁCIA INDIANA LJ 205 (10150)</v>
      </c>
      <c r="S317" t="s">
        <v>31</v>
      </c>
      <c r="T317">
        <v>3501</v>
      </c>
      <c r="U317">
        <v>2881</v>
      </c>
      <c r="V317" t="s">
        <v>22</v>
      </c>
    </row>
    <row r="318" spans="1:22">
      <c r="A318" t="str">
        <f t="shared" si="111"/>
        <v>10/12/2025</v>
      </c>
      <c r="B318" t="str">
        <f t="shared" si="107"/>
        <v>ENTRADA</v>
      </c>
      <c r="C318" t="str">
        <f t="shared" si="108"/>
        <v>NFSE</v>
      </c>
      <c r="D318" t="str">
        <f t="shared" si="112"/>
        <v>3966</v>
      </c>
      <c r="E318" t="str">
        <f t="shared" si="109"/>
        <v>1</v>
      </c>
      <c r="F318" t="str">
        <f t="shared" si="110"/>
        <v>COM</v>
      </c>
      <c r="G318" t="str">
        <f t="shared" si="113"/>
        <v>FARMÁCIA INDIANA LJ 1 (10126)</v>
      </c>
      <c r="H318" t="s">
        <v>115</v>
      </c>
      <c r="I318" t="str">
        <f t="shared" si="114"/>
        <v>10/12/2025</v>
      </c>
      <c r="J318" t="str">
        <f t="shared" si="115"/>
        <v>02/12/2025</v>
      </c>
      <c r="K318">
        <v>46001</v>
      </c>
      <c r="N318">
        <v>303</v>
      </c>
      <c r="O318" t="s">
        <v>30</v>
      </c>
      <c r="Q318">
        <v>601.36</v>
      </c>
      <c r="R318" t="str">
        <f>"FARMÁCIA INDIANA LJ 172 (10161)"</f>
        <v>FARMÁCIA INDIANA LJ 172 (10161)</v>
      </c>
      <c r="S318" t="s">
        <v>31</v>
      </c>
      <c r="T318">
        <v>3501</v>
      </c>
      <c r="U318">
        <v>2881</v>
      </c>
      <c r="V318" t="s">
        <v>22</v>
      </c>
    </row>
    <row r="319" spans="1:22">
      <c r="A319" t="str">
        <f t="shared" si="111"/>
        <v>10/12/2025</v>
      </c>
      <c r="B319" t="str">
        <f t="shared" si="107"/>
        <v>ENTRADA</v>
      </c>
      <c r="C319" t="str">
        <f t="shared" si="108"/>
        <v>NFSE</v>
      </c>
      <c r="D319" t="str">
        <f t="shared" si="112"/>
        <v>3966</v>
      </c>
      <c r="E319" t="str">
        <f t="shared" si="109"/>
        <v>1</v>
      </c>
      <c r="F319" t="str">
        <f t="shared" si="110"/>
        <v>COM</v>
      </c>
      <c r="G319" t="str">
        <f t="shared" si="113"/>
        <v>FARMÁCIA INDIANA LJ 1 (10126)</v>
      </c>
      <c r="H319" t="s">
        <v>115</v>
      </c>
      <c r="I319" t="str">
        <f t="shared" si="114"/>
        <v>10/12/2025</v>
      </c>
      <c r="J319" t="str">
        <f t="shared" si="115"/>
        <v>02/12/2025</v>
      </c>
      <c r="K319">
        <v>46001</v>
      </c>
      <c r="N319">
        <v>303</v>
      </c>
      <c r="O319" t="s">
        <v>30</v>
      </c>
      <c r="Q319">
        <v>79.91</v>
      </c>
      <c r="R319" t="str">
        <f>"FARMÁCIA INDIANA LJ 266 (10186)"</f>
        <v>FARMÁCIA INDIANA LJ 266 (10186)</v>
      </c>
      <c r="S319" t="s">
        <v>31</v>
      </c>
      <c r="T319">
        <v>3501</v>
      </c>
      <c r="U319">
        <v>2881</v>
      </c>
      <c r="V319" t="s">
        <v>22</v>
      </c>
    </row>
    <row r="320" spans="1:22">
      <c r="A320" t="str">
        <f t="shared" si="111"/>
        <v>10/12/2025</v>
      </c>
      <c r="B320" t="str">
        <f t="shared" si="107"/>
        <v>ENTRADA</v>
      </c>
      <c r="C320" t="str">
        <f t="shared" si="108"/>
        <v>NFSE</v>
      </c>
      <c r="D320" t="str">
        <f t="shared" si="112"/>
        <v>3966</v>
      </c>
      <c r="E320" t="str">
        <f t="shared" si="109"/>
        <v>1</v>
      </c>
      <c r="F320" t="str">
        <f t="shared" si="110"/>
        <v>COM</v>
      </c>
      <c r="G320" t="str">
        <f t="shared" si="113"/>
        <v>FARMÁCIA INDIANA LJ 1 (10126)</v>
      </c>
      <c r="H320" t="s">
        <v>115</v>
      </c>
      <c r="I320" t="str">
        <f t="shared" si="114"/>
        <v>10/12/2025</v>
      </c>
      <c r="J320" t="str">
        <f t="shared" si="115"/>
        <v>02/12/2025</v>
      </c>
      <c r="K320">
        <v>46001</v>
      </c>
      <c r="N320">
        <v>303</v>
      </c>
      <c r="O320" t="s">
        <v>30</v>
      </c>
      <c r="Q320">
        <v>6.77</v>
      </c>
      <c r="R320" t="str">
        <f>"FARMÁCIA INDIANA LJ 257 (10267)"</f>
        <v>FARMÁCIA INDIANA LJ 257 (10267)</v>
      </c>
      <c r="S320" t="s">
        <v>31</v>
      </c>
      <c r="T320">
        <v>3501</v>
      </c>
      <c r="U320">
        <v>2881</v>
      </c>
      <c r="V320" t="s">
        <v>22</v>
      </c>
    </row>
    <row r="321" spans="1:22">
      <c r="A321" t="str">
        <f t="shared" si="111"/>
        <v>10/12/2025</v>
      </c>
      <c r="B321" t="str">
        <f t="shared" si="107"/>
        <v>ENTRADA</v>
      </c>
      <c r="C321" t="str">
        <f t="shared" si="108"/>
        <v>NFSE</v>
      </c>
      <c r="D321" t="str">
        <f t="shared" ref="D321:D336" si="116">"3968"</f>
        <v>3968</v>
      </c>
      <c r="E321" t="str">
        <f t="shared" si="109"/>
        <v>1</v>
      </c>
      <c r="F321" t="str">
        <f t="shared" si="110"/>
        <v>COM</v>
      </c>
      <c r="G321" t="str">
        <f t="shared" ref="G321:G336" si="117">"FARMÁCIA INDIANA LJ 30 (10127)"</f>
        <v>FARMÁCIA INDIANA LJ 30 (10127)</v>
      </c>
      <c r="H321" t="str">
        <f>"Serv.Prest. 24/11/2025 a 30/11/2025 - RPS: 1730 - NFSe: 3968"</f>
        <v>Serv.Prest. 24/11/2025 a 30/11/2025 - RPS: 1730 - NFSe: 3968</v>
      </c>
      <c r="I321" t="str">
        <f t="shared" si="114"/>
        <v>10/12/2025</v>
      </c>
      <c r="J321" t="str">
        <f t="shared" si="115"/>
        <v>02/12/2025</v>
      </c>
      <c r="K321" t="str">
        <f>("10/12/2025")</f>
        <v>10/12/2025</v>
      </c>
      <c r="L321">
        <v>3231.28</v>
      </c>
      <c r="M321">
        <v>3231.28</v>
      </c>
      <c r="N321">
        <v>303</v>
      </c>
      <c r="O321" t="str">
        <f>"RECEITAS COM ENTREGAS"</f>
        <v>RECEITAS COM ENTREGAS</v>
      </c>
      <c r="P321">
        <v>3231.28</v>
      </c>
      <c r="S321" t="str">
        <f>"RECEITAS COM ENTREGAS (303)"</f>
        <v>RECEITAS COM ENTREGAS (303)</v>
      </c>
      <c r="T321">
        <v>3502</v>
      </c>
      <c r="U321">
        <v>2883</v>
      </c>
      <c r="V321" t="s">
        <v>22</v>
      </c>
    </row>
    <row r="322" spans="1:22">
      <c r="A322" t="str">
        <f t="shared" si="111"/>
        <v>10/12/2025</v>
      </c>
      <c r="B322" t="str">
        <f t="shared" si="107"/>
        <v>ENTRADA</v>
      </c>
      <c r="C322" t="str">
        <f t="shared" si="108"/>
        <v>NFSE</v>
      </c>
      <c r="D322" t="str">
        <f t="shared" si="116"/>
        <v>3968</v>
      </c>
      <c r="E322" t="str">
        <f t="shared" si="109"/>
        <v>1</v>
      </c>
      <c r="F322" t="str">
        <f t="shared" si="110"/>
        <v>COM</v>
      </c>
      <c r="G322" t="str">
        <f t="shared" si="117"/>
        <v>FARMÁCIA INDIANA LJ 30 (10127)</v>
      </c>
      <c r="H322" t="s">
        <v>116</v>
      </c>
      <c r="I322" t="str">
        <f t="shared" si="114"/>
        <v>10/12/2025</v>
      </c>
      <c r="J322" t="str">
        <f t="shared" si="115"/>
        <v>02/12/2025</v>
      </c>
      <c r="K322">
        <v>46001</v>
      </c>
      <c r="N322">
        <v>303</v>
      </c>
      <c r="O322" t="s">
        <v>30</v>
      </c>
      <c r="Q322">
        <v>340.56</v>
      </c>
      <c r="R322" t="str">
        <f>"FARMÁCIA INDIANA LJ 34 (10014)"</f>
        <v>FARMÁCIA INDIANA LJ 34 (10014)</v>
      </c>
      <c r="S322" t="s">
        <v>31</v>
      </c>
      <c r="T322">
        <v>3502</v>
      </c>
      <c r="U322">
        <v>2883</v>
      </c>
      <c r="V322" t="s">
        <v>22</v>
      </c>
    </row>
    <row r="323" spans="1:22">
      <c r="A323" t="str">
        <f t="shared" si="111"/>
        <v>10/12/2025</v>
      </c>
      <c r="B323" t="str">
        <f t="shared" si="107"/>
        <v>ENTRADA</v>
      </c>
      <c r="C323" t="str">
        <f t="shared" si="108"/>
        <v>NFSE</v>
      </c>
      <c r="D323" t="str">
        <f t="shared" si="116"/>
        <v>3968</v>
      </c>
      <c r="E323" t="str">
        <f t="shared" si="109"/>
        <v>1</v>
      </c>
      <c r="F323" t="str">
        <f t="shared" si="110"/>
        <v>COM</v>
      </c>
      <c r="G323" t="str">
        <f t="shared" si="117"/>
        <v>FARMÁCIA INDIANA LJ 30 (10127)</v>
      </c>
      <c r="H323" t="s">
        <v>116</v>
      </c>
      <c r="I323" t="str">
        <f t="shared" si="114"/>
        <v>10/12/2025</v>
      </c>
      <c r="J323" t="str">
        <f t="shared" si="115"/>
        <v>02/12/2025</v>
      </c>
      <c r="K323">
        <v>46001</v>
      </c>
      <c r="N323">
        <v>303</v>
      </c>
      <c r="O323" t="s">
        <v>30</v>
      </c>
      <c r="Q323">
        <v>168.03</v>
      </c>
      <c r="R323" t="str">
        <f>"FARMÁCIA INDIANA LJ 35 (10015)"</f>
        <v>FARMÁCIA INDIANA LJ 35 (10015)</v>
      </c>
      <c r="S323" t="s">
        <v>31</v>
      </c>
      <c r="T323">
        <v>3502</v>
      </c>
      <c r="U323">
        <v>2883</v>
      </c>
      <c r="V323" t="s">
        <v>22</v>
      </c>
    </row>
    <row r="324" spans="1:22">
      <c r="A324" t="str">
        <f t="shared" si="111"/>
        <v>10/12/2025</v>
      </c>
      <c r="B324" t="str">
        <f t="shared" si="107"/>
        <v>ENTRADA</v>
      </c>
      <c r="C324" t="str">
        <f t="shared" si="108"/>
        <v>NFSE</v>
      </c>
      <c r="D324" t="str">
        <f t="shared" si="116"/>
        <v>3968</v>
      </c>
      <c r="E324" t="str">
        <f t="shared" si="109"/>
        <v>1</v>
      </c>
      <c r="F324" t="str">
        <f t="shared" si="110"/>
        <v>COM</v>
      </c>
      <c r="G324" t="str">
        <f t="shared" si="117"/>
        <v>FARMÁCIA INDIANA LJ 30 (10127)</v>
      </c>
      <c r="H324" t="s">
        <v>116</v>
      </c>
      <c r="I324" t="str">
        <f t="shared" si="114"/>
        <v>10/12/2025</v>
      </c>
      <c r="J324" t="str">
        <f t="shared" si="115"/>
        <v>02/12/2025</v>
      </c>
      <c r="K324">
        <v>46001</v>
      </c>
      <c r="N324">
        <v>303</v>
      </c>
      <c r="O324" t="s">
        <v>30</v>
      </c>
      <c r="Q324">
        <v>329.91</v>
      </c>
      <c r="R324" t="str">
        <f>"FARMÁCIA INDIANA LJ 48 (10018)"</f>
        <v>FARMÁCIA INDIANA LJ 48 (10018)</v>
      </c>
      <c r="S324" t="s">
        <v>31</v>
      </c>
      <c r="T324">
        <v>3502</v>
      </c>
      <c r="U324">
        <v>2883</v>
      </c>
      <c r="V324" t="s">
        <v>22</v>
      </c>
    </row>
    <row r="325" spans="1:22">
      <c r="A325" t="str">
        <f t="shared" si="111"/>
        <v>10/12/2025</v>
      </c>
      <c r="B325" t="str">
        <f t="shared" si="107"/>
        <v>ENTRADA</v>
      </c>
      <c r="C325" t="str">
        <f t="shared" si="108"/>
        <v>NFSE</v>
      </c>
      <c r="D325" t="str">
        <f t="shared" si="116"/>
        <v>3968</v>
      </c>
      <c r="E325" t="str">
        <f t="shared" si="109"/>
        <v>1</v>
      </c>
      <c r="F325" t="str">
        <f t="shared" si="110"/>
        <v>COM</v>
      </c>
      <c r="G325" t="str">
        <f t="shared" si="117"/>
        <v>FARMÁCIA INDIANA LJ 30 (10127)</v>
      </c>
      <c r="H325" t="s">
        <v>116</v>
      </c>
      <c r="I325" t="str">
        <f t="shared" si="114"/>
        <v>10/12/2025</v>
      </c>
      <c r="J325" t="str">
        <f t="shared" si="115"/>
        <v>02/12/2025</v>
      </c>
      <c r="K325">
        <v>46001</v>
      </c>
      <c r="N325">
        <v>303</v>
      </c>
      <c r="O325" t="s">
        <v>30</v>
      </c>
      <c r="Q325">
        <v>348.66</v>
      </c>
      <c r="R325" t="str">
        <f>"FARMÁCIA INDIANA LJ 65 (10030)"</f>
        <v>FARMÁCIA INDIANA LJ 65 (10030)</v>
      </c>
      <c r="S325" t="s">
        <v>31</v>
      </c>
      <c r="T325">
        <v>3502</v>
      </c>
      <c r="U325">
        <v>2883</v>
      </c>
      <c r="V325" t="s">
        <v>22</v>
      </c>
    </row>
    <row r="326" spans="1:22">
      <c r="A326" t="str">
        <f t="shared" si="111"/>
        <v>10/12/2025</v>
      </c>
      <c r="B326" t="str">
        <f t="shared" si="107"/>
        <v>ENTRADA</v>
      </c>
      <c r="C326" t="str">
        <f t="shared" si="108"/>
        <v>NFSE</v>
      </c>
      <c r="D326" t="str">
        <f t="shared" si="116"/>
        <v>3968</v>
      </c>
      <c r="E326" t="str">
        <f t="shared" si="109"/>
        <v>1</v>
      </c>
      <c r="F326" t="str">
        <f t="shared" si="110"/>
        <v>COM</v>
      </c>
      <c r="G326" t="str">
        <f t="shared" si="117"/>
        <v>FARMÁCIA INDIANA LJ 30 (10127)</v>
      </c>
      <c r="H326" t="s">
        <v>116</v>
      </c>
      <c r="I326" t="str">
        <f t="shared" si="114"/>
        <v>10/12/2025</v>
      </c>
      <c r="J326" t="str">
        <f t="shared" si="115"/>
        <v>02/12/2025</v>
      </c>
      <c r="K326">
        <v>46001</v>
      </c>
      <c r="N326">
        <v>303</v>
      </c>
      <c r="O326" t="s">
        <v>30</v>
      </c>
      <c r="Q326">
        <v>85.63</v>
      </c>
      <c r="R326" t="str">
        <f>"FARMÁCIA INDIANA LJ 77 (10034)"</f>
        <v>FARMÁCIA INDIANA LJ 77 (10034)</v>
      </c>
      <c r="S326" t="s">
        <v>31</v>
      </c>
      <c r="T326">
        <v>3502</v>
      </c>
      <c r="U326">
        <v>2883</v>
      </c>
      <c r="V326" t="s">
        <v>22</v>
      </c>
    </row>
    <row r="327" spans="1:22">
      <c r="A327" t="str">
        <f t="shared" si="111"/>
        <v>10/12/2025</v>
      </c>
      <c r="B327" t="str">
        <f t="shared" si="107"/>
        <v>ENTRADA</v>
      </c>
      <c r="C327" t="str">
        <f t="shared" si="108"/>
        <v>NFSE</v>
      </c>
      <c r="D327" t="str">
        <f t="shared" si="116"/>
        <v>3968</v>
      </c>
      <c r="E327" t="str">
        <f t="shared" si="109"/>
        <v>1</v>
      </c>
      <c r="F327" t="str">
        <f t="shared" si="110"/>
        <v>COM</v>
      </c>
      <c r="G327" t="str">
        <f t="shared" si="117"/>
        <v>FARMÁCIA INDIANA LJ 30 (10127)</v>
      </c>
      <c r="H327" t="s">
        <v>116</v>
      </c>
      <c r="I327" t="str">
        <f t="shared" si="114"/>
        <v>10/12/2025</v>
      </c>
      <c r="J327" t="str">
        <f t="shared" si="115"/>
        <v>02/12/2025</v>
      </c>
      <c r="K327">
        <v>46001</v>
      </c>
      <c r="N327">
        <v>303</v>
      </c>
      <c r="O327" t="s">
        <v>30</v>
      </c>
      <c r="Q327">
        <v>636.89</v>
      </c>
      <c r="R327" t="str">
        <f>"FARMÁCIA INDIANA LJ 91 (10037)"</f>
        <v>FARMÁCIA INDIANA LJ 91 (10037)</v>
      </c>
      <c r="S327" t="s">
        <v>31</v>
      </c>
      <c r="T327">
        <v>3502</v>
      </c>
      <c r="U327">
        <v>2883</v>
      </c>
      <c r="V327" t="s">
        <v>22</v>
      </c>
    </row>
    <row r="328" spans="1:22">
      <c r="A328" t="str">
        <f t="shared" si="111"/>
        <v>10/12/2025</v>
      </c>
      <c r="B328" t="str">
        <f t="shared" si="107"/>
        <v>ENTRADA</v>
      </c>
      <c r="C328" t="str">
        <f t="shared" si="108"/>
        <v>NFSE</v>
      </c>
      <c r="D328" t="str">
        <f t="shared" si="116"/>
        <v>3968</v>
      </c>
      <c r="E328" t="str">
        <f t="shared" si="109"/>
        <v>1</v>
      </c>
      <c r="F328" t="str">
        <f t="shared" si="110"/>
        <v>COM</v>
      </c>
      <c r="G328" t="str">
        <f t="shared" si="117"/>
        <v>FARMÁCIA INDIANA LJ 30 (10127)</v>
      </c>
      <c r="H328" t="s">
        <v>116</v>
      </c>
      <c r="I328" t="str">
        <f t="shared" si="114"/>
        <v>10/12/2025</v>
      </c>
      <c r="J328" t="str">
        <f t="shared" si="115"/>
        <v>02/12/2025</v>
      </c>
      <c r="K328">
        <v>46001</v>
      </c>
      <c r="N328">
        <v>303</v>
      </c>
      <c r="O328" t="s">
        <v>30</v>
      </c>
      <c r="Q328">
        <v>254.3</v>
      </c>
      <c r="R328" t="str">
        <f>"FARMÁCIA INDIANA LJ 95 (10039)"</f>
        <v>FARMÁCIA INDIANA LJ 95 (10039)</v>
      </c>
      <c r="S328" t="s">
        <v>31</v>
      </c>
      <c r="T328">
        <v>3502</v>
      </c>
      <c r="U328">
        <v>2883</v>
      </c>
      <c r="V328" t="s">
        <v>22</v>
      </c>
    </row>
    <row r="329" spans="1:22">
      <c r="A329" t="str">
        <f t="shared" si="111"/>
        <v>10/12/2025</v>
      </c>
      <c r="B329" t="str">
        <f t="shared" si="107"/>
        <v>ENTRADA</v>
      </c>
      <c r="C329" t="str">
        <f t="shared" si="108"/>
        <v>NFSE</v>
      </c>
      <c r="D329" t="str">
        <f t="shared" si="116"/>
        <v>3968</v>
      </c>
      <c r="E329" t="str">
        <f t="shared" si="109"/>
        <v>1</v>
      </c>
      <c r="F329" t="str">
        <f t="shared" si="110"/>
        <v>COM</v>
      </c>
      <c r="G329" t="str">
        <f t="shared" si="117"/>
        <v>FARMÁCIA INDIANA LJ 30 (10127)</v>
      </c>
      <c r="H329" t="s">
        <v>116</v>
      </c>
      <c r="I329" t="str">
        <f t="shared" si="114"/>
        <v>10/12/2025</v>
      </c>
      <c r="J329" t="str">
        <f t="shared" si="115"/>
        <v>02/12/2025</v>
      </c>
      <c r="K329">
        <v>46001</v>
      </c>
      <c r="N329">
        <v>303</v>
      </c>
      <c r="O329" t="s">
        <v>30</v>
      </c>
      <c r="Q329">
        <v>140.88</v>
      </c>
      <c r="R329" t="str">
        <f>"FARMÁCIA INDIANA LJ 145 (10068)"</f>
        <v>FARMÁCIA INDIANA LJ 145 (10068)</v>
      </c>
      <c r="S329" t="s">
        <v>31</v>
      </c>
      <c r="T329">
        <v>3502</v>
      </c>
      <c r="U329">
        <v>2883</v>
      </c>
      <c r="V329" t="s">
        <v>22</v>
      </c>
    </row>
    <row r="330" spans="1:22">
      <c r="A330" t="str">
        <f t="shared" si="111"/>
        <v>10/12/2025</v>
      </c>
      <c r="B330" t="str">
        <f t="shared" si="107"/>
        <v>ENTRADA</v>
      </c>
      <c r="C330" t="str">
        <f t="shared" si="108"/>
        <v>NFSE</v>
      </c>
      <c r="D330" t="str">
        <f t="shared" si="116"/>
        <v>3968</v>
      </c>
      <c r="E330" t="str">
        <f t="shared" si="109"/>
        <v>1</v>
      </c>
      <c r="F330" t="str">
        <f t="shared" si="110"/>
        <v>COM</v>
      </c>
      <c r="G330" t="str">
        <f t="shared" si="117"/>
        <v>FARMÁCIA INDIANA LJ 30 (10127)</v>
      </c>
      <c r="H330" t="s">
        <v>116</v>
      </c>
      <c r="I330" t="str">
        <f t="shared" si="114"/>
        <v>10/12/2025</v>
      </c>
      <c r="J330" t="str">
        <f t="shared" si="115"/>
        <v>02/12/2025</v>
      </c>
      <c r="K330">
        <v>46001</v>
      </c>
      <c r="N330">
        <v>303</v>
      </c>
      <c r="O330" t="s">
        <v>30</v>
      </c>
      <c r="Q330">
        <v>172.23</v>
      </c>
      <c r="R330" t="str">
        <f>"FARMÁCIA INDIANA LJ 169 (10073)"</f>
        <v>FARMÁCIA INDIANA LJ 169 (10073)</v>
      </c>
      <c r="S330" t="s">
        <v>31</v>
      </c>
      <c r="T330">
        <v>3502</v>
      </c>
      <c r="U330">
        <v>2883</v>
      </c>
      <c r="V330" t="s">
        <v>22</v>
      </c>
    </row>
    <row r="331" spans="1:22">
      <c r="A331" t="str">
        <f t="shared" si="111"/>
        <v>10/12/2025</v>
      </c>
      <c r="B331" t="str">
        <f t="shared" si="107"/>
        <v>ENTRADA</v>
      </c>
      <c r="C331" t="str">
        <f t="shared" si="108"/>
        <v>NFSE</v>
      </c>
      <c r="D331" t="str">
        <f t="shared" si="116"/>
        <v>3968</v>
      </c>
      <c r="E331" t="str">
        <f t="shared" si="109"/>
        <v>1</v>
      </c>
      <c r="F331" t="str">
        <f t="shared" si="110"/>
        <v>COM</v>
      </c>
      <c r="G331" t="str">
        <f t="shared" si="117"/>
        <v>FARMÁCIA INDIANA LJ 30 (10127)</v>
      </c>
      <c r="H331" t="s">
        <v>116</v>
      </c>
      <c r="I331" t="str">
        <f t="shared" si="114"/>
        <v>10/12/2025</v>
      </c>
      <c r="J331" t="str">
        <f t="shared" si="115"/>
        <v>02/12/2025</v>
      </c>
      <c r="K331">
        <v>46001</v>
      </c>
      <c r="N331">
        <v>303</v>
      </c>
      <c r="O331" t="s">
        <v>30</v>
      </c>
      <c r="Q331">
        <v>174.49</v>
      </c>
      <c r="R331" t="str">
        <f>"FARMÁCIA INDIANA LJ 173 (10075)"</f>
        <v>FARMÁCIA INDIANA LJ 173 (10075)</v>
      </c>
      <c r="S331" t="s">
        <v>31</v>
      </c>
      <c r="T331">
        <v>3502</v>
      </c>
      <c r="U331">
        <v>2883</v>
      </c>
      <c r="V331" t="s">
        <v>22</v>
      </c>
    </row>
    <row r="332" spans="1:22">
      <c r="A332" t="str">
        <f t="shared" si="111"/>
        <v>10/12/2025</v>
      </c>
      <c r="B332" t="str">
        <f t="shared" si="107"/>
        <v>ENTRADA</v>
      </c>
      <c r="C332" t="str">
        <f t="shared" si="108"/>
        <v>NFSE</v>
      </c>
      <c r="D332" t="str">
        <f t="shared" si="116"/>
        <v>3968</v>
      </c>
      <c r="E332" t="str">
        <f t="shared" si="109"/>
        <v>1</v>
      </c>
      <c r="F332" t="str">
        <f t="shared" si="110"/>
        <v>COM</v>
      </c>
      <c r="G332" t="str">
        <f t="shared" si="117"/>
        <v>FARMÁCIA INDIANA LJ 30 (10127)</v>
      </c>
      <c r="H332" t="s">
        <v>116</v>
      </c>
      <c r="I332" t="str">
        <f t="shared" si="114"/>
        <v>10/12/2025</v>
      </c>
      <c r="J332" t="str">
        <f t="shared" si="115"/>
        <v>02/12/2025</v>
      </c>
      <c r="K332">
        <v>46001</v>
      </c>
      <c r="N332">
        <v>303</v>
      </c>
      <c r="O332" t="s">
        <v>30</v>
      </c>
      <c r="Q332">
        <v>80.14</v>
      </c>
      <c r="R332" t="str">
        <f>"FARMÁCIA INDIANA LJ 213 (10090)"</f>
        <v>FARMÁCIA INDIANA LJ 213 (10090)</v>
      </c>
      <c r="S332" t="s">
        <v>31</v>
      </c>
      <c r="T332">
        <v>3502</v>
      </c>
      <c r="U332">
        <v>2883</v>
      </c>
      <c r="V332" t="s">
        <v>22</v>
      </c>
    </row>
    <row r="333" spans="1:22">
      <c r="A333" t="str">
        <f t="shared" si="111"/>
        <v>10/12/2025</v>
      </c>
      <c r="B333" t="str">
        <f t="shared" si="107"/>
        <v>ENTRADA</v>
      </c>
      <c r="C333" t="str">
        <f t="shared" si="108"/>
        <v>NFSE</v>
      </c>
      <c r="D333" t="str">
        <f t="shared" si="116"/>
        <v>3968</v>
      </c>
      <c r="E333" t="str">
        <f t="shared" si="109"/>
        <v>1</v>
      </c>
      <c r="F333" t="str">
        <f t="shared" si="110"/>
        <v>COM</v>
      </c>
      <c r="G333" t="str">
        <f t="shared" si="117"/>
        <v>FARMÁCIA INDIANA LJ 30 (10127)</v>
      </c>
      <c r="H333" t="s">
        <v>116</v>
      </c>
      <c r="I333" t="str">
        <f t="shared" si="114"/>
        <v>10/12/2025</v>
      </c>
      <c r="J333" t="str">
        <f t="shared" si="115"/>
        <v>02/12/2025</v>
      </c>
      <c r="K333">
        <v>46001</v>
      </c>
      <c r="N333">
        <v>303</v>
      </c>
      <c r="O333" t="s">
        <v>30</v>
      </c>
      <c r="Q333">
        <v>135.71</v>
      </c>
      <c r="R333" t="str">
        <f>"FARMÁCIA INDIANA LJ 200 (10155)"</f>
        <v>FARMÁCIA INDIANA LJ 200 (10155)</v>
      </c>
      <c r="S333" t="s">
        <v>31</v>
      </c>
      <c r="T333">
        <v>3502</v>
      </c>
      <c r="U333">
        <v>2883</v>
      </c>
      <c r="V333" t="s">
        <v>22</v>
      </c>
    </row>
    <row r="334" spans="1:22">
      <c r="A334" t="str">
        <f t="shared" si="111"/>
        <v>10/12/2025</v>
      </c>
      <c r="B334" t="str">
        <f t="shared" ref="B334:B347" si="118">"ENTRADA"</f>
        <v>ENTRADA</v>
      </c>
      <c r="C334" t="str">
        <f t="shared" ref="C334:C347" si="119">"NFSE"</f>
        <v>NFSE</v>
      </c>
      <c r="D334" t="str">
        <f t="shared" si="116"/>
        <v>3968</v>
      </c>
      <c r="E334" t="str">
        <f t="shared" ref="E334:E347" si="120">"1"</f>
        <v>1</v>
      </c>
      <c r="F334" t="str">
        <f t="shared" ref="F334:F347" si="121">"COM"</f>
        <v>COM</v>
      </c>
      <c r="G334" t="str">
        <f t="shared" si="117"/>
        <v>FARMÁCIA INDIANA LJ 30 (10127)</v>
      </c>
      <c r="H334" t="s">
        <v>116</v>
      </c>
      <c r="I334" t="str">
        <f t="shared" si="114"/>
        <v>10/12/2025</v>
      </c>
      <c r="J334" t="str">
        <f t="shared" si="115"/>
        <v>02/12/2025</v>
      </c>
      <c r="K334">
        <v>46001</v>
      </c>
      <c r="N334">
        <v>303</v>
      </c>
      <c r="O334" t="s">
        <v>30</v>
      </c>
      <c r="Q334">
        <v>123.76</v>
      </c>
      <c r="R334" t="str">
        <f>"FARMÁCIA INDIANA LJ 33 (10187)"</f>
        <v>FARMÁCIA INDIANA LJ 33 (10187)</v>
      </c>
      <c r="S334" t="s">
        <v>31</v>
      </c>
      <c r="T334">
        <v>3502</v>
      </c>
      <c r="U334">
        <v>2883</v>
      </c>
      <c r="V334" t="s">
        <v>22</v>
      </c>
    </row>
    <row r="335" spans="1:22">
      <c r="A335" t="str">
        <f t="shared" si="111"/>
        <v>10/12/2025</v>
      </c>
      <c r="B335" t="str">
        <f t="shared" si="118"/>
        <v>ENTRADA</v>
      </c>
      <c r="C335" t="str">
        <f t="shared" si="119"/>
        <v>NFSE</v>
      </c>
      <c r="D335" t="str">
        <f t="shared" si="116"/>
        <v>3968</v>
      </c>
      <c r="E335" t="str">
        <f t="shared" si="120"/>
        <v>1</v>
      </c>
      <c r="F335" t="str">
        <f t="shared" si="121"/>
        <v>COM</v>
      </c>
      <c r="G335" t="str">
        <f t="shared" si="117"/>
        <v>FARMÁCIA INDIANA LJ 30 (10127)</v>
      </c>
      <c r="H335" t="s">
        <v>116</v>
      </c>
      <c r="I335" t="str">
        <f t="shared" si="114"/>
        <v>10/12/2025</v>
      </c>
      <c r="J335" t="str">
        <f t="shared" si="115"/>
        <v>02/12/2025</v>
      </c>
      <c r="K335">
        <v>46001</v>
      </c>
      <c r="N335">
        <v>303</v>
      </c>
      <c r="O335" t="s">
        <v>30</v>
      </c>
      <c r="Q335">
        <v>99.85</v>
      </c>
      <c r="R335" t="str">
        <f>"FARMÁCIA INDIANA LJ 283 (10268)"</f>
        <v>FARMÁCIA INDIANA LJ 283 (10268)</v>
      </c>
      <c r="S335" t="s">
        <v>31</v>
      </c>
      <c r="T335">
        <v>3502</v>
      </c>
      <c r="U335">
        <v>2883</v>
      </c>
      <c r="V335" t="s">
        <v>22</v>
      </c>
    </row>
    <row r="336" spans="1:22">
      <c r="A336" t="str">
        <f t="shared" ref="A336:A351" si="122">("10/12/2025")</f>
        <v>10/12/2025</v>
      </c>
      <c r="B336" t="str">
        <f t="shared" si="118"/>
        <v>ENTRADA</v>
      </c>
      <c r="C336" t="str">
        <f t="shared" si="119"/>
        <v>NFSE</v>
      </c>
      <c r="D336" t="str">
        <f t="shared" si="116"/>
        <v>3968</v>
      </c>
      <c r="E336" t="str">
        <f t="shared" si="120"/>
        <v>1</v>
      </c>
      <c r="F336" t="str">
        <f t="shared" si="121"/>
        <v>COM</v>
      </c>
      <c r="G336" t="str">
        <f t="shared" si="117"/>
        <v>FARMÁCIA INDIANA LJ 30 (10127)</v>
      </c>
      <c r="H336" t="s">
        <v>116</v>
      </c>
      <c r="I336" t="str">
        <f t="shared" ref="I336:I367" si="123">("10/12/2025")</f>
        <v>10/12/2025</v>
      </c>
      <c r="J336" t="str">
        <f t="shared" ref="J336:J347" si="124">("02/12/2025")</f>
        <v>02/12/2025</v>
      </c>
      <c r="K336">
        <v>46001</v>
      </c>
      <c r="N336">
        <v>303</v>
      </c>
      <c r="O336" t="s">
        <v>30</v>
      </c>
      <c r="Q336">
        <v>140.24</v>
      </c>
      <c r="R336" t="str">
        <f>"FARMÁCIA INDIANA LJ 155 (10273)"</f>
        <v>FARMÁCIA INDIANA LJ 155 (10273)</v>
      </c>
      <c r="S336" t="s">
        <v>31</v>
      </c>
      <c r="T336">
        <v>3502</v>
      </c>
      <c r="U336">
        <v>2883</v>
      </c>
      <c r="V336" t="s">
        <v>22</v>
      </c>
    </row>
    <row r="337" spans="1:22">
      <c r="A337" t="str">
        <f t="shared" si="122"/>
        <v>10/12/2025</v>
      </c>
      <c r="B337" t="str">
        <f t="shared" si="118"/>
        <v>ENTRADA</v>
      </c>
      <c r="C337" t="str">
        <f t="shared" si="119"/>
        <v>NFSE</v>
      </c>
      <c r="D337" t="str">
        <f t="shared" ref="D337:D347" si="125">"3969"</f>
        <v>3969</v>
      </c>
      <c r="E337" t="str">
        <f t="shared" si="120"/>
        <v>1</v>
      </c>
      <c r="F337" t="str">
        <f t="shared" si="121"/>
        <v>COM</v>
      </c>
      <c r="G337" t="str">
        <f t="shared" ref="G337:G347" si="126">"FARMÁCIA INDIANA LJ 85 (10128)"</f>
        <v>FARMÁCIA INDIANA LJ 85 (10128)</v>
      </c>
      <c r="H337" t="str">
        <f>"Serv.Prest. 24/11/2025 a 30/11/2025 - RPS: 1731 - NFSe: 3969"</f>
        <v>Serv.Prest. 24/11/2025 a 30/11/2025 - RPS: 1731 - NFSe: 3969</v>
      </c>
      <c r="I337" t="str">
        <f t="shared" si="123"/>
        <v>10/12/2025</v>
      </c>
      <c r="J337" t="str">
        <f t="shared" si="124"/>
        <v>02/12/2025</v>
      </c>
      <c r="K337" t="str">
        <f>("10/12/2025")</f>
        <v>10/12/2025</v>
      </c>
      <c r="L337">
        <v>1007.12</v>
      </c>
      <c r="M337">
        <v>1007.12</v>
      </c>
      <c r="N337">
        <v>303</v>
      </c>
      <c r="O337" t="str">
        <f>"RECEITAS COM ENTREGAS"</f>
        <v>RECEITAS COM ENTREGAS</v>
      </c>
      <c r="P337">
        <v>1007.12</v>
      </c>
      <c r="S337" t="str">
        <f>"RECEITAS COM ENTREGAS (303)"</f>
        <v>RECEITAS COM ENTREGAS (303)</v>
      </c>
      <c r="T337">
        <v>3503</v>
      </c>
      <c r="U337">
        <v>2884</v>
      </c>
      <c r="V337" t="s">
        <v>22</v>
      </c>
    </row>
    <row r="338" spans="1:22">
      <c r="A338" t="str">
        <f t="shared" si="122"/>
        <v>10/12/2025</v>
      </c>
      <c r="B338" t="str">
        <f t="shared" si="118"/>
        <v>ENTRADA</v>
      </c>
      <c r="C338" t="str">
        <f t="shared" si="119"/>
        <v>NFSE</v>
      </c>
      <c r="D338" t="str">
        <f t="shared" si="125"/>
        <v>3969</v>
      </c>
      <c r="E338" t="str">
        <f t="shared" si="120"/>
        <v>1</v>
      </c>
      <c r="F338" t="str">
        <f t="shared" si="121"/>
        <v>COM</v>
      </c>
      <c r="G338" t="str">
        <f t="shared" si="126"/>
        <v>FARMÁCIA INDIANA LJ 85 (10128)</v>
      </c>
      <c r="H338" t="s">
        <v>117</v>
      </c>
      <c r="I338" t="str">
        <f t="shared" si="123"/>
        <v>10/12/2025</v>
      </c>
      <c r="J338" t="str">
        <f t="shared" si="124"/>
        <v>02/12/2025</v>
      </c>
      <c r="K338">
        <v>46001</v>
      </c>
      <c r="N338">
        <v>303</v>
      </c>
      <c r="O338" t="s">
        <v>30</v>
      </c>
      <c r="Q338">
        <v>107.96</v>
      </c>
      <c r="R338" t="str">
        <f>"FARMÁCIA INDIANA LJ 119 (10053)"</f>
        <v>FARMÁCIA INDIANA LJ 119 (10053)</v>
      </c>
      <c r="S338" t="s">
        <v>31</v>
      </c>
      <c r="T338">
        <v>3503</v>
      </c>
      <c r="U338">
        <v>2884</v>
      </c>
      <c r="V338" t="s">
        <v>22</v>
      </c>
    </row>
    <row r="339" spans="1:22">
      <c r="A339" t="str">
        <f t="shared" si="122"/>
        <v>10/12/2025</v>
      </c>
      <c r="B339" t="str">
        <f t="shared" si="118"/>
        <v>ENTRADA</v>
      </c>
      <c r="C339" t="str">
        <f t="shared" si="119"/>
        <v>NFSE</v>
      </c>
      <c r="D339" t="str">
        <f t="shared" si="125"/>
        <v>3969</v>
      </c>
      <c r="E339" t="str">
        <f t="shared" si="120"/>
        <v>1</v>
      </c>
      <c r="F339" t="str">
        <f t="shared" si="121"/>
        <v>COM</v>
      </c>
      <c r="G339" t="str">
        <f t="shared" si="126"/>
        <v>FARMÁCIA INDIANA LJ 85 (10128)</v>
      </c>
      <c r="H339" t="s">
        <v>117</v>
      </c>
      <c r="I339" t="str">
        <f t="shared" si="123"/>
        <v>10/12/2025</v>
      </c>
      <c r="J339" t="str">
        <f t="shared" si="124"/>
        <v>02/12/2025</v>
      </c>
      <c r="K339">
        <v>46001</v>
      </c>
      <c r="N339">
        <v>303</v>
      </c>
      <c r="O339" t="s">
        <v>30</v>
      </c>
      <c r="Q339">
        <v>135.16</v>
      </c>
      <c r="R339" t="str">
        <f>"FARMÁCIA INDIANA LJ 163 (10072)"</f>
        <v>FARMÁCIA INDIANA LJ 163 (10072)</v>
      </c>
      <c r="S339" t="s">
        <v>31</v>
      </c>
      <c r="T339">
        <v>3503</v>
      </c>
      <c r="U339">
        <v>2884</v>
      </c>
      <c r="V339" t="s">
        <v>22</v>
      </c>
    </row>
    <row r="340" spans="1:22">
      <c r="A340" t="str">
        <f t="shared" si="122"/>
        <v>10/12/2025</v>
      </c>
      <c r="B340" t="str">
        <f t="shared" si="118"/>
        <v>ENTRADA</v>
      </c>
      <c r="C340" t="str">
        <f t="shared" si="119"/>
        <v>NFSE</v>
      </c>
      <c r="D340" t="str">
        <f t="shared" si="125"/>
        <v>3969</v>
      </c>
      <c r="E340" t="str">
        <f t="shared" si="120"/>
        <v>1</v>
      </c>
      <c r="F340" t="str">
        <f t="shared" si="121"/>
        <v>COM</v>
      </c>
      <c r="G340" t="str">
        <f t="shared" si="126"/>
        <v>FARMÁCIA INDIANA LJ 85 (10128)</v>
      </c>
      <c r="H340" t="s">
        <v>117</v>
      </c>
      <c r="I340" t="str">
        <f t="shared" si="123"/>
        <v>10/12/2025</v>
      </c>
      <c r="J340" t="str">
        <f t="shared" si="124"/>
        <v>02/12/2025</v>
      </c>
      <c r="K340">
        <v>46001</v>
      </c>
      <c r="N340">
        <v>303</v>
      </c>
      <c r="O340" t="s">
        <v>30</v>
      </c>
      <c r="Q340">
        <v>147.04</v>
      </c>
      <c r="R340" t="str">
        <f>"FARMÁCIA INDIANA LJ 181 (10078)"</f>
        <v>FARMÁCIA INDIANA LJ 181 (10078)</v>
      </c>
      <c r="S340" t="s">
        <v>31</v>
      </c>
      <c r="T340">
        <v>3503</v>
      </c>
      <c r="U340">
        <v>2884</v>
      </c>
      <c r="V340" t="s">
        <v>22</v>
      </c>
    </row>
    <row r="341" spans="1:22">
      <c r="A341" t="str">
        <f t="shared" si="122"/>
        <v>10/12/2025</v>
      </c>
      <c r="B341" t="str">
        <f t="shared" si="118"/>
        <v>ENTRADA</v>
      </c>
      <c r="C341" t="str">
        <f t="shared" si="119"/>
        <v>NFSE</v>
      </c>
      <c r="D341" t="str">
        <f t="shared" si="125"/>
        <v>3969</v>
      </c>
      <c r="E341" t="str">
        <f t="shared" si="120"/>
        <v>1</v>
      </c>
      <c r="F341" t="str">
        <f t="shared" si="121"/>
        <v>COM</v>
      </c>
      <c r="G341" t="str">
        <f t="shared" si="126"/>
        <v>FARMÁCIA INDIANA LJ 85 (10128)</v>
      </c>
      <c r="H341" t="s">
        <v>117</v>
      </c>
      <c r="I341" t="str">
        <f t="shared" si="123"/>
        <v>10/12/2025</v>
      </c>
      <c r="J341" t="str">
        <f t="shared" si="124"/>
        <v>02/12/2025</v>
      </c>
      <c r="K341">
        <v>46001</v>
      </c>
      <c r="N341">
        <v>303</v>
      </c>
      <c r="O341" t="s">
        <v>30</v>
      </c>
      <c r="Q341">
        <v>107.76</v>
      </c>
      <c r="R341" t="str">
        <f>"FARMÁCIA INDIANA LJ 221 (10093)"</f>
        <v>FARMÁCIA INDIANA LJ 221 (10093)</v>
      </c>
      <c r="S341" t="s">
        <v>31</v>
      </c>
      <c r="T341">
        <v>3503</v>
      </c>
      <c r="U341">
        <v>2884</v>
      </c>
      <c r="V341" t="s">
        <v>22</v>
      </c>
    </row>
    <row r="342" spans="1:22">
      <c r="A342" t="str">
        <f t="shared" si="122"/>
        <v>10/12/2025</v>
      </c>
      <c r="B342" t="str">
        <f t="shared" si="118"/>
        <v>ENTRADA</v>
      </c>
      <c r="C342" t="str">
        <f t="shared" si="119"/>
        <v>NFSE</v>
      </c>
      <c r="D342" t="str">
        <f t="shared" si="125"/>
        <v>3969</v>
      </c>
      <c r="E342" t="str">
        <f t="shared" si="120"/>
        <v>1</v>
      </c>
      <c r="F342" t="str">
        <f t="shared" si="121"/>
        <v>COM</v>
      </c>
      <c r="G342" t="str">
        <f t="shared" si="126"/>
        <v>FARMÁCIA INDIANA LJ 85 (10128)</v>
      </c>
      <c r="H342" t="s">
        <v>117</v>
      </c>
      <c r="I342" t="str">
        <f t="shared" si="123"/>
        <v>10/12/2025</v>
      </c>
      <c r="J342" t="str">
        <f t="shared" si="124"/>
        <v>02/12/2025</v>
      </c>
      <c r="K342">
        <v>46001</v>
      </c>
      <c r="N342">
        <v>303</v>
      </c>
      <c r="O342" t="s">
        <v>30</v>
      </c>
      <c r="Q342">
        <v>126.39</v>
      </c>
      <c r="R342" t="str">
        <f>"FARMÁCIA INDIANA LJ 243 (10142)"</f>
        <v>FARMÁCIA INDIANA LJ 243 (10142)</v>
      </c>
      <c r="S342" t="s">
        <v>31</v>
      </c>
      <c r="T342">
        <v>3503</v>
      </c>
      <c r="U342">
        <v>2884</v>
      </c>
      <c r="V342" t="s">
        <v>22</v>
      </c>
    </row>
    <row r="343" spans="1:22">
      <c r="A343" t="str">
        <f t="shared" si="122"/>
        <v>10/12/2025</v>
      </c>
      <c r="B343" t="str">
        <f t="shared" si="118"/>
        <v>ENTRADA</v>
      </c>
      <c r="C343" t="str">
        <f t="shared" si="119"/>
        <v>NFSE</v>
      </c>
      <c r="D343" t="str">
        <f t="shared" si="125"/>
        <v>3969</v>
      </c>
      <c r="E343" t="str">
        <f t="shared" si="120"/>
        <v>1</v>
      </c>
      <c r="F343" t="str">
        <f t="shared" si="121"/>
        <v>COM</v>
      </c>
      <c r="G343" t="str">
        <f t="shared" si="126"/>
        <v>FARMÁCIA INDIANA LJ 85 (10128)</v>
      </c>
      <c r="H343" t="s">
        <v>117</v>
      </c>
      <c r="I343" t="str">
        <f t="shared" si="123"/>
        <v>10/12/2025</v>
      </c>
      <c r="J343" t="str">
        <f t="shared" si="124"/>
        <v>02/12/2025</v>
      </c>
      <c r="K343">
        <v>46001</v>
      </c>
      <c r="N343">
        <v>303</v>
      </c>
      <c r="O343" t="s">
        <v>30</v>
      </c>
      <c r="Q343">
        <v>57.41</v>
      </c>
      <c r="R343" t="str">
        <f>"FARMÁCIA INDIANA LJ 211 (10168)"</f>
        <v>FARMÁCIA INDIANA LJ 211 (10168)</v>
      </c>
      <c r="S343" t="s">
        <v>31</v>
      </c>
      <c r="T343">
        <v>3503</v>
      </c>
      <c r="U343">
        <v>2884</v>
      </c>
      <c r="V343" t="s">
        <v>22</v>
      </c>
    </row>
    <row r="344" spans="1:22">
      <c r="A344" t="str">
        <f t="shared" si="122"/>
        <v>10/12/2025</v>
      </c>
      <c r="B344" t="str">
        <f t="shared" si="118"/>
        <v>ENTRADA</v>
      </c>
      <c r="C344" t="str">
        <f t="shared" si="119"/>
        <v>NFSE</v>
      </c>
      <c r="D344" t="str">
        <f t="shared" si="125"/>
        <v>3969</v>
      </c>
      <c r="E344" t="str">
        <f t="shared" si="120"/>
        <v>1</v>
      </c>
      <c r="F344" t="str">
        <f t="shared" si="121"/>
        <v>COM</v>
      </c>
      <c r="G344" t="str">
        <f t="shared" si="126"/>
        <v>FARMÁCIA INDIANA LJ 85 (10128)</v>
      </c>
      <c r="H344" t="s">
        <v>117</v>
      </c>
      <c r="I344" t="str">
        <f t="shared" si="123"/>
        <v>10/12/2025</v>
      </c>
      <c r="J344" t="str">
        <f t="shared" si="124"/>
        <v>02/12/2025</v>
      </c>
      <c r="K344">
        <v>46001</v>
      </c>
      <c r="N344">
        <v>303</v>
      </c>
      <c r="O344" t="s">
        <v>30</v>
      </c>
      <c r="Q344">
        <v>57.41</v>
      </c>
      <c r="R344" t="str">
        <f>"FARMÁCIA INDIANA LJ 236 (10169)"</f>
        <v>FARMÁCIA INDIANA LJ 236 (10169)</v>
      </c>
      <c r="S344" t="s">
        <v>31</v>
      </c>
      <c r="T344">
        <v>3503</v>
      </c>
      <c r="U344">
        <v>2884</v>
      </c>
      <c r="V344" t="s">
        <v>22</v>
      </c>
    </row>
    <row r="345" spans="1:22">
      <c r="A345" t="str">
        <f t="shared" si="122"/>
        <v>10/12/2025</v>
      </c>
      <c r="B345" t="str">
        <f t="shared" si="118"/>
        <v>ENTRADA</v>
      </c>
      <c r="C345" t="str">
        <f t="shared" si="119"/>
        <v>NFSE</v>
      </c>
      <c r="D345" t="str">
        <f t="shared" si="125"/>
        <v>3969</v>
      </c>
      <c r="E345" t="str">
        <f t="shared" si="120"/>
        <v>1</v>
      </c>
      <c r="F345" t="str">
        <f t="shared" si="121"/>
        <v>COM</v>
      </c>
      <c r="G345" t="str">
        <f t="shared" si="126"/>
        <v>FARMÁCIA INDIANA LJ 85 (10128)</v>
      </c>
      <c r="H345" t="s">
        <v>117</v>
      </c>
      <c r="I345" t="str">
        <f t="shared" si="123"/>
        <v>10/12/2025</v>
      </c>
      <c r="J345" t="str">
        <f t="shared" si="124"/>
        <v>02/12/2025</v>
      </c>
      <c r="K345">
        <v>46001</v>
      </c>
      <c r="N345">
        <v>303</v>
      </c>
      <c r="O345" t="s">
        <v>30</v>
      </c>
      <c r="Q345">
        <v>114.81</v>
      </c>
      <c r="R345" t="str">
        <f>"FARMÁCIA INDIANA LJ 188 (10176)"</f>
        <v>FARMÁCIA INDIANA LJ 188 (10176)</v>
      </c>
      <c r="S345" t="s">
        <v>31</v>
      </c>
      <c r="T345">
        <v>3503</v>
      </c>
      <c r="U345">
        <v>2884</v>
      </c>
      <c r="V345" t="s">
        <v>22</v>
      </c>
    </row>
    <row r="346" spans="1:22">
      <c r="A346" t="str">
        <f t="shared" si="122"/>
        <v>10/12/2025</v>
      </c>
      <c r="B346" t="str">
        <f t="shared" si="118"/>
        <v>ENTRADA</v>
      </c>
      <c r="C346" t="str">
        <f t="shared" si="119"/>
        <v>NFSE</v>
      </c>
      <c r="D346" t="str">
        <f t="shared" si="125"/>
        <v>3969</v>
      </c>
      <c r="E346" t="str">
        <f t="shared" si="120"/>
        <v>1</v>
      </c>
      <c r="F346" t="str">
        <f t="shared" si="121"/>
        <v>COM</v>
      </c>
      <c r="G346" t="str">
        <f t="shared" si="126"/>
        <v>FARMÁCIA INDIANA LJ 85 (10128)</v>
      </c>
      <c r="H346" t="s">
        <v>117</v>
      </c>
      <c r="I346" t="str">
        <f t="shared" si="123"/>
        <v>10/12/2025</v>
      </c>
      <c r="J346" t="str">
        <f t="shared" si="124"/>
        <v>02/12/2025</v>
      </c>
      <c r="K346">
        <v>46001</v>
      </c>
      <c r="N346">
        <v>303</v>
      </c>
      <c r="O346" t="s">
        <v>30</v>
      </c>
      <c r="Q346">
        <v>134.94999999999999</v>
      </c>
      <c r="R346" t="str">
        <f>"FARMÁCIA INDIANA LJ 273 (10188)"</f>
        <v>FARMÁCIA INDIANA LJ 273 (10188)</v>
      </c>
      <c r="S346" t="s">
        <v>31</v>
      </c>
      <c r="T346">
        <v>3503</v>
      </c>
      <c r="U346">
        <v>2884</v>
      </c>
      <c r="V346" t="s">
        <v>22</v>
      </c>
    </row>
    <row r="347" spans="1:22">
      <c r="A347" t="str">
        <f t="shared" si="122"/>
        <v>10/12/2025</v>
      </c>
      <c r="B347" t="str">
        <f t="shared" si="118"/>
        <v>ENTRADA</v>
      </c>
      <c r="C347" t="str">
        <f t="shared" si="119"/>
        <v>NFSE</v>
      </c>
      <c r="D347" t="str">
        <f t="shared" si="125"/>
        <v>3969</v>
      </c>
      <c r="E347" t="str">
        <f t="shared" si="120"/>
        <v>1</v>
      </c>
      <c r="F347" t="str">
        <f t="shared" si="121"/>
        <v>COM</v>
      </c>
      <c r="G347" t="str">
        <f t="shared" si="126"/>
        <v>FARMÁCIA INDIANA LJ 85 (10128)</v>
      </c>
      <c r="H347" t="s">
        <v>117</v>
      </c>
      <c r="I347" t="str">
        <f t="shared" si="123"/>
        <v>10/12/2025</v>
      </c>
      <c r="J347" t="str">
        <f t="shared" si="124"/>
        <v>02/12/2025</v>
      </c>
      <c r="K347">
        <v>46001</v>
      </c>
      <c r="N347">
        <v>303</v>
      </c>
      <c r="O347" t="s">
        <v>30</v>
      </c>
      <c r="Q347">
        <v>18.23</v>
      </c>
      <c r="R347" t="str">
        <f>"FARMÁCIA INDIANA LJ 235 (10190)"</f>
        <v>FARMÁCIA INDIANA LJ 235 (10190)</v>
      </c>
      <c r="S347" t="s">
        <v>31</v>
      </c>
      <c r="T347">
        <v>3503</v>
      </c>
      <c r="U347">
        <v>2884</v>
      </c>
      <c r="V347" t="s">
        <v>22</v>
      </c>
    </row>
    <row r="348" spans="1:22">
      <c r="A348" t="str">
        <f t="shared" si="122"/>
        <v>10/12/2025</v>
      </c>
      <c r="B348" t="str">
        <f>"SAÍDA"</f>
        <v>SAÍDA</v>
      </c>
      <c r="C348" t="str">
        <f>"JUROS"</f>
        <v>JUROS</v>
      </c>
      <c r="D348" t="str">
        <f>""</f>
        <v/>
      </c>
      <c r="F348" t="str">
        <f>"CXA"</f>
        <v>CXA</v>
      </c>
      <c r="G348" t="str">
        <f>""</f>
        <v/>
      </c>
      <c r="H348" t="str">
        <f>"CESTA DE RELACIONAMENTO SICREDI "</f>
        <v xml:space="preserve">CESTA DE RELACIONAMENTO SICREDI </v>
      </c>
      <c r="I348" t="str">
        <f t="shared" si="123"/>
        <v>10/12/2025</v>
      </c>
      <c r="J348" t="str">
        <f>("10/12/2025")</f>
        <v>10/12/2025</v>
      </c>
      <c r="K348" t="str">
        <f>("10/12/2025")</f>
        <v>10/12/2025</v>
      </c>
      <c r="L348">
        <v>58.08</v>
      </c>
      <c r="M348">
        <v>58.08</v>
      </c>
      <c r="N348">
        <v>401</v>
      </c>
      <c r="O348" t="str">
        <f>"IOF/JUROS/DESP.FINANCEIRA"</f>
        <v>IOF/JUROS/DESP.FINANCEIRA</v>
      </c>
      <c r="P348">
        <v>58.08</v>
      </c>
      <c r="S348" t="str">
        <f>"BANCO SICREDI (131)"</f>
        <v>BANCO SICREDI (131)</v>
      </c>
      <c r="T348">
        <v>3555</v>
      </c>
      <c r="U348">
        <v>0</v>
      </c>
      <c r="V348" t="s">
        <v>53</v>
      </c>
    </row>
    <row r="349" spans="1:22">
      <c r="A349" t="str">
        <f t="shared" si="122"/>
        <v>10/12/2025</v>
      </c>
      <c r="B349" t="str">
        <f>"SAÍDA"</f>
        <v>SAÍDA</v>
      </c>
      <c r="C349" t="str">
        <f>"JUROS"</f>
        <v>JUROS</v>
      </c>
      <c r="D349" t="str">
        <f>""</f>
        <v/>
      </c>
      <c r="F349" t="str">
        <f>"CXA"</f>
        <v>CXA</v>
      </c>
      <c r="G349" t="str">
        <f>""</f>
        <v/>
      </c>
      <c r="H349" t="str">
        <f>"TARIFA SERV.COBR.TITULOS"</f>
        <v>TARIFA SERV.COBR.TITULOS</v>
      </c>
      <c r="I349" t="str">
        <f t="shared" si="123"/>
        <v>10/12/2025</v>
      </c>
      <c r="J349" t="str">
        <f>("10/12/2025")</f>
        <v>10/12/2025</v>
      </c>
      <c r="K349" t="str">
        <f>("10/12/2025")</f>
        <v>10/12/2025</v>
      </c>
      <c r="L349">
        <v>6.95</v>
      </c>
      <c r="M349">
        <v>6.95</v>
      </c>
      <c r="N349">
        <v>401</v>
      </c>
      <c r="O349" t="str">
        <f>"IOF/JUROS/DESP.FINANCEIRA"</f>
        <v>IOF/JUROS/DESP.FINANCEIRA</v>
      </c>
      <c r="P349">
        <v>6.95</v>
      </c>
      <c r="S349" t="str">
        <f>"BANCO SICREDI (131)"</f>
        <v>BANCO SICREDI (131)</v>
      </c>
      <c r="T349">
        <v>3556</v>
      </c>
      <c r="U349">
        <v>0</v>
      </c>
      <c r="V349" t="s">
        <v>53</v>
      </c>
    </row>
    <row r="350" spans="1:22">
      <c r="A350" t="str">
        <f t="shared" si="122"/>
        <v>10/12/2025</v>
      </c>
      <c r="B350" t="str">
        <f t="shared" ref="B350:B381" si="127">"ENTRADA"</f>
        <v>ENTRADA</v>
      </c>
      <c r="C350" t="str">
        <f t="shared" ref="C350:C381" si="128">"NFSE"</f>
        <v>NFSE</v>
      </c>
      <c r="D350" t="str">
        <f>"4011"</f>
        <v>4011</v>
      </c>
      <c r="E350" t="str">
        <f t="shared" ref="E350:E381" si="129">"1"</f>
        <v>1</v>
      </c>
      <c r="F350" t="str">
        <f t="shared" ref="F350:F381" si="130">"COM"</f>
        <v>COM</v>
      </c>
      <c r="G350" t="str">
        <f>"DROGARIA TOTAL JUNDIAI (10177)"</f>
        <v>DROGARIA TOTAL JUNDIAI (10177)</v>
      </c>
      <c r="H350" t="str">
        <f>"Serv.Prest. 01/12/2025 a 07/12/2025 - RPS: 1773 - NFSe: 4011"</f>
        <v>Serv.Prest. 01/12/2025 a 07/12/2025 - RPS: 1773 - NFSe: 4011</v>
      </c>
      <c r="I350" t="str">
        <f t="shared" si="123"/>
        <v>10/12/2025</v>
      </c>
      <c r="J350" t="str">
        <f>("09/12/2025")</f>
        <v>09/12/2025</v>
      </c>
      <c r="K350" t="str">
        <f>("10/12/2025")</f>
        <v>10/12/2025</v>
      </c>
      <c r="L350">
        <v>100.27</v>
      </c>
      <c r="M350">
        <v>100.27</v>
      </c>
      <c r="N350">
        <v>303</v>
      </c>
      <c r="O350" t="str">
        <f>"RECEITAS COM ENTREGAS"</f>
        <v>RECEITAS COM ENTREGAS</v>
      </c>
      <c r="P350">
        <v>100.27</v>
      </c>
      <c r="S350" t="str">
        <f>"RECEITAS COM ENTREGAS (303)"</f>
        <v>RECEITAS COM ENTREGAS (303)</v>
      </c>
      <c r="T350">
        <v>3826</v>
      </c>
      <c r="U350">
        <v>3023</v>
      </c>
      <c r="V350" t="s">
        <v>36</v>
      </c>
    </row>
    <row r="351" spans="1:22">
      <c r="A351" t="str">
        <f t="shared" si="122"/>
        <v>10/12/2025</v>
      </c>
      <c r="B351" t="str">
        <f t="shared" si="127"/>
        <v>ENTRADA</v>
      </c>
      <c r="C351" t="str">
        <f t="shared" si="128"/>
        <v>NFSE</v>
      </c>
      <c r="D351" t="str">
        <f>"4011"</f>
        <v>4011</v>
      </c>
      <c r="E351" t="str">
        <f t="shared" si="129"/>
        <v>1</v>
      </c>
      <c r="F351" t="str">
        <f t="shared" si="130"/>
        <v>COM</v>
      </c>
      <c r="G351" t="str">
        <f>"DROGARIA TOTAL JUNDIAI (10177)"</f>
        <v>DROGARIA TOTAL JUNDIAI (10177)</v>
      </c>
      <c r="H351" t="s">
        <v>118</v>
      </c>
      <c r="I351" t="str">
        <f t="shared" si="123"/>
        <v>10/12/2025</v>
      </c>
      <c r="J351" t="str">
        <f>("09/12/2025")</f>
        <v>09/12/2025</v>
      </c>
      <c r="K351">
        <v>46001</v>
      </c>
      <c r="N351">
        <v>303</v>
      </c>
      <c r="O351" t="s">
        <v>30</v>
      </c>
      <c r="Q351">
        <v>100.27</v>
      </c>
      <c r="R351" t="str">
        <f>"DROGARIA TOTAL JUNDIAI (10177)"</f>
        <v>DROGARIA TOTAL JUNDIAI (10177)</v>
      </c>
      <c r="S351" t="s">
        <v>31</v>
      </c>
      <c r="T351">
        <v>3826</v>
      </c>
      <c r="U351">
        <v>3023</v>
      </c>
      <c r="V351" t="s">
        <v>36</v>
      </c>
    </row>
    <row r="352" spans="1:22">
      <c r="A352" t="str">
        <f t="shared" ref="A352:A383" si="131">("11/12/2025")</f>
        <v>11/12/2025</v>
      </c>
      <c r="B352" t="str">
        <f t="shared" si="127"/>
        <v>ENTRADA</v>
      </c>
      <c r="C352" t="str">
        <f t="shared" si="128"/>
        <v>NFSE</v>
      </c>
      <c r="D352" t="str">
        <f>"3970"</f>
        <v>3970</v>
      </c>
      <c r="E352" t="str">
        <f t="shared" si="129"/>
        <v>1</v>
      </c>
      <c r="F352" t="str">
        <f t="shared" si="130"/>
        <v>COM</v>
      </c>
      <c r="G352" t="str">
        <f>"AC FARMA - CID.ALTA (10166)"</f>
        <v>AC FARMA - CID.ALTA (10166)</v>
      </c>
      <c r="H352" t="str">
        <f>"Serv.Prest. 24/11/2025 a 30/11/2025 - RPS: 1732 - NFSe: 3970"</f>
        <v>Serv.Prest. 24/11/2025 a 30/11/2025 - RPS: 1732 - NFSe: 3970</v>
      </c>
      <c r="I352" t="str">
        <f t="shared" si="123"/>
        <v>10/12/2025</v>
      </c>
      <c r="J352" t="str">
        <f t="shared" ref="J352:J359" si="132">("03/12/2025")</f>
        <v>03/12/2025</v>
      </c>
      <c r="K352" t="str">
        <f>("11/12/2025")</f>
        <v>11/12/2025</v>
      </c>
      <c r="L352">
        <v>986.85</v>
      </c>
      <c r="M352">
        <v>986.85</v>
      </c>
      <c r="N352">
        <v>303</v>
      </c>
      <c r="O352" t="str">
        <f>"RECEITAS COM ENTREGAS"</f>
        <v>RECEITAS COM ENTREGAS</v>
      </c>
      <c r="P352">
        <v>986.85</v>
      </c>
      <c r="S352" t="str">
        <f>"RECEITAS COM ENTREGAS (303)"</f>
        <v>RECEITAS COM ENTREGAS (303)</v>
      </c>
      <c r="T352">
        <v>3875</v>
      </c>
      <c r="U352">
        <v>2913</v>
      </c>
      <c r="V352" t="s">
        <v>36</v>
      </c>
    </row>
    <row r="353" spans="1:22">
      <c r="A353" t="str">
        <f t="shared" si="131"/>
        <v>11/12/2025</v>
      </c>
      <c r="B353" t="str">
        <f t="shared" si="127"/>
        <v>ENTRADA</v>
      </c>
      <c r="C353" t="str">
        <f t="shared" si="128"/>
        <v>NFSE</v>
      </c>
      <c r="D353" t="str">
        <f>"3970"</f>
        <v>3970</v>
      </c>
      <c r="E353" t="str">
        <f t="shared" si="129"/>
        <v>1</v>
      </c>
      <c r="F353" t="str">
        <f t="shared" si="130"/>
        <v>COM</v>
      </c>
      <c r="G353" t="str">
        <f>"AC FARMA - CID.ALTA (10166)"</f>
        <v>AC FARMA - CID.ALTA (10166)</v>
      </c>
      <c r="H353" t="s">
        <v>119</v>
      </c>
      <c r="I353" t="str">
        <f t="shared" si="123"/>
        <v>10/12/2025</v>
      </c>
      <c r="J353" t="str">
        <f t="shared" si="132"/>
        <v>03/12/2025</v>
      </c>
      <c r="K353">
        <v>46002</v>
      </c>
      <c r="N353">
        <v>303</v>
      </c>
      <c r="O353" t="s">
        <v>30</v>
      </c>
      <c r="Q353">
        <v>986.85</v>
      </c>
      <c r="R353" t="str">
        <f>"AC FARMA - CID.ALTA (10166)"</f>
        <v>AC FARMA - CID.ALTA (10166)</v>
      </c>
      <c r="S353" t="s">
        <v>31</v>
      </c>
      <c r="T353">
        <v>3875</v>
      </c>
      <c r="U353">
        <v>2913</v>
      </c>
      <c r="V353" t="s">
        <v>36</v>
      </c>
    </row>
    <row r="354" spans="1:22">
      <c r="A354" t="str">
        <f t="shared" si="131"/>
        <v>11/12/2025</v>
      </c>
      <c r="B354" t="str">
        <f t="shared" si="127"/>
        <v>ENTRADA</v>
      </c>
      <c r="C354" t="str">
        <f t="shared" si="128"/>
        <v>NFSE</v>
      </c>
      <c r="D354" t="str">
        <f>"3971"</f>
        <v>3971</v>
      </c>
      <c r="E354" t="str">
        <f t="shared" si="129"/>
        <v>1</v>
      </c>
      <c r="F354" t="str">
        <f t="shared" si="130"/>
        <v>COM</v>
      </c>
      <c r="G354" t="str">
        <f>"AC FARMA - FLEMINFARMA (10160)"</f>
        <v>AC FARMA - FLEMINFARMA (10160)</v>
      </c>
      <c r="H354" t="str">
        <f>"Serv.Prest. 24/11/2025 a 30/11/2025 - RPS: 1733 - NFSe: 3971"</f>
        <v>Serv.Prest. 24/11/2025 a 30/11/2025 - RPS: 1733 - NFSe: 3971</v>
      </c>
      <c r="I354" t="str">
        <f t="shared" si="123"/>
        <v>10/12/2025</v>
      </c>
      <c r="J354" t="str">
        <f t="shared" si="132"/>
        <v>03/12/2025</v>
      </c>
      <c r="K354" t="str">
        <f>("11/12/2025")</f>
        <v>11/12/2025</v>
      </c>
      <c r="L354">
        <v>211.95</v>
      </c>
      <c r="M354">
        <v>211.95</v>
      </c>
      <c r="N354">
        <v>303</v>
      </c>
      <c r="O354" t="str">
        <f>"RECEITAS COM ENTREGAS"</f>
        <v>RECEITAS COM ENTREGAS</v>
      </c>
      <c r="P354">
        <v>211.95</v>
      </c>
      <c r="S354" t="str">
        <f>"RECEITAS COM ENTREGAS (303)"</f>
        <v>RECEITAS COM ENTREGAS (303)</v>
      </c>
      <c r="T354">
        <v>3876</v>
      </c>
      <c r="U354">
        <v>2927</v>
      </c>
      <c r="V354" t="s">
        <v>36</v>
      </c>
    </row>
    <row r="355" spans="1:22">
      <c r="A355" t="str">
        <f t="shared" si="131"/>
        <v>11/12/2025</v>
      </c>
      <c r="B355" t="str">
        <f t="shared" si="127"/>
        <v>ENTRADA</v>
      </c>
      <c r="C355" t="str">
        <f t="shared" si="128"/>
        <v>NFSE</v>
      </c>
      <c r="D355" t="str">
        <f>"3971"</f>
        <v>3971</v>
      </c>
      <c r="E355" t="str">
        <f t="shared" si="129"/>
        <v>1</v>
      </c>
      <c r="F355" t="str">
        <f t="shared" si="130"/>
        <v>COM</v>
      </c>
      <c r="G355" t="str">
        <f>"AC FARMA - FLEMINFARMA (10160)"</f>
        <v>AC FARMA - FLEMINFARMA (10160)</v>
      </c>
      <c r="H355" t="s">
        <v>120</v>
      </c>
      <c r="I355" t="str">
        <f t="shared" si="123"/>
        <v>10/12/2025</v>
      </c>
      <c r="J355" t="str">
        <f t="shared" si="132"/>
        <v>03/12/2025</v>
      </c>
      <c r="K355">
        <v>46002</v>
      </c>
      <c r="N355">
        <v>303</v>
      </c>
      <c r="O355" t="s">
        <v>30</v>
      </c>
      <c r="Q355">
        <v>202.5</v>
      </c>
      <c r="R355" t="str">
        <f>"AC FARMA -  FLEMINFARMA (10159)"</f>
        <v>AC FARMA -  FLEMINFARMA (10159)</v>
      </c>
      <c r="S355" t="s">
        <v>31</v>
      </c>
      <c r="T355">
        <v>3876</v>
      </c>
      <c r="U355">
        <v>2927</v>
      </c>
      <c r="V355" t="s">
        <v>36</v>
      </c>
    </row>
    <row r="356" spans="1:22">
      <c r="A356" t="str">
        <f t="shared" si="131"/>
        <v>11/12/2025</v>
      </c>
      <c r="B356" t="str">
        <f t="shared" si="127"/>
        <v>ENTRADA</v>
      </c>
      <c r="C356" t="str">
        <f t="shared" si="128"/>
        <v>NFSE</v>
      </c>
      <c r="D356" t="str">
        <f>"3971"</f>
        <v>3971</v>
      </c>
      <c r="E356" t="str">
        <f t="shared" si="129"/>
        <v>1</v>
      </c>
      <c r="F356" t="str">
        <f t="shared" si="130"/>
        <v>COM</v>
      </c>
      <c r="G356" t="str">
        <f>"AC FARMA - FLEMINFARMA (10160)"</f>
        <v>AC FARMA - FLEMINFARMA (10160)</v>
      </c>
      <c r="H356" t="s">
        <v>120</v>
      </c>
      <c r="I356" t="str">
        <f t="shared" si="123"/>
        <v>10/12/2025</v>
      </c>
      <c r="J356" t="str">
        <f t="shared" si="132"/>
        <v>03/12/2025</v>
      </c>
      <c r="K356">
        <v>46002</v>
      </c>
      <c r="N356">
        <v>303</v>
      </c>
      <c r="O356" t="s">
        <v>30</v>
      </c>
      <c r="Q356">
        <v>9.4499999999999993</v>
      </c>
      <c r="R356" t="str">
        <f>"AC FARMA - FLEMINFARMA (10160)"</f>
        <v>AC FARMA - FLEMINFARMA (10160)</v>
      </c>
      <c r="S356" t="s">
        <v>31</v>
      </c>
      <c r="T356">
        <v>3876</v>
      </c>
      <c r="U356">
        <v>2927</v>
      </c>
      <c r="V356" t="s">
        <v>36</v>
      </c>
    </row>
    <row r="357" spans="1:22">
      <c r="A357" t="str">
        <f t="shared" si="131"/>
        <v>11/12/2025</v>
      </c>
      <c r="B357" t="str">
        <f t="shared" si="127"/>
        <v>ENTRADA</v>
      </c>
      <c r="C357" t="str">
        <f t="shared" si="128"/>
        <v>NFSE</v>
      </c>
      <c r="D357" t="str">
        <f>"3972"</f>
        <v>3972</v>
      </c>
      <c r="E357" t="str">
        <f t="shared" si="129"/>
        <v>1</v>
      </c>
      <c r="F357" t="str">
        <f t="shared" si="130"/>
        <v>COM</v>
      </c>
      <c r="G357" t="str">
        <f>"AC FARMA - FLEMINFARMA 5 (10183)"</f>
        <v>AC FARMA - FLEMINFARMA 5 (10183)</v>
      </c>
      <c r="H357" t="str">
        <f>"Serv.Prest. 24/11/2025 a 30/11/2025 - RPS: 1734 - NFSe: 3972"</f>
        <v>Serv.Prest. 24/11/2025 a 30/11/2025 - RPS: 1734 - NFSe: 3972</v>
      </c>
      <c r="I357" t="str">
        <f t="shared" si="123"/>
        <v>10/12/2025</v>
      </c>
      <c r="J357" t="str">
        <f t="shared" si="132"/>
        <v>03/12/2025</v>
      </c>
      <c r="K357" t="str">
        <f>("11/12/2025")</f>
        <v>11/12/2025</v>
      </c>
      <c r="L357">
        <v>120.15</v>
      </c>
      <c r="M357">
        <v>120.15</v>
      </c>
      <c r="N357">
        <v>303</v>
      </c>
      <c r="O357" t="str">
        <f>"RECEITAS COM ENTREGAS"</f>
        <v>RECEITAS COM ENTREGAS</v>
      </c>
      <c r="P357">
        <v>120.15</v>
      </c>
      <c r="S357" t="str">
        <f>"RECEITAS COM ENTREGAS (303)"</f>
        <v>RECEITAS COM ENTREGAS (303)</v>
      </c>
      <c r="T357">
        <v>3877</v>
      </c>
      <c r="U357">
        <v>2943</v>
      </c>
      <c r="V357" t="s">
        <v>36</v>
      </c>
    </row>
    <row r="358" spans="1:22">
      <c r="A358" t="str">
        <f t="shared" si="131"/>
        <v>11/12/2025</v>
      </c>
      <c r="B358" t="str">
        <f t="shared" si="127"/>
        <v>ENTRADA</v>
      </c>
      <c r="C358" t="str">
        <f t="shared" si="128"/>
        <v>NFSE</v>
      </c>
      <c r="D358" t="str">
        <f>"3972"</f>
        <v>3972</v>
      </c>
      <c r="E358" t="str">
        <f t="shared" si="129"/>
        <v>1</v>
      </c>
      <c r="F358" t="str">
        <f t="shared" si="130"/>
        <v>COM</v>
      </c>
      <c r="G358" t="str">
        <f>"AC FARMA - FLEMINFARMA 5 (10183)"</f>
        <v>AC FARMA - FLEMINFARMA 5 (10183)</v>
      </c>
      <c r="H358" t="s">
        <v>121</v>
      </c>
      <c r="I358" t="str">
        <f t="shared" si="123"/>
        <v>10/12/2025</v>
      </c>
      <c r="J358" t="str">
        <f t="shared" si="132"/>
        <v>03/12/2025</v>
      </c>
      <c r="K358">
        <v>46002</v>
      </c>
      <c r="N358">
        <v>303</v>
      </c>
      <c r="O358" t="s">
        <v>30</v>
      </c>
      <c r="Q358">
        <v>114.76</v>
      </c>
      <c r="R358" t="str">
        <f>"AC FARMA - FLEMINFARMA 5 (10183)"</f>
        <v>AC FARMA - FLEMINFARMA 5 (10183)</v>
      </c>
      <c r="S358" t="s">
        <v>31</v>
      </c>
      <c r="T358">
        <v>3877</v>
      </c>
      <c r="U358">
        <v>2943</v>
      </c>
      <c r="V358" t="s">
        <v>36</v>
      </c>
    </row>
    <row r="359" spans="1:22">
      <c r="A359" t="str">
        <f t="shared" si="131"/>
        <v>11/12/2025</v>
      </c>
      <c r="B359" t="str">
        <f t="shared" si="127"/>
        <v>ENTRADA</v>
      </c>
      <c r="C359" t="str">
        <f t="shared" si="128"/>
        <v>NFSE</v>
      </c>
      <c r="D359" t="str">
        <f>"3972"</f>
        <v>3972</v>
      </c>
      <c r="E359" t="str">
        <f t="shared" si="129"/>
        <v>1</v>
      </c>
      <c r="F359" t="str">
        <f t="shared" si="130"/>
        <v>COM</v>
      </c>
      <c r="G359" t="str">
        <f>"AC FARMA - FLEMINFARMA 5 (10183)"</f>
        <v>AC FARMA - FLEMINFARMA 5 (10183)</v>
      </c>
      <c r="H359" t="s">
        <v>121</v>
      </c>
      <c r="I359" t="str">
        <f t="shared" si="123"/>
        <v>10/12/2025</v>
      </c>
      <c r="J359" t="str">
        <f t="shared" si="132"/>
        <v>03/12/2025</v>
      </c>
      <c r="K359">
        <v>46002</v>
      </c>
      <c r="N359">
        <v>303</v>
      </c>
      <c r="O359" t="s">
        <v>30</v>
      </c>
      <c r="Q359">
        <v>5.39</v>
      </c>
      <c r="R359" t="str">
        <f>"AC FARMA - FLEMINFARMA 6 (10184)"</f>
        <v>AC FARMA - FLEMINFARMA 6 (10184)</v>
      </c>
      <c r="S359" t="s">
        <v>31</v>
      </c>
      <c r="T359">
        <v>3877</v>
      </c>
      <c r="U359">
        <v>2943</v>
      </c>
      <c r="V359" t="s">
        <v>36</v>
      </c>
    </row>
    <row r="360" spans="1:22">
      <c r="A360" t="str">
        <f t="shared" si="131"/>
        <v>11/12/2025</v>
      </c>
      <c r="B360" t="str">
        <f t="shared" si="127"/>
        <v>ENTRADA</v>
      </c>
      <c r="C360" t="str">
        <f t="shared" si="128"/>
        <v>NFSE</v>
      </c>
      <c r="D360" t="str">
        <f>"3974"</f>
        <v>3974</v>
      </c>
      <c r="E360" t="str">
        <f t="shared" si="129"/>
        <v>1</v>
      </c>
      <c r="F360" t="str">
        <f t="shared" si="130"/>
        <v>COM</v>
      </c>
      <c r="G360" t="str">
        <f>"JAL FARMACIA E DROGARIA LJ 2 (10138)"</f>
        <v>JAL FARMACIA E DROGARIA LJ 2 (10138)</v>
      </c>
      <c r="H360" t="str">
        <f>"Serv.Prest. 01/12/2025 a 07/12/2025 - RPS: 1736 - NFSe: 3974"</f>
        <v>Serv.Prest. 01/12/2025 a 07/12/2025 - RPS: 1736 - NFSe: 3974</v>
      </c>
      <c r="I360" t="str">
        <f t="shared" si="123"/>
        <v>10/12/2025</v>
      </c>
      <c r="J360" t="str">
        <f t="shared" ref="J360:J391" si="133">("08/12/2025")</f>
        <v>08/12/2025</v>
      </c>
      <c r="K360" t="str">
        <f>("11/12/2025")</f>
        <v>11/12/2025</v>
      </c>
      <c r="L360">
        <v>319.5</v>
      </c>
      <c r="M360">
        <v>319.5</v>
      </c>
      <c r="N360">
        <v>303</v>
      </c>
      <c r="O360" t="str">
        <f>"RECEITAS COM ENTREGAS"</f>
        <v>RECEITAS COM ENTREGAS</v>
      </c>
      <c r="P360">
        <v>319.5</v>
      </c>
      <c r="S360" t="str">
        <f>"RECEITAS COM ENTREGAS (303)"</f>
        <v>RECEITAS COM ENTREGAS (303)</v>
      </c>
      <c r="T360">
        <v>3878</v>
      </c>
      <c r="U360">
        <v>2986</v>
      </c>
      <c r="V360" t="s">
        <v>36</v>
      </c>
    </row>
    <row r="361" spans="1:22">
      <c r="A361" t="str">
        <f t="shared" si="131"/>
        <v>11/12/2025</v>
      </c>
      <c r="B361" t="str">
        <f t="shared" si="127"/>
        <v>ENTRADA</v>
      </c>
      <c r="C361" t="str">
        <f t="shared" si="128"/>
        <v>NFSE</v>
      </c>
      <c r="D361" t="str">
        <f>"3974"</f>
        <v>3974</v>
      </c>
      <c r="E361" t="str">
        <f t="shared" si="129"/>
        <v>1</v>
      </c>
      <c r="F361" t="str">
        <f t="shared" si="130"/>
        <v>COM</v>
      </c>
      <c r="G361" t="str">
        <f>"JAL FARMACIA E DROGARIA LJ 2 (10138)"</f>
        <v>JAL FARMACIA E DROGARIA LJ 2 (10138)</v>
      </c>
      <c r="H361" t="s">
        <v>122</v>
      </c>
      <c r="I361" t="str">
        <f t="shared" si="123"/>
        <v>10/12/2025</v>
      </c>
      <c r="J361" t="str">
        <f t="shared" si="133"/>
        <v>08/12/2025</v>
      </c>
      <c r="K361">
        <v>46002</v>
      </c>
      <c r="N361">
        <v>303</v>
      </c>
      <c r="O361" t="s">
        <v>30</v>
      </c>
      <c r="Q361">
        <v>319.5</v>
      </c>
      <c r="R361" t="str">
        <f>"JAL FARMACIA E DROGARIA LJ 2 (10138)"</f>
        <v>JAL FARMACIA E DROGARIA LJ 2 (10138)</v>
      </c>
      <c r="S361" t="s">
        <v>31</v>
      </c>
      <c r="T361">
        <v>3878</v>
      </c>
      <c r="U361">
        <v>2986</v>
      </c>
      <c r="V361" t="s">
        <v>36</v>
      </c>
    </row>
    <row r="362" spans="1:22">
      <c r="A362" t="str">
        <f t="shared" si="131"/>
        <v>11/12/2025</v>
      </c>
      <c r="B362" t="str">
        <f t="shared" si="127"/>
        <v>ENTRADA</v>
      </c>
      <c r="C362" t="str">
        <f t="shared" si="128"/>
        <v>NFSE</v>
      </c>
      <c r="D362" t="str">
        <f>"3975"</f>
        <v>3975</v>
      </c>
      <c r="E362" t="str">
        <f t="shared" si="129"/>
        <v>1</v>
      </c>
      <c r="F362" t="str">
        <f t="shared" si="130"/>
        <v>COM</v>
      </c>
      <c r="G362" t="str">
        <f>"JAL FARMACIA E DROGARIA LJ 1 (10137)"</f>
        <v>JAL FARMACIA E DROGARIA LJ 1 (10137)</v>
      </c>
      <c r="H362" t="str">
        <f>"Serv.Prest. 01/12/2025 a 07/12/2025 - RPS: 1737 - NFSe: 3975"</f>
        <v>Serv.Prest. 01/12/2025 a 07/12/2025 - RPS: 1737 - NFSe: 3975</v>
      </c>
      <c r="I362" t="str">
        <f t="shared" si="123"/>
        <v>10/12/2025</v>
      </c>
      <c r="J362" t="str">
        <f t="shared" si="133"/>
        <v>08/12/2025</v>
      </c>
      <c r="K362" t="str">
        <f>("11/12/2025")</f>
        <v>11/12/2025</v>
      </c>
      <c r="L362">
        <v>402</v>
      </c>
      <c r="M362">
        <v>402</v>
      </c>
      <c r="N362">
        <v>303</v>
      </c>
      <c r="O362" t="str">
        <f>"RECEITAS COM ENTREGAS"</f>
        <v>RECEITAS COM ENTREGAS</v>
      </c>
      <c r="P362">
        <v>402</v>
      </c>
      <c r="S362" t="str">
        <f>"RECEITAS COM ENTREGAS (303)"</f>
        <v>RECEITAS COM ENTREGAS (303)</v>
      </c>
      <c r="T362">
        <v>3879</v>
      </c>
      <c r="U362">
        <v>2987</v>
      </c>
      <c r="V362" t="s">
        <v>36</v>
      </c>
    </row>
    <row r="363" spans="1:22">
      <c r="A363" t="str">
        <f t="shared" si="131"/>
        <v>11/12/2025</v>
      </c>
      <c r="B363" t="str">
        <f t="shared" si="127"/>
        <v>ENTRADA</v>
      </c>
      <c r="C363" t="str">
        <f t="shared" si="128"/>
        <v>NFSE</v>
      </c>
      <c r="D363" t="str">
        <f>"3975"</f>
        <v>3975</v>
      </c>
      <c r="E363" t="str">
        <f t="shared" si="129"/>
        <v>1</v>
      </c>
      <c r="F363" t="str">
        <f t="shared" si="130"/>
        <v>COM</v>
      </c>
      <c r="G363" t="str">
        <f>"JAL FARMACIA E DROGARIA LJ 1 (10137)"</f>
        <v>JAL FARMACIA E DROGARIA LJ 1 (10137)</v>
      </c>
      <c r="H363" t="s">
        <v>123</v>
      </c>
      <c r="I363" t="str">
        <f t="shared" si="123"/>
        <v>10/12/2025</v>
      </c>
      <c r="J363" t="str">
        <f t="shared" si="133"/>
        <v>08/12/2025</v>
      </c>
      <c r="K363">
        <v>46002</v>
      </c>
      <c r="N363">
        <v>303</v>
      </c>
      <c r="O363" t="s">
        <v>30</v>
      </c>
      <c r="Q363">
        <v>402</v>
      </c>
      <c r="R363" t="str">
        <f>"JAL FARMACIA E DROGARIA LJ 1 (10137)"</f>
        <v>JAL FARMACIA E DROGARIA LJ 1 (10137)</v>
      </c>
      <c r="S363" t="s">
        <v>31</v>
      </c>
      <c r="T363">
        <v>3879</v>
      </c>
      <c r="U363">
        <v>2987</v>
      </c>
      <c r="V363" t="s">
        <v>36</v>
      </c>
    </row>
    <row r="364" spans="1:22">
      <c r="A364" t="str">
        <f t="shared" si="131"/>
        <v>11/12/2025</v>
      </c>
      <c r="B364" t="str">
        <f t="shared" si="127"/>
        <v>ENTRADA</v>
      </c>
      <c r="C364" t="str">
        <f t="shared" si="128"/>
        <v>NFSE</v>
      </c>
      <c r="D364" t="str">
        <f>"3976"</f>
        <v>3976</v>
      </c>
      <c r="E364" t="str">
        <f t="shared" si="129"/>
        <v>1</v>
      </c>
      <c r="F364" t="str">
        <f t="shared" si="130"/>
        <v>COM</v>
      </c>
      <c r="G364" t="str">
        <f>"PENSE FARMA 31 (10205)"</f>
        <v>PENSE FARMA 31 (10205)</v>
      </c>
      <c r="H364" t="str">
        <f>"Serv.Prest. 01/12/2025 a 07/12/2025 - RPS: 1738 - NFSe: 3976"</f>
        <v>Serv.Prest. 01/12/2025 a 07/12/2025 - RPS: 1738 - NFSe: 3976</v>
      </c>
      <c r="I364" t="str">
        <f t="shared" si="123"/>
        <v>10/12/2025</v>
      </c>
      <c r="J364" t="str">
        <f t="shared" si="133"/>
        <v>08/12/2025</v>
      </c>
      <c r="K364" t="str">
        <f>("11/12/2025")</f>
        <v>11/12/2025</v>
      </c>
      <c r="L364">
        <v>540.16999999999996</v>
      </c>
      <c r="M364">
        <v>540.16999999999996</v>
      </c>
      <c r="N364">
        <v>303</v>
      </c>
      <c r="O364" t="str">
        <f>"RECEITAS COM ENTREGAS"</f>
        <v>RECEITAS COM ENTREGAS</v>
      </c>
      <c r="P364">
        <v>540.16999999999996</v>
      </c>
      <c r="S364" t="str">
        <f>"RECEITAS COM ENTREGAS (303)"</f>
        <v>RECEITAS COM ENTREGAS (303)</v>
      </c>
      <c r="T364">
        <v>3880</v>
      </c>
      <c r="U364">
        <v>2988</v>
      </c>
      <c r="V364" t="s">
        <v>36</v>
      </c>
    </row>
    <row r="365" spans="1:22">
      <c r="A365" t="str">
        <f t="shared" si="131"/>
        <v>11/12/2025</v>
      </c>
      <c r="B365" t="str">
        <f t="shared" si="127"/>
        <v>ENTRADA</v>
      </c>
      <c r="C365" t="str">
        <f t="shared" si="128"/>
        <v>NFSE</v>
      </c>
      <c r="D365" t="str">
        <f>"3976"</f>
        <v>3976</v>
      </c>
      <c r="E365" t="str">
        <f t="shared" si="129"/>
        <v>1</v>
      </c>
      <c r="F365" t="str">
        <f t="shared" si="130"/>
        <v>COM</v>
      </c>
      <c r="G365" t="str">
        <f>"PENSE FARMA 31 (10205)"</f>
        <v>PENSE FARMA 31 (10205)</v>
      </c>
      <c r="H365" t="s">
        <v>124</v>
      </c>
      <c r="I365" t="str">
        <f t="shared" si="123"/>
        <v>10/12/2025</v>
      </c>
      <c r="J365" t="str">
        <f t="shared" si="133"/>
        <v>08/12/2025</v>
      </c>
      <c r="K365">
        <v>46002</v>
      </c>
      <c r="N365">
        <v>303</v>
      </c>
      <c r="O365" t="s">
        <v>30</v>
      </c>
      <c r="Q365">
        <v>134.94</v>
      </c>
      <c r="R365" t="str">
        <f>"PENSE FARMA 31 (10205)"</f>
        <v>PENSE FARMA 31 (10205)</v>
      </c>
      <c r="S365" t="s">
        <v>31</v>
      </c>
      <c r="T365">
        <v>3880</v>
      </c>
      <c r="U365">
        <v>2988</v>
      </c>
      <c r="V365" t="s">
        <v>36</v>
      </c>
    </row>
    <row r="366" spans="1:22">
      <c r="A366" t="str">
        <f t="shared" si="131"/>
        <v>11/12/2025</v>
      </c>
      <c r="B366" t="str">
        <f t="shared" si="127"/>
        <v>ENTRADA</v>
      </c>
      <c r="C366" t="str">
        <f t="shared" si="128"/>
        <v>NFSE</v>
      </c>
      <c r="D366" t="str">
        <f>"3976"</f>
        <v>3976</v>
      </c>
      <c r="E366" t="str">
        <f t="shared" si="129"/>
        <v>1</v>
      </c>
      <c r="F366" t="str">
        <f t="shared" si="130"/>
        <v>COM</v>
      </c>
      <c r="G366" t="str">
        <f>"PENSE FARMA 31 (10205)"</f>
        <v>PENSE FARMA 31 (10205)</v>
      </c>
      <c r="H366" t="s">
        <v>124</v>
      </c>
      <c r="I366" t="str">
        <f t="shared" si="123"/>
        <v>10/12/2025</v>
      </c>
      <c r="J366" t="str">
        <f t="shared" si="133"/>
        <v>08/12/2025</v>
      </c>
      <c r="K366">
        <v>46002</v>
      </c>
      <c r="N366">
        <v>303</v>
      </c>
      <c r="O366" t="s">
        <v>30</v>
      </c>
      <c r="Q366">
        <v>134.93</v>
      </c>
      <c r="R366" t="str">
        <f>"PENSE FARMA 16 (10221)"</f>
        <v>PENSE FARMA 16 (10221)</v>
      </c>
      <c r="S366" t="s">
        <v>31</v>
      </c>
      <c r="T366">
        <v>3880</v>
      </c>
      <c r="U366">
        <v>2988</v>
      </c>
      <c r="V366" t="s">
        <v>36</v>
      </c>
    </row>
    <row r="367" spans="1:22">
      <c r="A367" t="str">
        <f t="shared" si="131"/>
        <v>11/12/2025</v>
      </c>
      <c r="B367" t="str">
        <f t="shared" si="127"/>
        <v>ENTRADA</v>
      </c>
      <c r="C367" t="str">
        <f t="shared" si="128"/>
        <v>NFSE</v>
      </c>
      <c r="D367" t="str">
        <f>"3976"</f>
        <v>3976</v>
      </c>
      <c r="E367" t="str">
        <f t="shared" si="129"/>
        <v>1</v>
      </c>
      <c r="F367" t="str">
        <f t="shared" si="130"/>
        <v>COM</v>
      </c>
      <c r="G367" t="str">
        <f>"PENSE FARMA 31 (10205)"</f>
        <v>PENSE FARMA 31 (10205)</v>
      </c>
      <c r="H367" t="s">
        <v>124</v>
      </c>
      <c r="I367" t="str">
        <f t="shared" si="123"/>
        <v>10/12/2025</v>
      </c>
      <c r="J367" t="str">
        <f t="shared" si="133"/>
        <v>08/12/2025</v>
      </c>
      <c r="K367">
        <v>46002</v>
      </c>
      <c r="N367">
        <v>303</v>
      </c>
      <c r="O367" t="s">
        <v>30</v>
      </c>
      <c r="Q367">
        <v>134.93</v>
      </c>
      <c r="R367" t="str">
        <f>"PENSE FARMA 17 (10222)"</f>
        <v>PENSE FARMA 17 (10222)</v>
      </c>
      <c r="S367" t="s">
        <v>31</v>
      </c>
      <c r="T367">
        <v>3880</v>
      </c>
      <c r="U367">
        <v>2988</v>
      </c>
      <c r="V367" t="s">
        <v>36</v>
      </c>
    </row>
    <row r="368" spans="1:22">
      <c r="A368" t="str">
        <f t="shared" si="131"/>
        <v>11/12/2025</v>
      </c>
      <c r="B368" t="str">
        <f t="shared" si="127"/>
        <v>ENTRADA</v>
      </c>
      <c r="C368" t="str">
        <f t="shared" si="128"/>
        <v>NFSE</v>
      </c>
      <c r="D368" t="str">
        <f>"3976"</f>
        <v>3976</v>
      </c>
      <c r="E368" t="str">
        <f t="shared" si="129"/>
        <v>1</v>
      </c>
      <c r="F368" t="str">
        <f t="shared" si="130"/>
        <v>COM</v>
      </c>
      <c r="G368" t="str">
        <f>"PENSE FARMA 31 (10205)"</f>
        <v>PENSE FARMA 31 (10205)</v>
      </c>
      <c r="H368" t="s">
        <v>124</v>
      </c>
      <c r="I368" t="str">
        <f t="shared" ref="I368:I399" si="134">("10/12/2025")</f>
        <v>10/12/2025</v>
      </c>
      <c r="J368" t="str">
        <f t="shared" si="133"/>
        <v>08/12/2025</v>
      </c>
      <c r="K368">
        <v>46002</v>
      </c>
      <c r="N368">
        <v>303</v>
      </c>
      <c r="O368" t="s">
        <v>30</v>
      </c>
      <c r="Q368">
        <v>135.37</v>
      </c>
      <c r="R368" t="str">
        <f>"PENSE FARMA 62 (10274)"</f>
        <v>PENSE FARMA 62 (10274)</v>
      </c>
      <c r="S368" t="s">
        <v>31</v>
      </c>
      <c r="T368">
        <v>3880</v>
      </c>
      <c r="U368">
        <v>2988</v>
      </c>
      <c r="V368" t="s">
        <v>36</v>
      </c>
    </row>
    <row r="369" spans="1:22">
      <c r="A369" t="str">
        <f t="shared" si="131"/>
        <v>11/12/2025</v>
      </c>
      <c r="B369" t="str">
        <f t="shared" si="127"/>
        <v>ENTRADA</v>
      </c>
      <c r="C369" t="str">
        <f t="shared" si="128"/>
        <v>NFSE</v>
      </c>
      <c r="D369" t="str">
        <f>"3977"</f>
        <v>3977</v>
      </c>
      <c r="E369" t="str">
        <f t="shared" si="129"/>
        <v>1</v>
      </c>
      <c r="F369" t="str">
        <f t="shared" si="130"/>
        <v>COM</v>
      </c>
      <c r="G369" t="str">
        <f>"BRASIL FARMA (10173)"</f>
        <v>BRASIL FARMA (10173)</v>
      </c>
      <c r="H369" t="str">
        <f>"Serv.Prest. 01/12/2025 a 07/12/2025 - RPS: 1739 - NFSe: 3977"</f>
        <v>Serv.Prest. 01/12/2025 a 07/12/2025 - RPS: 1739 - NFSe: 3977</v>
      </c>
      <c r="I369" t="str">
        <f t="shared" si="134"/>
        <v>10/12/2025</v>
      </c>
      <c r="J369" t="str">
        <f t="shared" si="133"/>
        <v>08/12/2025</v>
      </c>
      <c r="K369" t="str">
        <f>("11/12/2025")</f>
        <v>11/12/2025</v>
      </c>
      <c r="L369">
        <v>300.89999999999998</v>
      </c>
      <c r="M369">
        <v>300.89999999999998</v>
      </c>
      <c r="N369">
        <v>303</v>
      </c>
      <c r="O369" t="str">
        <f>"RECEITAS COM ENTREGAS"</f>
        <v>RECEITAS COM ENTREGAS</v>
      </c>
      <c r="P369">
        <v>300.89999999999998</v>
      </c>
      <c r="S369" t="str">
        <f>"RECEITAS COM ENTREGAS (303)"</f>
        <v>RECEITAS COM ENTREGAS (303)</v>
      </c>
      <c r="T369">
        <v>3881</v>
      </c>
      <c r="U369">
        <v>2989</v>
      </c>
      <c r="V369" t="s">
        <v>36</v>
      </c>
    </row>
    <row r="370" spans="1:22">
      <c r="A370" t="str">
        <f t="shared" si="131"/>
        <v>11/12/2025</v>
      </c>
      <c r="B370" t="str">
        <f t="shared" si="127"/>
        <v>ENTRADA</v>
      </c>
      <c r="C370" t="str">
        <f t="shared" si="128"/>
        <v>NFSE</v>
      </c>
      <c r="D370" t="str">
        <f>"3977"</f>
        <v>3977</v>
      </c>
      <c r="E370" t="str">
        <f t="shared" si="129"/>
        <v>1</v>
      </c>
      <c r="F370" t="str">
        <f t="shared" si="130"/>
        <v>COM</v>
      </c>
      <c r="G370" t="str">
        <f>"BRASIL FARMA (10173)"</f>
        <v>BRASIL FARMA (10173)</v>
      </c>
      <c r="H370" t="s">
        <v>125</v>
      </c>
      <c r="I370" t="str">
        <f t="shared" si="134"/>
        <v>10/12/2025</v>
      </c>
      <c r="J370" t="str">
        <f t="shared" si="133"/>
        <v>08/12/2025</v>
      </c>
      <c r="K370">
        <v>46002</v>
      </c>
      <c r="N370">
        <v>303</v>
      </c>
      <c r="O370" t="s">
        <v>30</v>
      </c>
      <c r="Q370">
        <v>300.89999999999998</v>
      </c>
      <c r="R370" t="str">
        <f>"BRASIL FARMA (10173)"</f>
        <v>BRASIL FARMA (10173)</v>
      </c>
      <c r="S370" t="s">
        <v>31</v>
      </c>
      <c r="T370">
        <v>3881</v>
      </c>
      <c r="U370">
        <v>2989</v>
      </c>
      <c r="V370" t="s">
        <v>36</v>
      </c>
    </row>
    <row r="371" spans="1:22">
      <c r="A371" t="str">
        <f t="shared" si="131"/>
        <v>11/12/2025</v>
      </c>
      <c r="B371" t="str">
        <f t="shared" si="127"/>
        <v>ENTRADA</v>
      </c>
      <c r="C371" t="str">
        <f t="shared" si="128"/>
        <v>NFSE</v>
      </c>
      <c r="D371" t="str">
        <f>"3978"</f>
        <v>3978</v>
      </c>
      <c r="E371" t="str">
        <f t="shared" si="129"/>
        <v>1</v>
      </c>
      <c r="F371" t="str">
        <f t="shared" si="130"/>
        <v>COM</v>
      </c>
      <c r="G371" t="str">
        <f>"DROGA ELIDA (10121)"</f>
        <v>DROGA ELIDA (10121)</v>
      </c>
      <c r="H371" t="str">
        <f>"Serv.Prest. 01/12/2025 a 07/12/2025 - RPS: 1740 - NFSe: 3978"</f>
        <v>Serv.Prest. 01/12/2025 a 07/12/2025 - RPS: 1740 - NFSe: 3978</v>
      </c>
      <c r="I371" t="str">
        <f t="shared" si="134"/>
        <v>10/12/2025</v>
      </c>
      <c r="J371" t="str">
        <f t="shared" si="133"/>
        <v>08/12/2025</v>
      </c>
      <c r="K371" t="str">
        <f>("11/12/2025")</f>
        <v>11/12/2025</v>
      </c>
      <c r="L371">
        <v>328.5</v>
      </c>
      <c r="M371">
        <v>328.5</v>
      </c>
      <c r="N371">
        <v>303</v>
      </c>
      <c r="O371" t="str">
        <f>"RECEITAS COM ENTREGAS"</f>
        <v>RECEITAS COM ENTREGAS</v>
      </c>
      <c r="P371">
        <v>328.5</v>
      </c>
      <c r="S371" t="str">
        <f>"RECEITAS COM ENTREGAS (303)"</f>
        <v>RECEITAS COM ENTREGAS (303)</v>
      </c>
      <c r="T371">
        <v>3882</v>
      </c>
      <c r="U371">
        <v>2990</v>
      </c>
      <c r="V371" t="s">
        <v>36</v>
      </c>
    </row>
    <row r="372" spans="1:22">
      <c r="A372" t="str">
        <f t="shared" si="131"/>
        <v>11/12/2025</v>
      </c>
      <c r="B372" t="str">
        <f t="shared" si="127"/>
        <v>ENTRADA</v>
      </c>
      <c r="C372" t="str">
        <f t="shared" si="128"/>
        <v>NFSE</v>
      </c>
      <c r="D372" t="str">
        <f>"3978"</f>
        <v>3978</v>
      </c>
      <c r="E372" t="str">
        <f t="shared" si="129"/>
        <v>1</v>
      </c>
      <c r="F372" t="str">
        <f t="shared" si="130"/>
        <v>COM</v>
      </c>
      <c r="G372" t="str">
        <f>"DROGA ELIDA (10121)"</f>
        <v>DROGA ELIDA (10121)</v>
      </c>
      <c r="H372" t="s">
        <v>126</v>
      </c>
      <c r="I372" t="str">
        <f t="shared" si="134"/>
        <v>10/12/2025</v>
      </c>
      <c r="J372" t="str">
        <f t="shared" si="133"/>
        <v>08/12/2025</v>
      </c>
      <c r="K372">
        <v>46002</v>
      </c>
      <c r="N372">
        <v>303</v>
      </c>
      <c r="O372" t="s">
        <v>30</v>
      </c>
      <c r="Q372">
        <v>328.5</v>
      </c>
      <c r="R372" t="str">
        <f>"DROGA ELIDA (10121)"</f>
        <v>DROGA ELIDA (10121)</v>
      </c>
      <c r="S372" t="s">
        <v>31</v>
      </c>
      <c r="T372">
        <v>3882</v>
      </c>
      <c r="U372">
        <v>2990</v>
      </c>
      <c r="V372" t="s">
        <v>36</v>
      </c>
    </row>
    <row r="373" spans="1:22">
      <c r="A373" t="str">
        <f t="shared" si="131"/>
        <v>11/12/2025</v>
      </c>
      <c r="B373" t="str">
        <f t="shared" si="127"/>
        <v>ENTRADA</v>
      </c>
      <c r="C373" t="str">
        <f t="shared" si="128"/>
        <v>NFSE</v>
      </c>
      <c r="D373" t="str">
        <f>"3979"</f>
        <v>3979</v>
      </c>
      <c r="E373" t="str">
        <f t="shared" si="129"/>
        <v>1</v>
      </c>
      <c r="F373" t="str">
        <f t="shared" si="130"/>
        <v>COM</v>
      </c>
      <c r="G373" t="str">
        <f>"DROGARIA AGAPEAMA (10167)"</f>
        <v>DROGARIA AGAPEAMA (10167)</v>
      </c>
      <c r="H373" t="str">
        <f>"Serv.Prest. 01/12/2025 a 07/12/2025 - RPS: 1741 - NFSe: 3979"</f>
        <v>Serv.Prest. 01/12/2025 a 07/12/2025 - RPS: 1741 - NFSe: 3979</v>
      </c>
      <c r="I373" t="str">
        <f t="shared" si="134"/>
        <v>10/12/2025</v>
      </c>
      <c r="J373" t="str">
        <f t="shared" si="133"/>
        <v>08/12/2025</v>
      </c>
      <c r="K373" t="str">
        <f>("11/12/2025")</f>
        <v>11/12/2025</v>
      </c>
      <c r="L373">
        <v>410.4</v>
      </c>
      <c r="M373">
        <v>410.4</v>
      </c>
      <c r="N373">
        <v>303</v>
      </c>
      <c r="O373" t="str">
        <f>"RECEITAS COM ENTREGAS"</f>
        <v>RECEITAS COM ENTREGAS</v>
      </c>
      <c r="P373">
        <v>410.4</v>
      </c>
      <c r="S373" t="str">
        <f>"RECEITAS COM ENTREGAS (303)"</f>
        <v>RECEITAS COM ENTREGAS (303)</v>
      </c>
      <c r="T373">
        <v>3883</v>
      </c>
      <c r="U373">
        <v>2991</v>
      </c>
      <c r="V373" t="s">
        <v>36</v>
      </c>
    </row>
    <row r="374" spans="1:22">
      <c r="A374" t="str">
        <f t="shared" si="131"/>
        <v>11/12/2025</v>
      </c>
      <c r="B374" t="str">
        <f t="shared" si="127"/>
        <v>ENTRADA</v>
      </c>
      <c r="C374" t="str">
        <f t="shared" si="128"/>
        <v>NFSE</v>
      </c>
      <c r="D374" t="str">
        <f>"3979"</f>
        <v>3979</v>
      </c>
      <c r="E374" t="str">
        <f t="shared" si="129"/>
        <v>1</v>
      </c>
      <c r="F374" t="str">
        <f t="shared" si="130"/>
        <v>COM</v>
      </c>
      <c r="G374" t="str">
        <f>"DROGARIA AGAPEAMA (10167)"</f>
        <v>DROGARIA AGAPEAMA (10167)</v>
      </c>
      <c r="H374" t="s">
        <v>127</v>
      </c>
      <c r="I374" t="str">
        <f t="shared" si="134"/>
        <v>10/12/2025</v>
      </c>
      <c r="J374" t="str">
        <f t="shared" si="133"/>
        <v>08/12/2025</v>
      </c>
      <c r="K374">
        <v>46002</v>
      </c>
      <c r="N374">
        <v>303</v>
      </c>
      <c r="O374" t="s">
        <v>30</v>
      </c>
      <c r="Q374">
        <v>410.4</v>
      </c>
      <c r="R374" t="str">
        <f>"DROGARIA AGAPEAMA (10167)"</f>
        <v>DROGARIA AGAPEAMA (10167)</v>
      </c>
      <c r="S374" t="s">
        <v>31</v>
      </c>
      <c r="T374">
        <v>3883</v>
      </c>
      <c r="U374">
        <v>2991</v>
      </c>
      <c r="V374" t="s">
        <v>36</v>
      </c>
    </row>
    <row r="375" spans="1:22">
      <c r="A375" t="str">
        <f t="shared" si="131"/>
        <v>11/12/2025</v>
      </c>
      <c r="B375" t="str">
        <f t="shared" si="127"/>
        <v>ENTRADA</v>
      </c>
      <c r="C375" t="str">
        <f t="shared" si="128"/>
        <v>NFSE</v>
      </c>
      <c r="D375" t="str">
        <f>"3980"</f>
        <v>3980</v>
      </c>
      <c r="E375" t="str">
        <f t="shared" si="129"/>
        <v>1</v>
      </c>
      <c r="F375" t="str">
        <f t="shared" si="130"/>
        <v>COM</v>
      </c>
      <c r="G375" t="str">
        <f>"DROGARIA ANA VISCONDE DO RIO BRANCO (10182)"</f>
        <v>DROGARIA ANA VISCONDE DO RIO BRANCO (10182)</v>
      </c>
      <c r="H375" t="str">
        <f>"Serv.Prest. 01/12/2025 a 07/12/2025 - RPS: 1742 - NFSe: 3980"</f>
        <v>Serv.Prest. 01/12/2025 a 07/12/2025 - RPS: 1742 - NFSe: 3980</v>
      </c>
      <c r="I375" t="str">
        <f t="shared" si="134"/>
        <v>10/12/2025</v>
      </c>
      <c r="J375" t="str">
        <f t="shared" si="133"/>
        <v>08/12/2025</v>
      </c>
      <c r="K375" t="str">
        <f>("11/12/2025")</f>
        <v>11/12/2025</v>
      </c>
      <c r="L375">
        <v>792.45</v>
      </c>
      <c r="M375">
        <v>792.45</v>
      </c>
      <c r="N375">
        <v>303</v>
      </c>
      <c r="O375" t="str">
        <f>"RECEITAS COM ENTREGAS"</f>
        <v>RECEITAS COM ENTREGAS</v>
      </c>
      <c r="P375">
        <v>792.45</v>
      </c>
      <c r="S375" t="str">
        <f>"RECEITAS COM ENTREGAS (303)"</f>
        <v>RECEITAS COM ENTREGAS (303)</v>
      </c>
      <c r="T375">
        <v>3884</v>
      </c>
      <c r="U375">
        <v>2992</v>
      </c>
      <c r="V375" t="s">
        <v>36</v>
      </c>
    </row>
    <row r="376" spans="1:22">
      <c r="A376" t="str">
        <f t="shared" si="131"/>
        <v>11/12/2025</v>
      </c>
      <c r="B376" t="str">
        <f t="shared" si="127"/>
        <v>ENTRADA</v>
      </c>
      <c r="C376" t="str">
        <f t="shared" si="128"/>
        <v>NFSE</v>
      </c>
      <c r="D376" t="str">
        <f>"3980"</f>
        <v>3980</v>
      </c>
      <c r="E376" t="str">
        <f t="shared" si="129"/>
        <v>1</v>
      </c>
      <c r="F376" t="str">
        <f t="shared" si="130"/>
        <v>COM</v>
      </c>
      <c r="G376" t="str">
        <f>"DROGARIA ANA VISCONDE DO RIO BRANCO (10182)"</f>
        <v>DROGARIA ANA VISCONDE DO RIO BRANCO (10182)</v>
      </c>
      <c r="H376" t="s">
        <v>128</v>
      </c>
      <c r="I376" t="str">
        <f t="shared" si="134"/>
        <v>10/12/2025</v>
      </c>
      <c r="J376" t="str">
        <f t="shared" si="133"/>
        <v>08/12/2025</v>
      </c>
      <c r="K376">
        <v>46002</v>
      </c>
      <c r="N376">
        <v>303</v>
      </c>
      <c r="O376" t="s">
        <v>30</v>
      </c>
      <c r="Q376">
        <v>792.45</v>
      </c>
      <c r="R376" t="str">
        <f>"DROGARIA ANA VISCONDE DO RIO BRANCO (10182)"</f>
        <v>DROGARIA ANA VISCONDE DO RIO BRANCO (10182)</v>
      </c>
      <c r="S376" t="s">
        <v>31</v>
      </c>
      <c r="T376">
        <v>3884</v>
      </c>
      <c r="U376">
        <v>2992</v>
      </c>
      <c r="V376" t="s">
        <v>36</v>
      </c>
    </row>
    <row r="377" spans="1:22">
      <c r="A377" t="str">
        <f t="shared" si="131"/>
        <v>11/12/2025</v>
      </c>
      <c r="B377" t="str">
        <f t="shared" si="127"/>
        <v>ENTRADA</v>
      </c>
      <c r="C377" t="str">
        <f t="shared" si="128"/>
        <v>NFSE</v>
      </c>
      <c r="D377" t="str">
        <f>"3981"</f>
        <v>3981</v>
      </c>
      <c r="E377" t="str">
        <f t="shared" si="129"/>
        <v>1</v>
      </c>
      <c r="F377" t="str">
        <f t="shared" si="130"/>
        <v>COM</v>
      </c>
      <c r="G377" t="str">
        <f>"PENSE FARMA 44 (10231)"</f>
        <v>PENSE FARMA 44 (10231)</v>
      </c>
      <c r="H377" t="str">
        <f>"Serv.Prest. 01/12/2025 a 07/12/2025 - RPS: 1743 - NFSe: 3981"</f>
        <v>Serv.Prest. 01/12/2025 a 07/12/2025 - RPS: 1743 - NFSe: 3981</v>
      </c>
      <c r="I377" t="str">
        <f t="shared" si="134"/>
        <v>10/12/2025</v>
      </c>
      <c r="J377" t="str">
        <f t="shared" si="133"/>
        <v>08/12/2025</v>
      </c>
      <c r="K377" t="str">
        <f>("11/12/2025")</f>
        <v>11/12/2025</v>
      </c>
      <c r="L377">
        <v>630.80999999999995</v>
      </c>
      <c r="M377">
        <v>630.80999999999995</v>
      </c>
      <c r="N377">
        <v>303</v>
      </c>
      <c r="O377" t="str">
        <f>"RECEITAS COM ENTREGAS"</f>
        <v>RECEITAS COM ENTREGAS</v>
      </c>
      <c r="P377">
        <v>630.80999999999995</v>
      </c>
      <c r="S377" t="str">
        <f>"RECEITAS COM ENTREGAS (303)"</f>
        <v>RECEITAS COM ENTREGAS (303)</v>
      </c>
      <c r="T377">
        <v>3885</v>
      </c>
      <c r="U377">
        <v>2993</v>
      </c>
      <c r="V377" t="s">
        <v>36</v>
      </c>
    </row>
    <row r="378" spans="1:22">
      <c r="A378" t="str">
        <f t="shared" si="131"/>
        <v>11/12/2025</v>
      </c>
      <c r="B378" t="str">
        <f t="shared" si="127"/>
        <v>ENTRADA</v>
      </c>
      <c r="C378" t="str">
        <f t="shared" si="128"/>
        <v>NFSE</v>
      </c>
      <c r="D378" t="str">
        <f>"3981"</f>
        <v>3981</v>
      </c>
      <c r="E378" t="str">
        <f t="shared" si="129"/>
        <v>1</v>
      </c>
      <c r="F378" t="str">
        <f t="shared" si="130"/>
        <v>COM</v>
      </c>
      <c r="G378" t="str">
        <f>"PENSE FARMA 44 (10231)"</f>
        <v>PENSE FARMA 44 (10231)</v>
      </c>
      <c r="H378" t="s">
        <v>129</v>
      </c>
      <c r="I378" t="str">
        <f t="shared" si="134"/>
        <v>10/12/2025</v>
      </c>
      <c r="J378" t="str">
        <f t="shared" si="133"/>
        <v>08/12/2025</v>
      </c>
      <c r="K378">
        <v>46002</v>
      </c>
      <c r="N378">
        <v>303</v>
      </c>
      <c r="O378" t="s">
        <v>30</v>
      </c>
      <c r="Q378">
        <v>314.89999999999998</v>
      </c>
      <c r="R378" t="str">
        <f>"PENSE FARMA 44 (10231)"</f>
        <v>PENSE FARMA 44 (10231)</v>
      </c>
      <c r="S378" t="s">
        <v>31</v>
      </c>
      <c r="T378">
        <v>3885</v>
      </c>
      <c r="U378">
        <v>2993</v>
      </c>
      <c r="V378" t="s">
        <v>36</v>
      </c>
    </row>
    <row r="379" spans="1:22">
      <c r="A379" t="str">
        <f t="shared" si="131"/>
        <v>11/12/2025</v>
      </c>
      <c r="B379" t="str">
        <f t="shared" si="127"/>
        <v>ENTRADA</v>
      </c>
      <c r="C379" t="str">
        <f t="shared" si="128"/>
        <v>NFSE</v>
      </c>
      <c r="D379" t="str">
        <f>"3981"</f>
        <v>3981</v>
      </c>
      <c r="E379" t="str">
        <f t="shared" si="129"/>
        <v>1</v>
      </c>
      <c r="F379" t="str">
        <f t="shared" si="130"/>
        <v>COM</v>
      </c>
      <c r="G379" t="str">
        <f>"PENSE FARMA 44 (10231)"</f>
        <v>PENSE FARMA 44 (10231)</v>
      </c>
      <c r="H379" t="s">
        <v>129</v>
      </c>
      <c r="I379" t="str">
        <f t="shared" si="134"/>
        <v>10/12/2025</v>
      </c>
      <c r="J379" t="str">
        <f t="shared" si="133"/>
        <v>08/12/2025</v>
      </c>
      <c r="K379">
        <v>46002</v>
      </c>
      <c r="N379">
        <v>303</v>
      </c>
      <c r="O379" t="s">
        <v>30</v>
      </c>
      <c r="Q379">
        <v>315.91000000000003</v>
      </c>
      <c r="R379" t="str">
        <f>"PENSE FARMA 48 (10233)"</f>
        <v>PENSE FARMA 48 (10233)</v>
      </c>
      <c r="S379" t="s">
        <v>31</v>
      </c>
      <c r="T379">
        <v>3885</v>
      </c>
      <c r="U379">
        <v>2993</v>
      </c>
      <c r="V379" t="s">
        <v>36</v>
      </c>
    </row>
    <row r="380" spans="1:22">
      <c r="A380" t="str">
        <f t="shared" si="131"/>
        <v>11/12/2025</v>
      </c>
      <c r="B380" t="str">
        <f t="shared" si="127"/>
        <v>ENTRADA</v>
      </c>
      <c r="C380" t="str">
        <f t="shared" si="128"/>
        <v>NFSE</v>
      </c>
      <c r="D380" t="str">
        <f>"3983"</f>
        <v>3983</v>
      </c>
      <c r="E380" t="str">
        <f t="shared" si="129"/>
        <v>1</v>
      </c>
      <c r="F380" t="str">
        <f t="shared" si="130"/>
        <v>COM</v>
      </c>
      <c r="G380" t="str">
        <f>"ENTREFARMA (10164)"</f>
        <v>ENTREFARMA (10164)</v>
      </c>
      <c r="H380" t="str">
        <f>"Serv.Prest. 01/12/2025 a 07/12/2025 - RPS: 1745 - NFSe: 3983"</f>
        <v>Serv.Prest. 01/12/2025 a 07/12/2025 - RPS: 1745 - NFSe: 3983</v>
      </c>
      <c r="I380" t="str">
        <f t="shared" si="134"/>
        <v>10/12/2025</v>
      </c>
      <c r="J380" t="str">
        <f t="shared" si="133"/>
        <v>08/12/2025</v>
      </c>
      <c r="K380" t="str">
        <f>("11/12/2025")</f>
        <v>11/12/2025</v>
      </c>
      <c r="L380">
        <v>1095.22</v>
      </c>
      <c r="M380">
        <v>1095.22</v>
      </c>
      <c r="N380">
        <v>303</v>
      </c>
      <c r="O380" t="str">
        <f>"RECEITAS COM ENTREGAS"</f>
        <v>RECEITAS COM ENTREGAS</v>
      </c>
      <c r="P380">
        <v>1095.22</v>
      </c>
      <c r="S380" t="str">
        <f>"RECEITAS COM ENTREGAS (303)"</f>
        <v>RECEITAS COM ENTREGAS (303)</v>
      </c>
      <c r="T380">
        <v>3886</v>
      </c>
      <c r="U380">
        <v>2995</v>
      </c>
      <c r="V380" t="s">
        <v>36</v>
      </c>
    </row>
    <row r="381" spans="1:22">
      <c r="A381" t="str">
        <f t="shared" si="131"/>
        <v>11/12/2025</v>
      </c>
      <c r="B381" t="str">
        <f t="shared" si="127"/>
        <v>ENTRADA</v>
      </c>
      <c r="C381" t="str">
        <f t="shared" si="128"/>
        <v>NFSE</v>
      </c>
      <c r="D381" t="str">
        <f>"3983"</f>
        <v>3983</v>
      </c>
      <c r="E381" t="str">
        <f t="shared" si="129"/>
        <v>1</v>
      </c>
      <c r="F381" t="str">
        <f t="shared" si="130"/>
        <v>COM</v>
      </c>
      <c r="G381" t="str">
        <f>"ENTREFARMA (10164)"</f>
        <v>ENTREFARMA (10164)</v>
      </c>
      <c r="H381" t="s">
        <v>130</v>
      </c>
      <c r="I381" t="str">
        <f t="shared" si="134"/>
        <v>10/12/2025</v>
      </c>
      <c r="J381" t="str">
        <f t="shared" si="133"/>
        <v>08/12/2025</v>
      </c>
      <c r="K381">
        <v>46002</v>
      </c>
      <c r="N381">
        <v>303</v>
      </c>
      <c r="O381" t="s">
        <v>30</v>
      </c>
      <c r="Q381">
        <v>1095.22</v>
      </c>
      <c r="R381" t="str">
        <f>"ENTREFARMA (10164)"</f>
        <v>ENTREFARMA (10164)</v>
      </c>
      <c r="S381" t="s">
        <v>31</v>
      </c>
      <c r="T381">
        <v>3886</v>
      </c>
      <c r="U381">
        <v>2995</v>
      </c>
      <c r="V381" t="s">
        <v>36</v>
      </c>
    </row>
    <row r="382" spans="1:22">
      <c r="A382" t="str">
        <f t="shared" si="131"/>
        <v>11/12/2025</v>
      </c>
      <c r="B382" t="str">
        <f t="shared" ref="B382:B413" si="135">"ENTRADA"</f>
        <v>ENTRADA</v>
      </c>
      <c r="C382" t="str">
        <f t="shared" ref="C382:C413" si="136">"NFSE"</f>
        <v>NFSE</v>
      </c>
      <c r="D382" t="str">
        <f>"3988"</f>
        <v>3988</v>
      </c>
      <c r="E382" t="str">
        <f t="shared" ref="E382:E413" si="137">"1"</f>
        <v>1</v>
      </c>
      <c r="F382" t="str">
        <f t="shared" ref="F382:F413" si="138">"COM"</f>
        <v>COM</v>
      </c>
      <c r="G382" t="str">
        <f>"PENSE FARMA 19 (10223)"</f>
        <v>PENSE FARMA 19 (10223)</v>
      </c>
      <c r="H382" t="str">
        <f>"Serv.Prest. 01/12/2025 a 07/12/2025 - RPS: 1750 - NFSe: 3988"</f>
        <v>Serv.Prest. 01/12/2025 a 07/12/2025 - RPS: 1750 - NFSe: 3988</v>
      </c>
      <c r="I382" t="str">
        <f t="shared" si="134"/>
        <v>10/12/2025</v>
      </c>
      <c r="J382" t="str">
        <f t="shared" si="133"/>
        <v>08/12/2025</v>
      </c>
      <c r="K382" t="str">
        <f>("11/12/2025")</f>
        <v>11/12/2025</v>
      </c>
      <c r="L382">
        <v>507.65</v>
      </c>
      <c r="M382">
        <v>507.65</v>
      </c>
      <c r="N382">
        <v>303</v>
      </c>
      <c r="O382" t="str">
        <f>"RECEITAS COM ENTREGAS"</f>
        <v>RECEITAS COM ENTREGAS</v>
      </c>
      <c r="P382">
        <v>507.65</v>
      </c>
      <c r="S382" t="str">
        <f>"RECEITAS COM ENTREGAS (303)"</f>
        <v>RECEITAS COM ENTREGAS (303)</v>
      </c>
      <c r="T382">
        <v>3887</v>
      </c>
      <c r="U382">
        <v>3000</v>
      </c>
      <c r="V382" t="s">
        <v>36</v>
      </c>
    </row>
    <row r="383" spans="1:22">
      <c r="A383" t="str">
        <f t="shared" si="131"/>
        <v>11/12/2025</v>
      </c>
      <c r="B383" t="str">
        <f t="shared" si="135"/>
        <v>ENTRADA</v>
      </c>
      <c r="C383" t="str">
        <f t="shared" si="136"/>
        <v>NFSE</v>
      </c>
      <c r="D383" t="str">
        <f>"3988"</f>
        <v>3988</v>
      </c>
      <c r="E383" t="str">
        <f t="shared" si="137"/>
        <v>1</v>
      </c>
      <c r="F383" t="str">
        <f t="shared" si="138"/>
        <v>COM</v>
      </c>
      <c r="G383" t="str">
        <f>"PENSE FARMA 19 (10223)"</f>
        <v>PENSE FARMA 19 (10223)</v>
      </c>
      <c r="H383" t="s">
        <v>131</v>
      </c>
      <c r="I383" t="str">
        <f t="shared" si="134"/>
        <v>10/12/2025</v>
      </c>
      <c r="J383" t="str">
        <f t="shared" si="133"/>
        <v>08/12/2025</v>
      </c>
      <c r="K383">
        <v>46002</v>
      </c>
      <c r="N383">
        <v>303</v>
      </c>
      <c r="O383" t="s">
        <v>30</v>
      </c>
      <c r="Q383">
        <v>507.65</v>
      </c>
      <c r="R383" t="str">
        <f>"PENSE FARMA 19 (10223)"</f>
        <v>PENSE FARMA 19 (10223)</v>
      </c>
      <c r="S383" t="s">
        <v>31</v>
      </c>
      <c r="T383">
        <v>3887</v>
      </c>
      <c r="U383">
        <v>3000</v>
      </c>
      <c r="V383" t="s">
        <v>36</v>
      </c>
    </row>
    <row r="384" spans="1:22">
      <c r="A384" t="str">
        <f t="shared" ref="A384:A415" si="139">("11/12/2025")</f>
        <v>11/12/2025</v>
      </c>
      <c r="B384" t="str">
        <f t="shared" si="135"/>
        <v>ENTRADA</v>
      </c>
      <c r="C384" t="str">
        <f t="shared" si="136"/>
        <v>NFSE</v>
      </c>
      <c r="D384" t="str">
        <f>"3990"</f>
        <v>3990</v>
      </c>
      <c r="E384" t="str">
        <f t="shared" si="137"/>
        <v>1</v>
      </c>
      <c r="F384" t="str">
        <f t="shared" si="138"/>
        <v>COM</v>
      </c>
      <c r="G384" t="str">
        <f>"PENSE FARMA 49 (10234)"</f>
        <v>PENSE FARMA 49 (10234)</v>
      </c>
      <c r="H384" t="str">
        <f>"Serv.Prest. 01/12/2025 a 07/12/2025 - RPS: 1752 - NFSe: 3990"</f>
        <v>Serv.Prest. 01/12/2025 a 07/12/2025 - RPS: 1752 - NFSe: 3990</v>
      </c>
      <c r="I384" t="str">
        <f t="shared" si="134"/>
        <v>10/12/2025</v>
      </c>
      <c r="J384" t="str">
        <f t="shared" si="133"/>
        <v>08/12/2025</v>
      </c>
      <c r="K384" t="str">
        <f>("11/12/2025")</f>
        <v>11/12/2025</v>
      </c>
      <c r="L384">
        <v>213.43</v>
      </c>
      <c r="M384">
        <v>213.43</v>
      </c>
      <c r="N384">
        <v>303</v>
      </c>
      <c r="O384" t="str">
        <f>"RECEITAS COM ENTREGAS"</f>
        <v>RECEITAS COM ENTREGAS</v>
      </c>
      <c r="P384">
        <v>213.43</v>
      </c>
      <c r="S384" t="str">
        <f>"RECEITAS COM ENTREGAS (303)"</f>
        <v>RECEITAS COM ENTREGAS (303)</v>
      </c>
      <c r="T384">
        <v>3888</v>
      </c>
      <c r="U384">
        <v>3002</v>
      </c>
      <c r="V384" t="s">
        <v>36</v>
      </c>
    </row>
    <row r="385" spans="1:22">
      <c r="A385" t="str">
        <f t="shared" si="139"/>
        <v>11/12/2025</v>
      </c>
      <c r="B385" t="str">
        <f t="shared" si="135"/>
        <v>ENTRADA</v>
      </c>
      <c r="C385" t="str">
        <f t="shared" si="136"/>
        <v>NFSE</v>
      </c>
      <c r="D385" t="str">
        <f>"3990"</f>
        <v>3990</v>
      </c>
      <c r="E385" t="str">
        <f t="shared" si="137"/>
        <v>1</v>
      </c>
      <c r="F385" t="str">
        <f t="shared" si="138"/>
        <v>COM</v>
      </c>
      <c r="G385" t="str">
        <f>"PENSE FARMA 49 (10234)"</f>
        <v>PENSE FARMA 49 (10234)</v>
      </c>
      <c r="H385" t="s">
        <v>132</v>
      </c>
      <c r="I385" t="str">
        <f t="shared" si="134"/>
        <v>10/12/2025</v>
      </c>
      <c r="J385" t="str">
        <f t="shared" si="133"/>
        <v>08/12/2025</v>
      </c>
      <c r="K385">
        <v>46002</v>
      </c>
      <c r="N385">
        <v>303</v>
      </c>
      <c r="O385" t="s">
        <v>30</v>
      </c>
      <c r="Q385">
        <v>213.43</v>
      </c>
      <c r="R385" t="str">
        <f>"PENSE FARMA 49 (10234)"</f>
        <v>PENSE FARMA 49 (10234)</v>
      </c>
      <c r="S385" t="s">
        <v>31</v>
      </c>
      <c r="T385">
        <v>3888</v>
      </c>
      <c r="U385">
        <v>3002</v>
      </c>
      <c r="V385" t="s">
        <v>36</v>
      </c>
    </row>
    <row r="386" spans="1:22">
      <c r="A386" t="str">
        <f t="shared" si="139"/>
        <v>11/12/2025</v>
      </c>
      <c r="B386" t="str">
        <f t="shared" si="135"/>
        <v>ENTRADA</v>
      </c>
      <c r="C386" t="str">
        <f t="shared" si="136"/>
        <v>NFSE</v>
      </c>
      <c r="D386" t="str">
        <f>"3991"</f>
        <v>3991</v>
      </c>
      <c r="E386" t="str">
        <f t="shared" si="137"/>
        <v>1</v>
      </c>
      <c r="F386" t="str">
        <f t="shared" si="138"/>
        <v>COM</v>
      </c>
      <c r="G386" t="str">
        <f>"ULTRA POPULAR  UBA 2 (10214)"</f>
        <v>ULTRA POPULAR  UBA 2 (10214)</v>
      </c>
      <c r="H386" t="str">
        <f>"Serv.Prest. 01/12/2025 a 07/12/2025 - RPS: 1753 - NFSe: 3991"</f>
        <v>Serv.Prest. 01/12/2025 a 07/12/2025 - RPS: 1753 - NFSe: 3991</v>
      </c>
      <c r="I386" t="str">
        <f t="shared" si="134"/>
        <v>10/12/2025</v>
      </c>
      <c r="J386" t="str">
        <f t="shared" si="133"/>
        <v>08/12/2025</v>
      </c>
      <c r="K386" t="str">
        <f>("11/12/2025")</f>
        <v>11/12/2025</v>
      </c>
      <c r="L386">
        <v>125.4</v>
      </c>
      <c r="M386">
        <v>125.4</v>
      </c>
      <c r="N386">
        <v>303</v>
      </c>
      <c r="O386" t="str">
        <f>"RECEITAS COM ENTREGAS"</f>
        <v>RECEITAS COM ENTREGAS</v>
      </c>
      <c r="P386">
        <v>125.4</v>
      </c>
      <c r="S386" t="str">
        <f>"RECEITAS COM ENTREGAS (303)"</f>
        <v>RECEITAS COM ENTREGAS (303)</v>
      </c>
      <c r="T386">
        <v>3889</v>
      </c>
      <c r="U386">
        <v>3003</v>
      </c>
      <c r="V386" t="s">
        <v>36</v>
      </c>
    </row>
    <row r="387" spans="1:22">
      <c r="A387" t="str">
        <f t="shared" si="139"/>
        <v>11/12/2025</v>
      </c>
      <c r="B387" t="str">
        <f t="shared" si="135"/>
        <v>ENTRADA</v>
      </c>
      <c r="C387" t="str">
        <f t="shared" si="136"/>
        <v>NFSE</v>
      </c>
      <c r="D387" t="str">
        <f>"3991"</f>
        <v>3991</v>
      </c>
      <c r="E387" t="str">
        <f t="shared" si="137"/>
        <v>1</v>
      </c>
      <c r="F387" t="str">
        <f t="shared" si="138"/>
        <v>COM</v>
      </c>
      <c r="G387" t="str">
        <f>"ULTRA POPULAR  UBA 2 (10214)"</f>
        <v>ULTRA POPULAR  UBA 2 (10214)</v>
      </c>
      <c r="H387" t="s">
        <v>133</v>
      </c>
      <c r="I387" t="str">
        <f t="shared" si="134"/>
        <v>10/12/2025</v>
      </c>
      <c r="J387" t="str">
        <f t="shared" si="133"/>
        <v>08/12/2025</v>
      </c>
      <c r="K387">
        <v>46002</v>
      </c>
      <c r="N387">
        <v>303</v>
      </c>
      <c r="O387" t="s">
        <v>30</v>
      </c>
      <c r="Q387">
        <v>61.42</v>
      </c>
      <c r="R387" t="str">
        <f>"ULTRA POPULAR  UBA 2 (10214)"</f>
        <v>ULTRA POPULAR  UBA 2 (10214)</v>
      </c>
      <c r="S387" t="s">
        <v>31</v>
      </c>
      <c r="T387">
        <v>3889</v>
      </c>
      <c r="U387">
        <v>3003</v>
      </c>
      <c r="V387" t="s">
        <v>36</v>
      </c>
    </row>
    <row r="388" spans="1:22">
      <c r="A388" t="str">
        <f t="shared" si="139"/>
        <v>11/12/2025</v>
      </c>
      <c r="B388" t="str">
        <f t="shared" si="135"/>
        <v>ENTRADA</v>
      </c>
      <c r="C388" t="str">
        <f t="shared" si="136"/>
        <v>NFSE</v>
      </c>
      <c r="D388" t="str">
        <f>"3991"</f>
        <v>3991</v>
      </c>
      <c r="E388" t="str">
        <f t="shared" si="137"/>
        <v>1</v>
      </c>
      <c r="F388" t="str">
        <f t="shared" si="138"/>
        <v>COM</v>
      </c>
      <c r="G388" t="str">
        <f>"ULTRA POPULAR  UBA 2 (10214)"</f>
        <v>ULTRA POPULAR  UBA 2 (10214)</v>
      </c>
      <c r="H388" t="s">
        <v>133</v>
      </c>
      <c r="I388" t="str">
        <f t="shared" si="134"/>
        <v>10/12/2025</v>
      </c>
      <c r="J388" t="str">
        <f t="shared" si="133"/>
        <v>08/12/2025</v>
      </c>
      <c r="K388">
        <v>46002</v>
      </c>
      <c r="N388">
        <v>303</v>
      </c>
      <c r="O388" t="s">
        <v>30</v>
      </c>
      <c r="Q388">
        <v>63.98</v>
      </c>
      <c r="R388" t="str">
        <f>"UBA 1 (10263)"</f>
        <v>UBA 1 (10263)</v>
      </c>
      <c r="S388" t="s">
        <v>31</v>
      </c>
      <c r="T388">
        <v>3889</v>
      </c>
      <c r="U388">
        <v>3003</v>
      </c>
      <c r="V388" t="s">
        <v>36</v>
      </c>
    </row>
    <row r="389" spans="1:22">
      <c r="A389" t="str">
        <f t="shared" si="139"/>
        <v>11/12/2025</v>
      </c>
      <c r="B389" t="str">
        <f t="shared" si="135"/>
        <v>ENTRADA</v>
      </c>
      <c r="C389" t="str">
        <f t="shared" si="136"/>
        <v>NFSE</v>
      </c>
      <c r="D389" t="str">
        <f>"3992"</f>
        <v>3992</v>
      </c>
      <c r="E389" t="str">
        <f t="shared" si="137"/>
        <v>1</v>
      </c>
      <c r="F389" t="str">
        <f t="shared" si="138"/>
        <v>COM</v>
      </c>
      <c r="G389" t="str">
        <f>"PENSE FARMA 39 (10228)"</f>
        <v>PENSE FARMA 39 (10228)</v>
      </c>
      <c r="H389" t="str">
        <f>"Serv.Prest. 01/12/2025 a 07/12/2025 - RPS: 1754 - NFSe: 3992"</f>
        <v>Serv.Prest. 01/12/2025 a 07/12/2025 - RPS: 1754 - NFSe: 3992</v>
      </c>
      <c r="I389" t="str">
        <f t="shared" si="134"/>
        <v>10/12/2025</v>
      </c>
      <c r="J389" t="str">
        <f t="shared" si="133"/>
        <v>08/12/2025</v>
      </c>
      <c r="K389" t="str">
        <f>("11/12/2025")</f>
        <v>11/12/2025</v>
      </c>
      <c r="L389">
        <v>599.98</v>
      </c>
      <c r="M389">
        <v>599.98</v>
      </c>
      <c r="N389">
        <v>303</v>
      </c>
      <c r="O389" t="str">
        <f>"RECEITAS COM ENTREGAS"</f>
        <v>RECEITAS COM ENTREGAS</v>
      </c>
      <c r="P389">
        <v>599.98</v>
      </c>
      <c r="S389" t="str">
        <f>"RECEITAS COM ENTREGAS (303)"</f>
        <v>RECEITAS COM ENTREGAS (303)</v>
      </c>
      <c r="T389">
        <v>3890</v>
      </c>
      <c r="U389">
        <v>3004</v>
      </c>
      <c r="V389" t="s">
        <v>36</v>
      </c>
    </row>
    <row r="390" spans="1:22">
      <c r="A390" t="str">
        <f t="shared" si="139"/>
        <v>11/12/2025</v>
      </c>
      <c r="B390" t="str">
        <f t="shared" si="135"/>
        <v>ENTRADA</v>
      </c>
      <c r="C390" t="str">
        <f t="shared" si="136"/>
        <v>NFSE</v>
      </c>
      <c r="D390" t="str">
        <f>"3992"</f>
        <v>3992</v>
      </c>
      <c r="E390" t="str">
        <f t="shared" si="137"/>
        <v>1</v>
      </c>
      <c r="F390" t="str">
        <f t="shared" si="138"/>
        <v>COM</v>
      </c>
      <c r="G390" t="str">
        <f>"PENSE FARMA 39 (10228)"</f>
        <v>PENSE FARMA 39 (10228)</v>
      </c>
      <c r="H390" t="s">
        <v>134</v>
      </c>
      <c r="I390" t="str">
        <f t="shared" si="134"/>
        <v>10/12/2025</v>
      </c>
      <c r="J390" t="str">
        <f t="shared" si="133"/>
        <v>08/12/2025</v>
      </c>
      <c r="K390">
        <v>46002</v>
      </c>
      <c r="N390">
        <v>303</v>
      </c>
      <c r="O390" t="s">
        <v>30</v>
      </c>
      <c r="Q390">
        <v>148.85</v>
      </c>
      <c r="R390" t="str">
        <f>"PENSE FARMA 02 (10199)"</f>
        <v>PENSE FARMA 02 (10199)</v>
      </c>
      <c r="S390" t="s">
        <v>31</v>
      </c>
      <c r="T390">
        <v>3890</v>
      </c>
      <c r="U390">
        <v>3004</v>
      </c>
      <c r="V390" t="s">
        <v>36</v>
      </c>
    </row>
    <row r="391" spans="1:22">
      <c r="A391" t="str">
        <f t="shared" si="139"/>
        <v>11/12/2025</v>
      </c>
      <c r="B391" t="str">
        <f t="shared" si="135"/>
        <v>ENTRADA</v>
      </c>
      <c r="C391" t="str">
        <f t="shared" si="136"/>
        <v>NFSE</v>
      </c>
      <c r="D391" t="str">
        <f>"3992"</f>
        <v>3992</v>
      </c>
      <c r="E391" t="str">
        <f t="shared" si="137"/>
        <v>1</v>
      </c>
      <c r="F391" t="str">
        <f t="shared" si="138"/>
        <v>COM</v>
      </c>
      <c r="G391" t="str">
        <f>"PENSE FARMA 39 (10228)"</f>
        <v>PENSE FARMA 39 (10228)</v>
      </c>
      <c r="H391" t="s">
        <v>134</v>
      </c>
      <c r="I391" t="str">
        <f t="shared" si="134"/>
        <v>10/12/2025</v>
      </c>
      <c r="J391" t="str">
        <f t="shared" si="133"/>
        <v>08/12/2025</v>
      </c>
      <c r="K391">
        <v>46002</v>
      </c>
      <c r="N391">
        <v>303</v>
      </c>
      <c r="O391" t="s">
        <v>30</v>
      </c>
      <c r="Q391">
        <v>148.86000000000001</v>
      </c>
      <c r="R391" t="str">
        <f>"PENSE FARMA 01 (10215)"</f>
        <v>PENSE FARMA 01 (10215)</v>
      </c>
      <c r="S391" t="s">
        <v>31</v>
      </c>
      <c r="T391">
        <v>3890</v>
      </c>
      <c r="U391">
        <v>3004</v>
      </c>
      <c r="V391" t="s">
        <v>36</v>
      </c>
    </row>
    <row r="392" spans="1:22">
      <c r="A392" t="str">
        <f t="shared" si="139"/>
        <v>11/12/2025</v>
      </c>
      <c r="B392" t="str">
        <f t="shared" si="135"/>
        <v>ENTRADA</v>
      </c>
      <c r="C392" t="str">
        <f t="shared" si="136"/>
        <v>NFSE</v>
      </c>
      <c r="D392" t="str">
        <f>"3992"</f>
        <v>3992</v>
      </c>
      <c r="E392" t="str">
        <f t="shared" si="137"/>
        <v>1</v>
      </c>
      <c r="F392" t="str">
        <f t="shared" si="138"/>
        <v>COM</v>
      </c>
      <c r="G392" t="str">
        <f>"PENSE FARMA 39 (10228)"</f>
        <v>PENSE FARMA 39 (10228)</v>
      </c>
      <c r="H392" t="s">
        <v>134</v>
      </c>
      <c r="I392" t="str">
        <f t="shared" si="134"/>
        <v>10/12/2025</v>
      </c>
      <c r="J392" t="str">
        <f t="shared" ref="J392:J423" si="140">("08/12/2025")</f>
        <v>08/12/2025</v>
      </c>
      <c r="K392">
        <v>46002</v>
      </c>
      <c r="N392">
        <v>303</v>
      </c>
      <c r="O392" t="s">
        <v>30</v>
      </c>
      <c r="Q392">
        <v>148.86000000000001</v>
      </c>
      <c r="R392" t="str">
        <f>"PENSE FARMA 03 (10216)"</f>
        <v>PENSE FARMA 03 (10216)</v>
      </c>
      <c r="S392" t="s">
        <v>31</v>
      </c>
      <c r="T392">
        <v>3890</v>
      </c>
      <c r="U392">
        <v>3004</v>
      </c>
      <c r="V392" t="s">
        <v>36</v>
      </c>
    </row>
    <row r="393" spans="1:22">
      <c r="A393" t="str">
        <f t="shared" si="139"/>
        <v>11/12/2025</v>
      </c>
      <c r="B393" t="str">
        <f t="shared" si="135"/>
        <v>ENTRADA</v>
      </c>
      <c r="C393" t="str">
        <f t="shared" si="136"/>
        <v>NFSE</v>
      </c>
      <c r="D393" t="str">
        <f>"3992"</f>
        <v>3992</v>
      </c>
      <c r="E393" t="str">
        <f t="shared" si="137"/>
        <v>1</v>
      </c>
      <c r="F393" t="str">
        <f t="shared" si="138"/>
        <v>COM</v>
      </c>
      <c r="G393" t="str">
        <f>"PENSE FARMA 39 (10228)"</f>
        <v>PENSE FARMA 39 (10228)</v>
      </c>
      <c r="H393" t="s">
        <v>134</v>
      </c>
      <c r="I393" t="str">
        <f t="shared" si="134"/>
        <v>10/12/2025</v>
      </c>
      <c r="J393" t="str">
        <f t="shared" si="140"/>
        <v>08/12/2025</v>
      </c>
      <c r="K393">
        <v>46002</v>
      </c>
      <c r="N393">
        <v>303</v>
      </c>
      <c r="O393" t="s">
        <v>30</v>
      </c>
      <c r="Q393">
        <v>153.41</v>
      </c>
      <c r="R393" t="str">
        <f>"PENSE FARMA 39 (10228)"</f>
        <v>PENSE FARMA 39 (10228)</v>
      </c>
      <c r="S393" t="s">
        <v>31</v>
      </c>
      <c r="T393">
        <v>3890</v>
      </c>
      <c r="U393">
        <v>3004</v>
      </c>
      <c r="V393" t="s">
        <v>36</v>
      </c>
    </row>
    <row r="394" spans="1:22">
      <c r="A394" t="str">
        <f t="shared" si="139"/>
        <v>11/12/2025</v>
      </c>
      <c r="B394" t="str">
        <f t="shared" si="135"/>
        <v>ENTRADA</v>
      </c>
      <c r="C394" t="str">
        <f t="shared" si="136"/>
        <v>NFSE</v>
      </c>
      <c r="D394" t="str">
        <f>"3993"</f>
        <v>3993</v>
      </c>
      <c r="E394" t="str">
        <f t="shared" si="137"/>
        <v>1</v>
      </c>
      <c r="F394" t="str">
        <f t="shared" si="138"/>
        <v>COM</v>
      </c>
      <c r="G394" t="str">
        <f>"PENSE FARMA 47 (10232)"</f>
        <v>PENSE FARMA 47 (10232)</v>
      </c>
      <c r="H394" t="str">
        <f>"Serv.Prest. 01/12/2025 a 07/12/2025 - RPS: 1755 - NFSe: 3993"</f>
        <v>Serv.Prest. 01/12/2025 a 07/12/2025 - RPS: 1755 - NFSe: 3993</v>
      </c>
      <c r="I394" t="str">
        <f t="shared" si="134"/>
        <v>10/12/2025</v>
      </c>
      <c r="J394" t="str">
        <f t="shared" si="140"/>
        <v>08/12/2025</v>
      </c>
      <c r="K394" t="str">
        <f>("11/12/2025")</f>
        <v>11/12/2025</v>
      </c>
      <c r="L394">
        <v>320.23</v>
      </c>
      <c r="M394">
        <v>320.23</v>
      </c>
      <c r="N394">
        <v>303</v>
      </c>
      <c r="O394" t="str">
        <f>"RECEITAS COM ENTREGAS"</f>
        <v>RECEITAS COM ENTREGAS</v>
      </c>
      <c r="P394">
        <v>320.23</v>
      </c>
      <c r="S394" t="str">
        <f>"RECEITAS COM ENTREGAS (303)"</f>
        <v>RECEITAS COM ENTREGAS (303)</v>
      </c>
      <c r="T394">
        <v>3891</v>
      </c>
      <c r="U394">
        <v>3005</v>
      </c>
      <c r="V394" t="s">
        <v>36</v>
      </c>
    </row>
    <row r="395" spans="1:22">
      <c r="A395" t="str">
        <f t="shared" si="139"/>
        <v>11/12/2025</v>
      </c>
      <c r="B395" t="str">
        <f t="shared" si="135"/>
        <v>ENTRADA</v>
      </c>
      <c r="C395" t="str">
        <f t="shared" si="136"/>
        <v>NFSE</v>
      </c>
      <c r="D395" t="str">
        <f>"3993"</f>
        <v>3993</v>
      </c>
      <c r="E395" t="str">
        <f t="shared" si="137"/>
        <v>1</v>
      </c>
      <c r="F395" t="str">
        <f t="shared" si="138"/>
        <v>COM</v>
      </c>
      <c r="G395" t="str">
        <f>"PENSE FARMA 47 (10232)"</f>
        <v>PENSE FARMA 47 (10232)</v>
      </c>
      <c r="H395" t="s">
        <v>135</v>
      </c>
      <c r="I395" t="str">
        <f t="shared" si="134"/>
        <v>10/12/2025</v>
      </c>
      <c r="J395" t="str">
        <f t="shared" si="140"/>
        <v>08/12/2025</v>
      </c>
      <c r="K395">
        <v>46002</v>
      </c>
      <c r="N395">
        <v>303</v>
      </c>
      <c r="O395" t="s">
        <v>30</v>
      </c>
      <c r="Q395">
        <v>320.23</v>
      </c>
      <c r="R395" t="str">
        <f>"PENSE FARMA 47 (10232)"</f>
        <v>PENSE FARMA 47 (10232)</v>
      </c>
      <c r="S395" t="s">
        <v>31</v>
      </c>
      <c r="T395">
        <v>3891</v>
      </c>
      <c r="U395">
        <v>3005</v>
      </c>
      <c r="V395" t="s">
        <v>36</v>
      </c>
    </row>
    <row r="396" spans="1:22">
      <c r="A396" t="str">
        <f t="shared" si="139"/>
        <v>11/12/2025</v>
      </c>
      <c r="B396" t="str">
        <f t="shared" si="135"/>
        <v>ENTRADA</v>
      </c>
      <c r="C396" t="str">
        <f t="shared" si="136"/>
        <v>NFSE</v>
      </c>
      <c r="D396" t="str">
        <f>"3994"</f>
        <v>3994</v>
      </c>
      <c r="E396" t="str">
        <f t="shared" si="137"/>
        <v>1</v>
      </c>
      <c r="F396" t="str">
        <f t="shared" si="138"/>
        <v>COM</v>
      </c>
      <c r="G396" t="str">
        <f>"PENSE FARMA 25 (10224)"</f>
        <v>PENSE FARMA 25 (10224)</v>
      </c>
      <c r="H396" t="str">
        <f>"Serv.Prest. 01/12/2025 a 07/12/2025 - RPS: 1756 - NFSe: 3994"</f>
        <v>Serv.Prest. 01/12/2025 a 07/12/2025 - RPS: 1756 - NFSe: 3994</v>
      </c>
      <c r="I396" t="str">
        <f t="shared" si="134"/>
        <v>10/12/2025</v>
      </c>
      <c r="J396" t="str">
        <f t="shared" si="140"/>
        <v>08/12/2025</v>
      </c>
      <c r="K396" t="str">
        <f>("11/12/2025")</f>
        <v>11/12/2025</v>
      </c>
      <c r="L396">
        <v>599.04999999999995</v>
      </c>
      <c r="M396">
        <v>599.04999999999995</v>
      </c>
      <c r="N396">
        <v>303</v>
      </c>
      <c r="O396" t="str">
        <f>"RECEITAS COM ENTREGAS"</f>
        <v>RECEITAS COM ENTREGAS</v>
      </c>
      <c r="P396">
        <v>599.04999999999995</v>
      </c>
      <c r="S396" t="str">
        <f>"RECEITAS COM ENTREGAS (303)"</f>
        <v>RECEITAS COM ENTREGAS (303)</v>
      </c>
      <c r="T396">
        <v>3892</v>
      </c>
      <c r="U396">
        <v>3006</v>
      </c>
      <c r="V396" t="s">
        <v>36</v>
      </c>
    </row>
    <row r="397" spans="1:22">
      <c r="A397" t="str">
        <f t="shared" si="139"/>
        <v>11/12/2025</v>
      </c>
      <c r="B397" t="str">
        <f t="shared" si="135"/>
        <v>ENTRADA</v>
      </c>
      <c r="C397" t="str">
        <f t="shared" si="136"/>
        <v>NFSE</v>
      </c>
      <c r="D397" t="str">
        <f>"3994"</f>
        <v>3994</v>
      </c>
      <c r="E397" t="str">
        <f t="shared" si="137"/>
        <v>1</v>
      </c>
      <c r="F397" t="str">
        <f t="shared" si="138"/>
        <v>COM</v>
      </c>
      <c r="G397" t="str">
        <f>"PENSE FARMA 25 (10224)"</f>
        <v>PENSE FARMA 25 (10224)</v>
      </c>
      <c r="H397" t="s">
        <v>136</v>
      </c>
      <c r="I397" t="str">
        <f t="shared" si="134"/>
        <v>10/12/2025</v>
      </c>
      <c r="J397" t="str">
        <f t="shared" si="140"/>
        <v>08/12/2025</v>
      </c>
      <c r="K397">
        <v>46002</v>
      </c>
      <c r="N397">
        <v>303</v>
      </c>
      <c r="O397" t="s">
        <v>30</v>
      </c>
      <c r="Q397">
        <v>599.04999999999995</v>
      </c>
      <c r="R397" t="str">
        <f>"PENSE FARMA 25 (10224)"</f>
        <v>PENSE FARMA 25 (10224)</v>
      </c>
      <c r="S397" t="s">
        <v>31</v>
      </c>
      <c r="T397">
        <v>3892</v>
      </c>
      <c r="U397">
        <v>3006</v>
      </c>
      <c r="V397" t="s">
        <v>36</v>
      </c>
    </row>
    <row r="398" spans="1:22">
      <c r="A398" t="str">
        <f t="shared" si="139"/>
        <v>11/12/2025</v>
      </c>
      <c r="B398" t="str">
        <f t="shared" si="135"/>
        <v>ENTRADA</v>
      </c>
      <c r="C398" t="str">
        <f t="shared" si="136"/>
        <v>NFSE</v>
      </c>
      <c r="D398" t="str">
        <f>"3995"</f>
        <v>3995</v>
      </c>
      <c r="E398" t="str">
        <f t="shared" si="137"/>
        <v>1</v>
      </c>
      <c r="F398" t="str">
        <f t="shared" si="138"/>
        <v>COM</v>
      </c>
      <c r="G398" t="str">
        <f>"PENSE FARMA 35 (10227)"</f>
        <v>PENSE FARMA 35 (10227)</v>
      </c>
      <c r="H398" t="str">
        <f>"Serv.Prest. 01/12/2025 a 07/12/2025 - RPS: 1757 - NFSe: 3995"</f>
        <v>Serv.Prest. 01/12/2025 a 07/12/2025 - RPS: 1757 - NFSe: 3995</v>
      </c>
      <c r="I398" t="str">
        <f t="shared" si="134"/>
        <v>10/12/2025</v>
      </c>
      <c r="J398" t="str">
        <f t="shared" si="140"/>
        <v>08/12/2025</v>
      </c>
      <c r="K398" t="str">
        <f>("11/12/2025")</f>
        <v>11/12/2025</v>
      </c>
      <c r="L398">
        <v>171.45</v>
      </c>
      <c r="M398">
        <v>171.45</v>
      </c>
      <c r="N398">
        <v>303</v>
      </c>
      <c r="O398" t="str">
        <f>"RECEITAS COM ENTREGAS"</f>
        <v>RECEITAS COM ENTREGAS</v>
      </c>
      <c r="P398">
        <v>171.45</v>
      </c>
      <c r="S398" t="str">
        <f>"RECEITAS COM ENTREGAS (303)"</f>
        <v>RECEITAS COM ENTREGAS (303)</v>
      </c>
      <c r="T398">
        <v>3893</v>
      </c>
      <c r="U398">
        <v>3007</v>
      </c>
      <c r="V398" t="s">
        <v>36</v>
      </c>
    </row>
    <row r="399" spans="1:22">
      <c r="A399" t="str">
        <f t="shared" si="139"/>
        <v>11/12/2025</v>
      </c>
      <c r="B399" t="str">
        <f t="shared" si="135"/>
        <v>ENTRADA</v>
      </c>
      <c r="C399" t="str">
        <f t="shared" si="136"/>
        <v>NFSE</v>
      </c>
      <c r="D399" t="str">
        <f>"3995"</f>
        <v>3995</v>
      </c>
      <c r="E399" t="str">
        <f t="shared" si="137"/>
        <v>1</v>
      </c>
      <c r="F399" t="str">
        <f t="shared" si="138"/>
        <v>COM</v>
      </c>
      <c r="G399" t="str">
        <f>"PENSE FARMA 35 (10227)"</f>
        <v>PENSE FARMA 35 (10227)</v>
      </c>
      <c r="H399" t="s">
        <v>137</v>
      </c>
      <c r="I399" t="str">
        <f t="shared" si="134"/>
        <v>10/12/2025</v>
      </c>
      <c r="J399" t="str">
        <f t="shared" si="140"/>
        <v>08/12/2025</v>
      </c>
      <c r="K399">
        <v>46002</v>
      </c>
      <c r="N399">
        <v>303</v>
      </c>
      <c r="O399" t="s">
        <v>30</v>
      </c>
      <c r="Q399">
        <v>171.45</v>
      </c>
      <c r="R399" t="str">
        <f>"PENSE FARMA 35 (10227)"</f>
        <v>PENSE FARMA 35 (10227)</v>
      </c>
      <c r="S399" t="s">
        <v>31</v>
      </c>
      <c r="T399">
        <v>3893</v>
      </c>
      <c r="U399">
        <v>3007</v>
      </c>
      <c r="V399" t="s">
        <v>36</v>
      </c>
    </row>
    <row r="400" spans="1:22">
      <c r="A400" t="str">
        <f t="shared" si="139"/>
        <v>11/12/2025</v>
      </c>
      <c r="B400" t="str">
        <f t="shared" si="135"/>
        <v>ENTRADA</v>
      </c>
      <c r="C400" t="str">
        <f t="shared" si="136"/>
        <v>NFSE</v>
      </c>
      <c r="D400" t="str">
        <f t="shared" ref="D400:D405" si="141">"3996"</f>
        <v>3996</v>
      </c>
      <c r="E400" t="str">
        <f t="shared" si="137"/>
        <v>1</v>
      </c>
      <c r="F400" t="str">
        <f t="shared" si="138"/>
        <v>COM</v>
      </c>
      <c r="G400" t="str">
        <f t="shared" ref="G400:G405" si="142">"PENSE FARMA 08 (10217)"</f>
        <v>PENSE FARMA 08 (10217)</v>
      </c>
      <c r="H400" t="str">
        <f>"Serv.Prest. 01/12/2025 a 07/12/2025 - RPS: 1758 - NFSe: 3996"</f>
        <v>Serv.Prest. 01/12/2025 a 07/12/2025 - RPS: 1758 - NFSe: 3996</v>
      </c>
      <c r="I400" t="str">
        <f t="shared" ref="I400:I431" si="143">("10/12/2025")</f>
        <v>10/12/2025</v>
      </c>
      <c r="J400" t="str">
        <f t="shared" si="140"/>
        <v>08/12/2025</v>
      </c>
      <c r="K400" t="str">
        <f>("11/12/2025")</f>
        <v>11/12/2025</v>
      </c>
      <c r="L400">
        <v>589.5</v>
      </c>
      <c r="M400">
        <v>589.5</v>
      </c>
      <c r="N400">
        <v>303</v>
      </c>
      <c r="O400" t="str">
        <f>"RECEITAS COM ENTREGAS"</f>
        <v>RECEITAS COM ENTREGAS</v>
      </c>
      <c r="P400">
        <v>589.5</v>
      </c>
      <c r="S400" t="str">
        <f>"RECEITAS COM ENTREGAS (303)"</f>
        <v>RECEITAS COM ENTREGAS (303)</v>
      </c>
      <c r="T400">
        <v>3894</v>
      </c>
      <c r="U400">
        <v>3008</v>
      </c>
      <c r="V400" t="s">
        <v>36</v>
      </c>
    </row>
    <row r="401" spans="1:22">
      <c r="A401" t="str">
        <f t="shared" si="139"/>
        <v>11/12/2025</v>
      </c>
      <c r="B401" t="str">
        <f t="shared" si="135"/>
        <v>ENTRADA</v>
      </c>
      <c r="C401" t="str">
        <f t="shared" si="136"/>
        <v>NFSE</v>
      </c>
      <c r="D401" t="str">
        <f t="shared" si="141"/>
        <v>3996</v>
      </c>
      <c r="E401" t="str">
        <f t="shared" si="137"/>
        <v>1</v>
      </c>
      <c r="F401" t="str">
        <f t="shared" si="138"/>
        <v>COM</v>
      </c>
      <c r="G401" t="str">
        <f t="shared" si="142"/>
        <v>PENSE FARMA 08 (10217)</v>
      </c>
      <c r="H401" t="s">
        <v>138</v>
      </c>
      <c r="I401" t="str">
        <f t="shared" si="143"/>
        <v>10/12/2025</v>
      </c>
      <c r="J401" t="str">
        <f t="shared" si="140"/>
        <v>08/12/2025</v>
      </c>
      <c r="K401">
        <v>46002</v>
      </c>
      <c r="N401">
        <v>303</v>
      </c>
      <c r="O401" t="s">
        <v>30</v>
      </c>
      <c r="Q401">
        <v>117.9</v>
      </c>
      <c r="R401" t="str">
        <f>"PENSE FARMA 08 (10217)"</f>
        <v>PENSE FARMA 08 (10217)</v>
      </c>
      <c r="S401" t="s">
        <v>31</v>
      </c>
      <c r="T401">
        <v>3894</v>
      </c>
      <c r="U401">
        <v>3008</v>
      </c>
      <c r="V401" t="s">
        <v>36</v>
      </c>
    </row>
    <row r="402" spans="1:22">
      <c r="A402" t="str">
        <f t="shared" si="139"/>
        <v>11/12/2025</v>
      </c>
      <c r="B402" t="str">
        <f t="shared" si="135"/>
        <v>ENTRADA</v>
      </c>
      <c r="C402" t="str">
        <f t="shared" si="136"/>
        <v>NFSE</v>
      </c>
      <c r="D402" t="str">
        <f t="shared" si="141"/>
        <v>3996</v>
      </c>
      <c r="E402" t="str">
        <f t="shared" si="137"/>
        <v>1</v>
      </c>
      <c r="F402" t="str">
        <f t="shared" si="138"/>
        <v>COM</v>
      </c>
      <c r="G402" t="str">
        <f t="shared" si="142"/>
        <v>PENSE FARMA 08 (10217)</v>
      </c>
      <c r="H402" t="s">
        <v>138</v>
      </c>
      <c r="I402" t="str">
        <f t="shared" si="143"/>
        <v>10/12/2025</v>
      </c>
      <c r="J402" t="str">
        <f t="shared" si="140"/>
        <v>08/12/2025</v>
      </c>
      <c r="K402">
        <v>46002</v>
      </c>
      <c r="N402">
        <v>303</v>
      </c>
      <c r="O402" t="s">
        <v>30</v>
      </c>
      <c r="Q402">
        <v>117.9</v>
      </c>
      <c r="R402" t="str">
        <f>"PENSE FARMA 11 (10220)"</f>
        <v>PENSE FARMA 11 (10220)</v>
      </c>
      <c r="S402" t="s">
        <v>31</v>
      </c>
      <c r="T402">
        <v>3894</v>
      </c>
      <c r="U402">
        <v>3008</v>
      </c>
      <c r="V402" t="s">
        <v>36</v>
      </c>
    </row>
    <row r="403" spans="1:22">
      <c r="A403" t="str">
        <f t="shared" si="139"/>
        <v>11/12/2025</v>
      </c>
      <c r="B403" t="str">
        <f t="shared" si="135"/>
        <v>ENTRADA</v>
      </c>
      <c r="C403" t="str">
        <f t="shared" si="136"/>
        <v>NFSE</v>
      </c>
      <c r="D403" t="str">
        <f t="shared" si="141"/>
        <v>3996</v>
      </c>
      <c r="E403" t="str">
        <f t="shared" si="137"/>
        <v>1</v>
      </c>
      <c r="F403" t="str">
        <f t="shared" si="138"/>
        <v>COM</v>
      </c>
      <c r="G403" t="str">
        <f t="shared" si="142"/>
        <v>PENSE FARMA 08 (10217)</v>
      </c>
      <c r="H403" t="s">
        <v>138</v>
      </c>
      <c r="I403" t="str">
        <f t="shared" si="143"/>
        <v>10/12/2025</v>
      </c>
      <c r="J403" t="str">
        <f t="shared" si="140"/>
        <v>08/12/2025</v>
      </c>
      <c r="K403">
        <v>46002</v>
      </c>
      <c r="N403">
        <v>303</v>
      </c>
      <c r="O403" t="s">
        <v>30</v>
      </c>
      <c r="Q403">
        <v>117.9</v>
      </c>
      <c r="R403" t="str">
        <f>"PENSE FARMA 41 (10229)"</f>
        <v>PENSE FARMA 41 (10229)</v>
      </c>
      <c r="S403" t="s">
        <v>31</v>
      </c>
      <c r="T403">
        <v>3894</v>
      </c>
      <c r="U403">
        <v>3008</v>
      </c>
      <c r="V403" t="s">
        <v>36</v>
      </c>
    </row>
    <row r="404" spans="1:22">
      <c r="A404" t="str">
        <f t="shared" si="139"/>
        <v>11/12/2025</v>
      </c>
      <c r="B404" t="str">
        <f t="shared" si="135"/>
        <v>ENTRADA</v>
      </c>
      <c r="C404" t="str">
        <f t="shared" si="136"/>
        <v>NFSE</v>
      </c>
      <c r="D404" t="str">
        <f t="shared" si="141"/>
        <v>3996</v>
      </c>
      <c r="E404" t="str">
        <f t="shared" si="137"/>
        <v>1</v>
      </c>
      <c r="F404" t="str">
        <f t="shared" si="138"/>
        <v>COM</v>
      </c>
      <c r="G404" t="str">
        <f t="shared" si="142"/>
        <v>PENSE FARMA 08 (10217)</v>
      </c>
      <c r="H404" t="s">
        <v>138</v>
      </c>
      <c r="I404" t="str">
        <f t="shared" si="143"/>
        <v>10/12/2025</v>
      </c>
      <c r="J404" t="str">
        <f t="shared" si="140"/>
        <v>08/12/2025</v>
      </c>
      <c r="K404">
        <v>46002</v>
      </c>
      <c r="N404">
        <v>303</v>
      </c>
      <c r="O404" t="s">
        <v>30</v>
      </c>
      <c r="Q404">
        <v>117.9</v>
      </c>
      <c r="R404" t="str">
        <f>"PENSE FARMA 42 (10230)"</f>
        <v>PENSE FARMA 42 (10230)</v>
      </c>
      <c r="S404" t="s">
        <v>31</v>
      </c>
      <c r="T404">
        <v>3894</v>
      </c>
      <c r="U404">
        <v>3008</v>
      </c>
      <c r="V404" t="s">
        <v>36</v>
      </c>
    </row>
    <row r="405" spans="1:22">
      <c r="A405" t="str">
        <f t="shared" si="139"/>
        <v>11/12/2025</v>
      </c>
      <c r="B405" t="str">
        <f t="shared" si="135"/>
        <v>ENTRADA</v>
      </c>
      <c r="C405" t="str">
        <f t="shared" si="136"/>
        <v>NFSE</v>
      </c>
      <c r="D405" t="str">
        <f t="shared" si="141"/>
        <v>3996</v>
      </c>
      <c r="E405" t="str">
        <f t="shared" si="137"/>
        <v>1</v>
      </c>
      <c r="F405" t="str">
        <f t="shared" si="138"/>
        <v>COM</v>
      </c>
      <c r="G405" t="str">
        <f t="shared" si="142"/>
        <v>PENSE FARMA 08 (10217)</v>
      </c>
      <c r="H405" t="s">
        <v>138</v>
      </c>
      <c r="I405" t="str">
        <f t="shared" si="143"/>
        <v>10/12/2025</v>
      </c>
      <c r="J405" t="str">
        <f t="shared" si="140"/>
        <v>08/12/2025</v>
      </c>
      <c r="K405">
        <v>46002</v>
      </c>
      <c r="N405">
        <v>303</v>
      </c>
      <c r="O405" t="s">
        <v>30</v>
      </c>
      <c r="Q405">
        <v>117.9</v>
      </c>
      <c r="R405" t="str">
        <f>"PENSE FARMA 52 (10236)"</f>
        <v>PENSE FARMA 52 (10236)</v>
      </c>
      <c r="S405" t="s">
        <v>31</v>
      </c>
      <c r="T405">
        <v>3894</v>
      </c>
      <c r="U405">
        <v>3008</v>
      </c>
      <c r="V405" t="s">
        <v>36</v>
      </c>
    </row>
    <row r="406" spans="1:22">
      <c r="A406" t="str">
        <f t="shared" si="139"/>
        <v>11/12/2025</v>
      </c>
      <c r="B406" t="str">
        <f t="shared" si="135"/>
        <v>ENTRADA</v>
      </c>
      <c r="C406" t="str">
        <f t="shared" si="136"/>
        <v>NFSE</v>
      </c>
      <c r="D406" t="str">
        <f>"3997"</f>
        <v>3997</v>
      </c>
      <c r="E406" t="str">
        <f t="shared" si="137"/>
        <v>1</v>
      </c>
      <c r="F406" t="str">
        <f t="shared" si="138"/>
        <v>COM</v>
      </c>
      <c r="G406" t="str">
        <f>"PENSE FARMA 09 (10218)"</f>
        <v>PENSE FARMA 09 (10218)</v>
      </c>
      <c r="H406" t="str">
        <f>"Serv.Prest. 01/12/2025 a 07/12/2025 - RPS: 1759 - NFSe: 3997"</f>
        <v>Serv.Prest. 01/12/2025 a 07/12/2025 - RPS: 1759 - NFSe: 3997</v>
      </c>
      <c r="I406" t="str">
        <f t="shared" si="143"/>
        <v>10/12/2025</v>
      </c>
      <c r="J406" t="str">
        <f t="shared" si="140"/>
        <v>08/12/2025</v>
      </c>
      <c r="K406" t="str">
        <f>("11/12/2025")</f>
        <v>11/12/2025</v>
      </c>
      <c r="L406">
        <v>336.54</v>
      </c>
      <c r="M406">
        <v>336.54</v>
      </c>
      <c r="N406">
        <v>303</v>
      </c>
      <c r="O406" t="str">
        <f>"RECEITAS COM ENTREGAS"</f>
        <v>RECEITAS COM ENTREGAS</v>
      </c>
      <c r="P406">
        <v>336.54</v>
      </c>
      <c r="S406" t="str">
        <f>"RECEITAS COM ENTREGAS (303)"</f>
        <v>RECEITAS COM ENTREGAS (303)</v>
      </c>
      <c r="T406">
        <v>3895</v>
      </c>
      <c r="U406">
        <v>3009</v>
      </c>
      <c r="V406" t="s">
        <v>36</v>
      </c>
    </row>
    <row r="407" spans="1:22">
      <c r="A407" t="str">
        <f t="shared" si="139"/>
        <v>11/12/2025</v>
      </c>
      <c r="B407" t="str">
        <f t="shared" si="135"/>
        <v>ENTRADA</v>
      </c>
      <c r="C407" t="str">
        <f t="shared" si="136"/>
        <v>NFSE</v>
      </c>
      <c r="D407" t="str">
        <f>"3997"</f>
        <v>3997</v>
      </c>
      <c r="E407" t="str">
        <f t="shared" si="137"/>
        <v>1</v>
      </c>
      <c r="F407" t="str">
        <f t="shared" si="138"/>
        <v>COM</v>
      </c>
      <c r="G407" t="str">
        <f>"PENSE FARMA 09 (10218)"</f>
        <v>PENSE FARMA 09 (10218)</v>
      </c>
      <c r="H407" t="s">
        <v>139</v>
      </c>
      <c r="I407" t="str">
        <f t="shared" si="143"/>
        <v>10/12/2025</v>
      </c>
      <c r="J407" t="str">
        <f t="shared" si="140"/>
        <v>08/12/2025</v>
      </c>
      <c r="K407">
        <v>46002</v>
      </c>
      <c r="N407">
        <v>303</v>
      </c>
      <c r="O407" t="s">
        <v>30</v>
      </c>
      <c r="Q407">
        <v>168.27</v>
      </c>
      <c r="R407" t="str">
        <f>"PENSE FARMA 09 (10218)"</f>
        <v>PENSE FARMA 09 (10218)</v>
      </c>
      <c r="S407" t="s">
        <v>31</v>
      </c>
      <c r="T407">
        <v>3895</v>
      </c>
      <c r="U407">
        <v>3009</v>
      </c>
      <c r="V407" t="s">
        <v>36</v>
      </c>
    </row>
    <row r="408" spans="1:22">
      <c r="A408" t="str">
        <f t="shared" si="139"/>
        <v>11/12/2025</v>
      </c>
      <c r="B408" t="str">
        <f t="shared" si="135"/>
        <v>ENTRADA</v>
      </c>
      <c r="C408" t="str">
        <f t="shared" si="136"/>
        <v>NFSE</v>
      </c>
      <c r="D408" t="str">
        <f>"3997"</f>
        <v>3997</v>
      </c>
      <c r="E408" t="str">
        <f t="shared" si="137"/>
        <v>1</v>
      </c>
      <c r="F408" t="str">
        <f t="shared" si="138"/>
        <v>COM</v>
      </c>
      <c r="G408" t="str">
        <f>"PENSE FARMA 09 (10218)"</f>
        <v>PENSE FARMA 09 (10218)</v>
      </c>
      <c r="H408" t="s">
        <v>139</v>
      </c>
      <c r="I408" t="str">
        <f t="shared" si="143"/>
        <v>10/12/2025</v>
      </c>
      <c r="J408" t="str">
        <f t="shared" si="140"/>
        <v>08/12/2025</v>
      </c>
      <c r="K408">
        <v>46002</v>
      </c>
      <c r="N408">
        <v>303</v>
      </c>
      <c r="O408" t="s">
        <v>30</v>
      </c>
      <c r="Q408">
        <v>168.27</v>
      </c>
      <c r="R408" t="str">
        <f>"PENSE FARMA 10 (10219)"</f>
        <v>PENSE FARMA 10 (10219)</v>
      </c>
      <c r="S408" t="s">
        <v>31</v>
      </c>
      <c r="T408">
        <v>3895</v>
      </c>
      <c r="U408">
        <v>3009</v>
      </c>
      <c r="V408" t="s">
        <v>36</v>
      </c>
    </row>
    <row r="409" spans="1:22">
      <c r="A409" t="str">
        <f t="shared" si="139"/>
        <v>11/12/2025</v>
      </c>
      <c r="B409" t="str">
        <f t="shared" si="135"/>
        <v>ENTRADA</v>
      </c>
      <c r="C409" t="str">
        <f t="shared" si="136"/>
        <v>NFSE</v>
      </c>
      <c r="D409" t="str">
        <f>"3998"</f>
        <v>3998</v>
      </c>
      <c r="E409" t="str">
        <f t="shared" si="137"/>
        <v>1</v>
      </c>
      <c r="F409" t="str">
        <f t="shared" si="138"/>
        <v>COM</v>
      </c>
      <c r="G409" t="str">
        <f>"PENSE FARMA 27 (10204)"</f>
        <v>PENSE FARMA 27 (10204)</v>
      </c>
      <c r="H409" t="str">
        <f>"Serv.Prest. 01/12/2025 a 07/12/2025 - RPS: 1760 - NFSe: 3998"</f>
        <v>Serv.Prest. 01/12/2025 a 07/12/2025 - RPS: 1760 - NFSe: 3998</v>
      </c>
      <c r="I409" t="str">
        <f t="shared" si="143"/>
        <v>10/12/2025</v>
      </c>
      <c r="J409" t="str">
        <f t="shared" si="140"/>
        <v>08/12/2025</v>
      </c>
      <c r="K409" t="str">
        <f>("11/12/2025")</f>
        <v>11/12/2025</v>
      </c>
      <c r="L409">
        <v>577.5</v>
      </c>
      <c r="M409">
        <v>577.5</v>
      </c>
      <c r="N409">
        <v>303</v>
      </c>
      <c r="O409" t="str">
        <f>"RECEITAS COM ENTREGAS"</f>
        <v>RECEITAS COM ENTREGAS</v>
      </c>
      <c r="P409">
        <v>577.5</v>
      </c>
      <c r="S409" t="str">
        <f>"RECEITAS COM ENTREGAS (303)"</f>
        <v>RECEITAS COM ENTREGAS (303)</v>
      </c>
      <c r="T409">
        <v>3896</v>
      </c>
      <c r="U409">
        <v>3010</v>
      </c>
      <c r="V409" t="s">
        <v>36</v>
      </c>
    </row>
    <row r="410" spans="1:22">
      <c r="A410" t="str">
        <f t="shared" si="139"/>
        <v>11/12/2025</v>
      </c>
      <c r="B410" t="str">
        <f t="shared" si="135"/>
        <v>ENTRADA</v>
      </c>
      <c r="C410" t="str">
        <f t="shared" si="136"/>
        <v>NFSE</v>
      </c>
      <c r="D410" t="str">
        <f>"3998"</f>
        <v>3998</v>
      </c>
      <c r="E410" t="str">
        <f t="shared" si="137"/>
        <v>1</v>
      </c>
      <c r="F410" t="str">
        <f t="shared" si="138"/>
        <v>COM</v>
      </c>
      <c r="G410" t="str">
        <f>"PENSE FARMA 27 (10204)"</f>
        <v>PENSE FARMA 27 (10204)</v>
      </c>
      <c r="H410" t="s">
        <v>140</v>
      </c>
      <c r="I410" t="str">
        <f t="shared" si="143"/>
        <v>10/12/2025</v>
      </c>
      <c r="J410" t="str">
        <f t="shared" si="140"/>
        <v>08/12/2025</v>
      </c>
      <c r="K410">
        <v>46002</v>
      </c>
      <c r="N410">
        <v>303</v>
      </c>
      <c r="O410" t="s">
        <v>30</v>
      </c>
      <c r="Q410">
        <v>192.14</v>
      </c>
      <c r="R410" t="str">
        <f>"PENSE FARMA 05 (10200)"</f>
        <v>PENSE FARMA 05 (10200)</v>
      </c>
      <c r="S410" t="s">
        <v>31</v>
      </c>
      <c r="T410">
        <v>3896</v>
      </c>
      <c r="U410">
        <v>3010</v>
      </c>
      <c r="V410" t="s">
        <v>36</v>
      </c>
    </row>
    <row r="411" spans="1:22">
      <c r="A411" t="str">
        <f t="shared" si="139"/>
        <v>11/12/2025</v>
      </c>
      <c r="B411" t="str">
        <f t="shared" si="135"/>
        <v>ENTRADA</v>
      </c>
      <c r="C411" t="str">
        <f t="shared" si="136"/>
        <v>NFSE</v>
      </c>
      <c r="D411" t="str">
        <f>"3998"</f>
        <v>3998</v>
      </c>
      <c r="E411" t="str">
        <f t="shared" si="137"/>
        <v>1</v>
      </c>
      <c r="F411" t="str">
        <f t="shared" si="138"/>
        <v>COM</v>
      </c>
      <c r="G411" t="str">
        <f>"PENSE FARMA 27 (10204)"</f>
        <v>PENSE FARMA 27 (10204)</v>
      </c>
      <c r="H411" t="s">
        <v>140</v>
      </c>
      <c r="I411" t="str">
        <f t="shared" si="143"/>
        <v>10/12/2025</v>
      </c>
      <c r="J411" t="str">
        <f t="shared" si="140"/>
        <v>08/12/2025</v>
      </c>
      <c r="K411">
        <v>46002</v>
      </c>
      <c r="N411">
        <v>303</v>
      </c>
      <c r="O411" t="s">
        <v>30</v>
      </c>
      <c r="Q411">
        <v>192.13</v>
      </c>
      <c r="R411" t="str">
        <f>"PENSE FARMA 13 (10202)"</f>
        <v>PENSE FARMA 13 (10202)</v>
      </c>
      <c r="S411" t="s">
        <v>31</v>
      </c>
      <c r="T411">
        <v>3896</v>
      </c>
      <c r="U411">
        <v>3010</v>
      </c>
      <c r="V411" t="s">
        <v>36</v>
      </c>
    </row>
    <row r="412" spans="1:22">
      <c r="A412" t="str">
        <f t="shared" si="139"/>
        <v>11/12/2025</v>
      </c>
      <c r="B412" t="str">
        <f t="shared" si="135"/>
        <v>ENTRADA</v>
      </c>
      <c r="C412" t="str">
        <f t="shared" si="136"/>
        <v>NFSE</v>
      </c>
      <c r="D412" t="str">
        <f>"3998"</f>
        <v>3998</v>
      </c>
      <c r="E412" t="str">
        <f t="shared" si="137"/>
        <v>1</v>
      </c>
      <c r="F412" t="str">
        <f t="shared" si="138"/>
        <v>COM</v>
      </c>
      <c r="G412" t="str">
        <f>"PENSE FARMA 27 (10204)"</f>
        <v>PENSE FARMA 27 (10204)</v>
      </c>
      <c r="H412" t="s">
        <v>140</v>
      </c>
      <c r="I412" t="str">
        <f t="shared" si="143"/>
        <v>10/12/2025</v>
      </c>
      <c r="J412" t="str">
        <f t="shared" si="140"/>
        <v>08/12/2025</v>
      </c>
      <c r="K412">
        <v>46002</v>
      </c>
      <c r="N412">
        <v>303</v>
      </c>
      <c r="O412" t="s">
        <v>30</v>
      </c>
      <c r="Q412">
        <v>193.23</v>
      </c>
      <c r="R412" t="str">
        <f>"PENSE FARMA 27 (10204)"</f>
        <v>PENSE FARMA 27 (10204)</v>
      </c>
      <c r="S412" t="s">
        <v>31</v>
      </c>
      <c r="T412">
        <v>3896</v>
      </c>
      <c r="U412">
        <v>3010</v>
      </c>
      <c r="V412" t="s">
        <v>36</v>
      </c>
    </row>
    <row r="413" spans="1:22">
      <c r="A413" t="str">
        <f t="shared" si="139"/>
        <v>11/12/2025</v>
      </c>
      <c r="B413" t="str">
        <f t="shared" si="135"/>
        <v>ENTRADA</v>
      </c>
      <c r="C413" t="str">
        <f t="shared" si="136"/>
        <v>NFSE</v>
      </c>
      <c r="D413" t="str">
        <f>"3999"</f>
        <v>3999</v>
      </c>
      <c r="E413" t="str">
        <f t="shared" si="137"/>
        <v>1</v>
      </c>
      <c r="F413" t="str">
        <f t="shared" si="138"/>
        <v>COM</v>
      </c>
      <c r="G413" t="str">
        <f>"PENSE FARMA 07 (10201)"</f>
        <v>PENSE FARMA 07 (10201)</v>
      </c>
      <c r="H413" t="str">
        <f>"Serv.Prest. 01/12/2025 a 07/12/2025 - RPS: 1761 - NFSe: 3999"</f>
        <v>Serv.Prest. 01/12/2025 a 07/12/2025 - RPS: 1761 - NFSe: 3999</v>
      </c>
      <c r="I413" t="str">
        <f t="shared" si="143"/>
        <v>10/12/2025</v>
      </c>
      <c r="J413" t="str">
        <f t="shared" si="140"/>
        <v>08/12/2025</v>
      </c>
      <c r="K413" t="str">
        <f>("11/12/2025")</f>
        <v>11/12/2025</v>
      </c>
      <c r="L413">
        <v>309.75</v>
      </c>
      <c r="M413">
        <v>309.75</v>
      </c>
      <c r="N413">
        <v>303</v>
      </c>
      <c r="O413" t="str">
        <f>"RECEITAS COM ENTREGAS"</f>
        <v>RECEITAS COM ENTREGAS</v>
      </c>
      <c r="P413">
        <v>309.75</v>
      </c>
      <c r="S413" t="str">
        <f>"RECEITAS COM ENTREGAS (303)"</f>
        <v>RECEITAS COM ENTREGAS (303)</v>
      </c>
      <c r="T413">
        <v>3897</v>
      </c>
      <c r="U413">
        <v>3011</v>
      </c>
      <c r="V413" t="s">
        <v>36</v>
      </c>
    </row>
    <row r="414" spans="1:22">
      <c r="A414" t="str">
        <f t="shared" si="139"/>
        <v>11/12/2025</v>
      </c>
      <c r="B414" t="str">
        <f t="shared" ref="B414:B445" si="144">"ENTRADA"</f>
        <v>ENTRADA</v>
      </c>
      <c r="C414" t="str">
        <f t="shared" ref="C414:C445" si="145">"NFSE"</f>
        <v>NFSE</v>
      </c>
      <c r="D414" t="str">
        <f>"3999"</f>
        <v>3999</v>
      </c>
      <c r="E414" t="str">
        <f t="shared" ref="E414:E445" si="146">"1"</f>
        <v>1</v>
      </c>
      <c r="F414" t="str">
        <f t="shared" ref="F414:F445" si="147">"COM"</f>
        <v>COM</v>
      </c>
      <c r="G414" t="str">
        <f>"PENSE FARMA 07 (10201)"</f>
        <v>PENSE FARMA 07 (10201)</v>
      </c>
      <c r="H414" t="s">
        <v>141</v>
      </c>
      <c r="I414" t="str">
        <f t="shared" si="143"/>
        <v>10/12/2025</v>
      </c>
      <c r="J414" t="str">
        <f t="shared" si="140"/>
        <v>08/12/2025</v>
      </c>
      <c r="K414">
        <v>46002</v>
      </c>
      <c r="N414">
        <v>303</v>
      </c>
      <c r="O414" t="s">
        <v>30</v>
      </c>
      <c r="Q414">
        <v>102.9</v>
      </c>
      <c r="R414" t="str">
        <f>"PENSE FARMA 07 (10201)"</f>
        <v>PENSE FARMA 07 (10201)</v>
      </c>
      <c r="S414" t="s">
        <v>31</v>
      </c>
      <c r="T414">
        <v>3897</v>
      </c>
      <c r="U414">
        <v>3011</v>
      </c>
      <c r="V414" t="s">
        <v>36</v>
      </c>
    </row>
    <row r="415" spans="1:22">
      <c r="A415" t="str">
        <f t="shared" si="139"/>
        <v>11/12/2025</v>
      </c>
      <c r="B415" t="str">
        <f t="shared" si="144"/>
        <v>ENTRADA</v>
      </c>
      <c r="C415" t="str">
        <f t="shared" si="145"/>
        <v>NFSE</v>
      </c>
      <c r="D415" t="str">
        <f>"3999"</f>
        <v>3999</v>
      </c>
      <c r="E415" t="str">
        <f t="shared" si="146"/>
        <v>1</v>
      </c>
      <c r="F415" t="str">
        <f t="shared" si="147"/>
        <v>COM</v>
      </c>
      <c r="G415" t="str">
        <f>"PENSE FARMA 07 (10201)"</f>
        <v>PENSE FARMA 07 (10201)</v>
      </c>
      <c r="H415" t="s">
        <v>141</v>
      </c>
      <c r="I415" t="str">
        <f t="shared" si="143"/>
        <v>10/12/2025</v>
      </c>
      <c r="J415" t="str">
        <f t="shared" si="140"/>
        <v>08/12/2025</v>
      </c>
      <c r="K415">
        <v>46002</v>
      </c>
      <c r="N415">
        <v>303</v>
      </c>
      <c r="O415" t="s">
        <v>30</v>
      </c>
      <c r="Q415">
        <v>102.9</v>
      </c>
      <c r="R415" t="str">
        <f>"PENSE FARMA 45 (10209)"</f>
        <v>PENSE FARMA 45 (10209)</v>
      </c>
      <c r="S415" t="s">
        <v>31</v>
      </c>
      <c r="T415">
        <v>3897</v>
      </c>
      <c r="U415">
        <v>3011</v>
      </c>
      <c r="V415" t="s">
        <v>36</v>
      </c>
    </row>
    <row r="416" spans="1:22">
      <c r="A416" t="str">
        <f t="shared" ref="A416:A452" si="148">("11/12/2025")</f>
        <v>11/12/2025</v>
      </c>
      <c r="B416" t="str">
        <f t="shared" si="144"/>
        <v>ENTRADA</v>
      </c>
      <c r="C416" t="str">
        <f t="shared" si="145"/>
        <v>NFSE</v>
      </c>
      <c r="D416" t="str">
        <f>"3999"</f>
        <v>3999</v>
      </c>
      <c r="E416" t="str">
        <f t="shared" si="146"/>
        <v>1</v>
      </c>
      <c r="F416" t="str">
        <f t="shared" si="147"/>
        <v>COM</v>
      </c>
      <c r="G416" t="str">
        <f>"PENSE FARMA 07 (10201)"</f>
        <v>PENSE FARMA 07 (10201)</v>
      </c>
      <c r="H416" t="s">
        <v>141</v>
      </c>
      <c r="I416" t="str">
        <f t="shared" si="143"/>
        <v>10/12/2025</v>
      </c>
      <c r="J416" t="str">
        <f t="shared" si="140"/>
        <v>08/12/2025</v>
      </c>
      <c r="K416">
        <v>46002</v>
      </c>
      <c r="N416">
        <v>303</v>
      </c>
      <c r="O416" t="s">
        <v>30</v>
      </c>
      <c r="Q416">
        <v>103.95</v>
      </c>
      <c r="R416" t="str">
        <f>"PENSE FARMA 50 (10210)"</f>
        <v>PENSE FARMA 50 (10210)</v>
      </c>
      <c r="S416" t="s">
        <v>31</v>
      </c>
      <c r="T416">
        <v>3897</v>
      </c>
      <c r="U416">
        <v>3011</v>
      </c>
      <c r="V416" t="s">
        <v>36</v>
      </c>
    </row>
    <row r="417" spans="1:22">
      <c r="A417" t="str">
        <f t="shared" si="148"/>
        <v>11/12/2025</v>
      </c>
      <c r="B417" t="str">
        <f t="shared" si="144"/>
        <v>ENTRADA</v>
      </c>
      <c r="C417" t="str">
        <f t="shared" si="145"/>
        <v>NFSE</v>
      </c>
      <c r="D417" t="str">
        <f>"4000"</f>
        <v>4000</v>
      </c>
      <c r="E417" t="str">
        <f t="shared" si="146"/>
        <v>1</v>
      </c>
      <c r="F417" t="str">
        <f t="shared" si="147"/>
        <v>COM</v>
      </c>
      <c r="G417" t="str">
        <f>"FRAN FARMA (10124)"</f>
        <v>FRAN FARMA (10124)</v>
      </c>
      <c r="H417" t="str">
        <f>"Serv.Prest. 01/12/2025 a 07/12/2025 - RPS: 1762 - NFSe: 4000"</f>
        <v>Serv.Prest. 01/12/2025 a 07/12/2025 - RPS: 1762 - NFSe: 4000</v>
      </c>
      <c r="I417" t="str">
        <f t="shared" si="143"/>
        <v>10/12/2025</v>
      </c>
      <c r="J417" t="str">
        <f t="shared" si="140"/>
        <v>08/12/2025</v>
      </c>
      <c r="K417" t="str">
        <f>("11/12/2025")</f>
        <v>11/12/2025</v>
      </c>
      <c r="L417">
        <v>160</v>
      </c>
      <c r="M417">
        <v>160</v>
      </c>
      <c r="N417">
        <v>303</v>
      </c>
      <c r="O417" t="str">
        <f>"RECEITAS COM ENTREGAS"</f>
        <v>RECEITAS COM ENTREGAS</v>
      </c>
      <c r="P417">
        <v>160</v>
      </c>
      <c r="S417" t="str">
        <f>"RECEITAS COM ENTREGAS (303)"</f>
        <v>RECEITAS COM ENTREGAS (303)</v>
      </c>
      <c r="T417">
        <v>3898</v>
      </c>
      <c r="U417">
        <v>3012</v>
      </c>
      <c r="V417" t="s">
        <v>36</v>
      </c>
    </row>
    <row r="418" spans="1:22">
      <c r="A418" t="str">
        <f t="shared" si="148"/>
        <v>11/12/2025</v>
      </c>
      <c r="B418" t="str">
        <f t="shared" si="144"/>
        <v>ENTRADA</v>
      </c>
      <c r="C418" t="str">
        <f t="shared" si="145"/>
        <v>NFSE</v>
      </c>
      <c r="D418" t="str">
        <f>"4000"</f>
        <v>4000</v>
      </c>
      <c r="E418" t="str">
        <f t="shared" si="146"/>
        <v>1</v>
      </c>
      <c r="F418" t="str">
        <f t="shared" si="147"/>
        <v>COM</v>
      </c>
      <c r="G418" t="str">
        <f>"FRAN FARMA (10124)"</f>
        <v>FRAN FARMA (10124)</v>
      </c>
      <c r="H418" t="s">
        <v>142</v>
      </c>
      <c r="I418" t="str">
        <f t="shared" si="143"/>
        <v>10/12/2025</v>
      </c>
      <c r="J418" t="str">
        <f t="shared" si="140"/>
        <v>08/12/2025</v>
      </c>
      <c r="K418">
        <v>46002</v>
      </c>
      <c r="N418">
        <v>303</v>
      </c>
      <c r="O418" t="s">
        <v>30</v>
      </c>
      <c r="Q418">
        <v>160</v>
      </c>
      <c r="R418" t="str">
        <f>"FRAN FARMA LJ 2 (10131)"</f>
        <v>FRAN FARMA LJ 2 (10131)</v>
      </c>
      <c r="S418" t="s">
        <v>31</v>
      </c>
      <c r="T418">
        <v>3898</v>
      </c>
      <c r="U418">
        <v>3012</v>
      </c>
      <c r="V418" t="s">
        <v>36</v>
      </c>
    </row>
    <row r="419" spans="1:22">
      <c r="A419" t="str">
        <f t="shared" si="148"/>
        <v>11/12/2025</v>
      </c>
      <c r="B419" t="str">
        <f t="shared" si="144"/>
        <v>ENTRADA</v>
      </c>
      <c r="C419" t="str">
        <f t="shared" si="145"/>
        <v>NFSE</v>
      </c>
      <c r="D419" t="str">
        <f t="shared" ref="D419:D425" si="149">"4001"</f>
        <v>4001</v>
      </c>
      <c r="E419" t="str">
        <f t="shared" si="146"/>
        <v>1</v>
      </c>
      <c r="F419" t="str">
        <f t="shared" si="147"/>
        <v>COM</v>
      </c>
      <c r="G419" t="str">
        <f t="shared" ref="G419:G425" si="150">"PENSE FARMA 36 (10206)"</f>
        <v>PENSE FARMA 36 (10206)</v>
      </c>
      <c r="H419" t="str">
        <f>"Serv.Prest. 01/12/2025 a 07/12/2025 - RPS: 1763 - NFSe: 4001"</f>
        <v>Serv.Prest. 01/12/2025 a 07/12/2025 - RPS: 1763 - NFSe: 4001</v>
      </c>
      <c r="I419" t="str">
        <f t="shared" si="143"/>
        <v>10/12/2025</v>
      </c>
      <c r="J419" t="str">
        <f t="shared" si="140"/>
        <v>08/12/2025</v>
      </c>
      <c r="K419" t="str">
        <f>("11/12/2025")</f>
        <v>11/12/2025</v>
      </c>
      <c r="L419">
        <v>894.35</v>
      </c>
      <c r="M419">
        <v>894.35</v>
      </c>
      <c r="N419">
        <v>303</v>
      </c>
      <c r="O419" t="str">
        <f>"RECEITAS COM ENTREGAS"</f>
        <v>RECEITAS COM ENTREGAS</v>
      </c>
      <c r="P419">
        <v>894.35</v>
      </c>
      <c r="S419" t="str">
        <f>"RECEITAS COM ENTREGAS (303)"</f>
        <v>RECEITAS COM ENTREGAS (303)</v>
      </c>
      <c r="T419">
        <v>3899</v>
      </c>
      <c r="U419">
        <v>3013</v>
      </c>
      <c r="V419" t="s">
        <v>36</v>
      </c>
    </row>
    <row r="420" spans="1:22">
      <c r="A420" t="str">
        <f t="shared" si="148"/>
        <v>11/12/2025</v>
      </c>
      <c r="B420" t="str">
        <f t="shared" si="144"/>
        <v>ENTRADA</v>
      </c>
      <c r="C420" t="str">
        <f t="shared" si="145"/>
        <v>NFSE</v>
      </c>
      <c r="D420" t="str">
        <f t="shared" si="149"/>
        <v>4001</v>
      </c>
      <c r="E420" t="str">
        <f t="shared" si="146"/>
        <v>1</v>
      </c>
      <c r="F420" t="str">
        <f t="shared" si="147"/>
        <v>COM</v>
      </c>
      <c r="G420" t="str">
        <f t="shared" si="150"/>
        <v>PENSE FARMA 36 (10206)</v>
      </c>
      <c r="H420" t="s">
        <v>143</v>
      </c>
      <c r="I420" t="str">
        <f t="shared" si="143"/>
        <v>10/12/2025</v>
      </c>
      <c r="J420" t="str">
        <f t="shared" si="140"/>
        <v>08/12/2025</v>
      </c>
      <c r="K420">
        <v>46002</v>
      </c>
      <c r="N420">
        <v>303</v>
      </c>
      <c r="O420" t="s">
        <v>30</v>
      </c>
      <c r="Q420">
        <v>148.30000000000001</v>
      </c>
      <c r="R420" t="str">
        <f>"PENSE FARMA 20 (10203)"</f>
        <v>PENSE FARMA 20 (10203)</v>
      </c>
      <c r="S420" t="s">
        <v>31</v>
      </c>
      <c r="T420">
        <v>3899</v>
      </c>
      <c r="U420">
        <v>3013</v>
      </c>
      <c r="V420" t="s">
        <v>36</v>
      </c>
    </row>
    <row r="421" spans="1:22">
      <c r="A421" t="str">
        <f t="shared" si="148"/>
        <v>11/12/2025</v>
      </c>
      <c r="B421" t="str">
        <f t="shared" si="144"/>
        <v>ENTRADA</v>
      </c>
      <c r="C421" t="str">
        <f t="shared" si="145"/>
        <v>NFSE</v>
      </c>
      <c r="D421" t="str">
        <f t="shared" si="149"/>
        <v>4001</v>
      </c>
      <c r="E421" t="str">
        <f t="shared" si="146"/>
        <v>1</v>
      </c>
      <c r="F421" t="str">
        <f t="shared" si="147"/>
        <v>COM</v>
      </c>
      <c r="G421" t="str">
        <f t="shared" si="150"/>
        <v>PENSE FARMA 36 (10206)</v>
      </c>
      <c r="H421" t="s">
        <v>143</v>
      </c>
      <c r="I421" t="str">
        <f t="shared" si="143"/>
        <v>10/12/2025</v>
      </c>
      <c r="J421" t="str">
        <f t="shared" si="140"/>
        <v>08/12/2025</v>
      </c>
      <c r="K421">
        <v>46002</v>
      </c>
      <c r="N421">
        <v>303</v>
      </c>
      <c r="O421" t="s">
        <v>30</v>
      </c>
      <c r="Q421">
        <v>148.28</v>
      </c>
      <c r="R421" t="str">
        <f>"PENSE FARMA 36 (10206)"</f>
        <v>PENSE FARMA 36 (10206)</v>
      </c>
      <c r="S421" t="s">
        <v>31</v>
      </c>
      <c r="T421">
        <v>3899</v>
      </c>
      <c r="U421">
        <v>3013</v>
      </c>
      <c r="V421" t="s">
        <v>36</v>
      </c>
    </row>
    <row r="422" spans="1:22">
      <c r="A422" t="str">
        <f t="shared" si="148"/>
        <v>11/12/2025</v>
      </c>
      <c r="B422" t="str">
        <f t="shared" si="144"/>
        <v>ENTRADA</v>
      </c>
      <c r="C422" t="str">
        <f t="shared" si="145"/>
        <v>NFSE</v>
      </c>
      <c r="D422" t="str">
        <f t="shared" si="149"/>
        <v>4001</v>
      </c>
      <c r="E422" t="str">
        <f t="shared" si="146"/>
        <v>1</v>
      </c>
      <c r="F422" t="str">
        <f t="shared" si="147"/>
        <v>COM</v>
      </c>
      <c r="G422" t="str">
        <f t="shared" si="150"/>
        <v>PENSE FARMA 36 (10206)</v>
      </c>
      <c r="H422" t="s">
        <v>143</v>
      </c>
      <c r="I422" t="str">
        <f t="shared" si="143"/>
        <v>10/12/2025</v>
      </c>
      <c r="J422" t="str">
        <f t="shared" si="140"/>
        <v>08/12/2025</v>
      </c>
      <c r="K422">
        <v>46002</v>
      </c>
      <c r="N422">
        <v>303</v>
      </c>
      <c r="O422" t="s">
        <v>30</v>
      </c>
      <c r="Q422">
        <v>148.28</v>
      </c>
      <c r="R422" t="str">
        <f>"PENSE FARMA 40 (10207)"</f>
        <v>PENSE FARMA 40 (10207)</v>
      </c>
      <c r="S422" t="s">
        <v>31</v>
      </c>
      <c r="T422">
        <v>3899</v>
      </c>
      <c r="U422">
        <v>3013</v>
      </c>
      <c r="V422" t="s">
        <v>36</v>
      </c>
    </row>
    <row r="423" spans="1:22">
      <c r="A423" t="str">
        <f t="shared" si="148"/>
        <v>11/12/2025</v>
      </c>
      <c r="B423" t="str">
        <f t="shared" si="144"/>
        <v>ENTRADA</v>
      </c>
      <c r="C423" t="str">
        <f t="shared" si="145"/>
        <v>NFSE</v>
      </c>
      <c r="D423" t="str">
        <f t="shared" si="149"/>
        <v>4001</v>
      </c>
      <c r="E423" t="str">
        <f t="shared" si="146"/>
        <v>1</v>
      </c>
      <c r="F423" t="str">
        <f t="shared" si="147"/>
        <v>COM</v>
      </c>
      <c r="G423" t="str">
        <f t="shared" si="150"/>
        <v>PENSE FARMA 36 (10206)</v>
      </c>
      <c r="H423" t="s">
        <v>143</v>
      </c>
      <c r="I423" t="str">
        <f t="shared" si="143"/>
        <v>10/12/2025</v>
      </c>
      <c r="J423" t="str">
        <f t="shared" si="140"/>
        <v>08/12/2025</v>
      </c>
      <c r="K423">
        <v>46002</v>
      </c>
      <c r="N423">
        <v>303</v>
      </c>
      <c r="O423" t="s">
        <v>30</v>
      </c>
      <c r="Q423">
        <v>148.28</v>
      </c>
      <c r="R423" t="str">
        <f>"PENSE FARMA 43 (10208)"</f>
        <v>PENSE FARMA 43 (10208)</v>
      </c>
      <c r="S423" t="s">
        <v>31</v>
      </c>
      <c r="T423">
        <v>3899</v>
      </c>
      <c r="U423">
        <v>3013</v>
      </c>
      <c r="V423" t="s">
        <v>36</v>
      </c>
    </row>
    <row r="424" spans="1:22">
      <c r="A424" t="str">
        <f t="shared" si="148"/>
        <v>11/12/2025</v>
      </c>
      <c r="B424" t="str">
        <f t="shared" si="144"/>
        <v>ENTRADA</v>
      </c>
      <c r="C424" t="str">
        <f t="shared" si="145"/>
        <v>NFSE</v>
      </c>
      <c r="D424" t="str">
        <f t="shared" si="149"/>
        <v>4001</v>
      </c>
      <c r="E424" t="str">
        <f t="shared" si="146"/>
        <v>1</v>
      </c>
      <c r="F424" t="str">
        <f t="shared" si="147"/>
        <v>COM</v>
      </c>
      <c r="G424" t="str">
        <f t="shared" si="150"/>
        <v>PENSE FARMA 36 (10206)</v>
      </c>
      <c r="H424" t="s">
        <v>143</v>
      </c>
      <c r="I424" t="str">
        <f t="shared" si="143"/>
        <v>10/12/2025</v>
      </c>
      <c r="J424" t="str">
        <f t="shared" ref="J424:J434" si="151">("08/12/2025")</f>
        <v>08/12/2025</v>
      </c>
      <c r="K424">
        <v>46002</v>
      </c>
      <c r="N424">
        <v>303</v>
      </c>
      <c r="O424" t="s">
        <v>30</v>
      </c>
      <c r="Q424">
        <v>148.28</v>
      </c>
      <c r="R424" t="str">
        <f>"PENSE FARMA 59 (10211)"</f>
        <v>PENSE FARMA 59 (10211)</v>
      </c>
      <c r="S424" t="s">
        <v>31</v>
      </c>
      <c r="T424">
        <v>3899</v>
      </c>
      <c r="U424">
        <v>3013</v>
      </c>
      <c r="V424" t="s">
        <v>36</v>
      </c>
    </row>
    <row r="425" spans="1:22">
      <c r="A425" t="str">
        <f t="shared" si="148"/>
        <v>11/12/2025</v>
      </c>
      <c r="B425" t="str">
        <f t="shared" si="144"/>
        <v>ENTRADA</v>
      </c>
      <c r="C425" t="str">
        <f t="shared" si="145"/>
        <v>NFSE</v>
      </c>
      <c r="D425" t="str">
        <f t="shared" si="149"/>
        <v>4001</v>
      </c>
      <c r="E425" t="str">
        <f t="shared" si="146"/>
        <v>1</v>
      </c>
      <c r="F425" t="str">
        <f t="shared" si="147"/>
        <v>COM</v>
      </c>
      <c r="G425" t="str">
        <f t="shared" si="150"/>
        <v>PENSE FARMA 36 (10206)</v>
      </c>
      <c r="H425" t="s">
        <v>143</v>
      </c>
      <c r="I425" t="str">
        <f t="shared" si="143"/>
        <v>10/12/2025</v>
      </c>
      <c r="J425" t="str">
        <f t="shared" si="151"/>
        <v>08/12/2025</v>
      </c>
      <c r="K425">
        <v>46002</v>
      </c>
      <c r="N425">
        <v>303</v>
      </c>
      <c r="O425" t="s">
        <v>30</v>
      </c>
      <c r="Q425">
        <v>152.93</v>
      </c>
      <c r="R425" t="str">
        <f>"PENSE FARMA DARK STORE 361 (10212)"</f>
        <v>PENSE FARMA DARK STORE 361 (10212)</v>
      </c>
      <c r="S425" t="s">
        <v>31</v>
      </c>
      <c r="T425">
        <v>3899</v>
      </c>
      <c r="U425">
        <v>3013</v>
      </c>
      <c r="V425" t="s">
        <v>36</v>
      </c>
    </row>
    <row r="426" spans="1:22">
      <c r="A426" t="str">
        <f t="shared" si="148"/>
        <v>11/12/2025</v>
      </c>
      <c r="B426" t="str">
        <f t="shared" si="144"/>
        <v>ENTRADA</v>
      </c>
      <c r="C426" t="str">
        <f t="shared" si="145"/>
        <v>NFSE</v>
      </c>
      <c r="D426" t="str">
        <f>"4002"</f>
        <v>4002</v>
      </c>
      <c r="E426" t="str">
        <f t="shared" si="146"/>
        <v>1</v>
      </c>
      <c r="F426" t="str">
        <f t="shared" si="147"/>
        <v>COM</v>
      </c>
      <c r="G426" t="str">
        <f>"PENSE FARMA 46 (10194)"</f>
        <v>PENSE FARMA 46 (10194)</v>
      </c>
      <c r="H426" t="str">
        <f>"Serv.Prest. 01/12/2025 a 07/12/2025 - RPS: 1764 - NFSe: 4002"</f>
        <v>Serv.Prest. 01/12/2025 a 07/12/2025 - RPS: 1764 - NFSe: 4002</v>
      </c>
      <c r="I426" t="str">
        <f t="shared" si="143"/>
        <v>10/12/2025</v>
      </c>
      <c r="J426" t="str">
        <f t="shared" si="151"/>
        <v>08/12/2025</v>
      </c>
      <c r="K426" t="str">
        <f>("11/12/2025")</f>
        <v>11/12/2025</v>
      </c>
      <c r="L426">
        <v>342</v>
      </c>
      <c r="M426">
        <v>342</v>
      </c>
      <c r="N426">
        <v>303</v>
      </c>
      <c r="O426" t="str">
        <f>"RECEITAS COM ENTREGAS"</f>
        <v>RECEITAS COM ENTREGAS</v>
      </c>
      <c r="P426">
        <v>342</v>
      </c>
      <c r="S426" t="str">
        <f>"RECEITAS COM ENTREGAS (303)"</f>
        <v>RECEITAS COM ENTREGAS (303)</v>
      </c>
      <c r="T426">
        <v>3900</v>
      </c>
      <c r="U426">
        <v>3014</v>
      </c>
      <c r="V426" t="s">
        <v>36</v>
      </c>
    </row>
    <row r="427" spans="1:22">
      <c r="A427" t="str">
        <f t="shared" si="148"/>
        <v>11/12/2025</v>
      </c>
      <c r="B427" t="str">
        <f t="shared" si="144"/>
        <v>ENTRADA</v>
      </c>
      <c r="C427" t="str">
        <f t="shared" si="145"/>
        <v>NFSE</v>
      </c>
      <c r="D427" t="str">
        <f>"4002"</f>
        <v>4002</v>
      </c>
      <c r="E427" t="str">
        <f t="shared" si="146"/>
        <v>1</v>
      </c>
      <c r="F427" t="str">
        <f t="shared" si="147"/>
        <v>COM</v>
      </c>
      <c r="G427" t="str">
        <f>"PENSE FARMA 46 (10194)"</f>
        <v>PENSE FARMA 46 (10194)</v>
      </c>
      <c r="H427" t="s">
        <v>144</v>
      </c>
      <c r="I427" t="str">
        <f t="shared" si="143"/>
        <v>10/12/2025</v>
      </c>
      <c r="J427" t="str">
        <f t="shared" si="151"/>
        <v>08/12/2025</v>
      </c>
      <c r="K427">
        <v>46002</v>
      </c>
      <c r="N427">
        <v>303</v>
      </c>
      <c r="O427" t="s">
        <v>30</v>
      </c>
      <c r="Q427">
        <v>342</v>
      </c>
      <c r="R427" t="str">
        <f>"PENSE FARMA 46 (10194)"</f>
        <v>PENSE FARMA 46 (10194)</v>
      </c>
      <c r="S427" t="s">
        <v>31</v>
      </c>
      <c r="T427">
        <v>3900</v>
      </c>
      <c r="U427">
        <v>3014</v>
      </c>
      <c r="V427" t="s">
        <v>36</v>
      </c>
    </row>
    <row r="428" spans="1:22">
      <c r="A428" t="str">
        <f t="shared" si="148"/>
        <v>11/12/2025</v>
      </c>
      <c r="B428" t="str">
        <f t="shared" si="144"/>
        <v>ENTRADA</v>
      </c>
      <c r="C428" t="str">
        <f t="shared" si="145"/>
        <v>NFSE</v>
      </c>
      <c r="D428" t="str">
        <f>"4003"</f>
        <v>4003</v>
      </c>
      <c r="E428" t="str">
        <f t="shared" si="146"/>
        <v>1</v>
      </c>
      <c r="F428" t="str">
        <f t="shared" si="147"/>
        <v>COM</v>
      </c>
      <c r="G428" t="str">
        <f>"PENSE FARMA 15 (10195)"</f>
        <v>PENSE FARMA 15 (10195)</v>
      </c>
      <c r="H428" t="str">
        <f>"Serv.Prest. 01/12/2025 a 07/12/2025 - RPS: 1765 - NFSe: 4003"</f>
        <v>Serv.Prest. 01/12/2025 a 07/12/2025 - RPS: 1765 - NFSe: 4003</v>
      </c>
      <c r="I428" t="str">
        <f t="shared" si="143"/>
        <v>10/12/2025</v>
      </c>
      <c r="J428" t="str">
        <f t="shared" si="151"/>
        <v>08/12/2025</v>
      </c>
      <c r="K428" t="str">
        <f>("11/12/2025")</f>
        <v>11/12/2025</v>
      </c>
      <c r="L428">
        <v>642</v>
      </c>
      <c r="M428">
        <v>642</v>
      </c>
      <c r="N428">
        <v>303</v>
      </c>
      <c r="O428" t="str">
        <f>"RECEITAS COM ENTREGAS"</f>
        <v>RECEITAS COM ENTREGAS</v>
      </c>
      <c r="P428">
        <v>642</v>
      </c>
      <c r="S428" t="str">
        <f>"RECEITAS COM ENTREGAS (303)"</f>
        <v>RECEITAS COM ENTREGAS (303)</v>
      </c>
      <c r="T428">
        <v>3901</v>
      </c>
      <c r="U428">
        <v>3015</v>
      </c>
      <c r="V428" t="s">
        <v>36</v>
      </c>
    </row>
    <row r="429" spans="1:22">
      <c r="A429" t="str">
        <f t="shared" si="148"/>
        <v>11/12/2025</v>
      </c>
      <c r="B429" t="str">
        <f t="shared" si="144"/>
        <v>ENTRADA</v>
      </c>
      <c r="C429" t="str">
        <f t="shared" si="145"/>
        <v>NFSE</v>
      </c>
      <c r="D429" t="str">
        <f>"4003"</f>
        <v>4003</v>
      </c>
      <c r="E429" t="str">
        <f t="shared" si="146"/>
        <v>1</v>
      </c>
      <c r="F429" t="str">
        <f t="shared" si="147"/>
        <v>COM</v>
      </c>
      <c r="G429" t="str">
        <f>"PENSE FARMA 15 (10195)"</f>
        <v>PENSE FARMA 15 (10195)</v>
      </c>
      <c r="H429" t="s">
        <v>145</v>
      </c>
      <c r="I429" t="str">
        <f t="shared" si="143"/>
        <v>10/12/2025</v>
      </c>
      <c r="J429" t="str">
        <f t="shared" si="151"/>
        <v>08/12/2025</v>
      </c>
      <c r="K429">
        <v>46002</v>
      </c>
      <c r="N429">
        <v>303</v>
      </c>
      <c r="O429" t="s">
        <v>30</v>
      </c>
      <c r="Q429">
        <v>160.5</v>
      </c>
      <c r="R429" t="str">
        <f>"PENSE FARMA 15 (10195)"</f>
        <v>PENSE FARMA 15 (10195)</v>
      </c>
      <c r="S429" t="s">
        <v>31</v>
      </c>
      <c r="T429">
        <v>3901</v>
      </c>
      <c r="U429">
        <v>3015</v>
      </c>
      <c r="V429" t="s">
        <v>36</v>
      </c>
    </row>
    <row r="430" spans="1:22">
      <c r="A430" t="str">
        <f t="shared" si="148"/>
        <v>11/12/2025</v>
      </c>
      <c r="B430" t="str">
        <f t="shared" si="144"/>
        <v>ENTRADA</v>
      </c>
      <c r="C430" t="str">
        <f t="shared" si="145"/>
        <v>NFSE</v>
      </c>
      <c r="D430" t="str">
        <f>"4003"</f>
        <v>4003</v>
      </c>
      <c r="E430" t="str">
        <f t="shared" si="146"/>
        <v>1</v>
      </c>
      <c r="F430" t="str">
        <f t="shared" si="147"/>
        <v>COM</v>
      </c>
      <c r="G430" t="str">
        <f>"PENSE FARMA 15 (10195)"</f>
        <v>PENSE FARMA 15 (10195)</v>
      </c>
      <c r="H430" t="s">
        <v>145</v>
      </c>
      <c r="I430" t="str">
        <f t="shared" si="143"/>
        <v>10/12/2025</v>
      </c>
      <c r="J430" t="str">
        <f t="shared" si="151"/>
        <v>08/12/2025</v>
      </c>
      <c r="K430">
        <v>46002</v>
      </c>
      <c r="N430">
        <v>303</v>
      </c>
      <c r="O430" t="s">
        <v>30</v>
      </c>
      <c r="Q430">
        <v>160.5</v>
      </c>
      <c r="R430" t="str">
        <f>"PENSE FARMA 26 (10196)"</f>
        <v>PENSE FARMA 26 (10196)</v>
      </c>
      <c r="S430" t="s">
        <v>31</v>
      </c>
      <c r="T430">
        <v>3901</v>
      </c>
      <c r="U430">
        <v>3015</v>
      </c>
      <c r="V430" t="s">
        <v>36</v>
      </c>
    </row>
    <row r="431" spans="1:22">
      <c r="A431" t="str">
        <f t="shared" si="148"/>
        <v>11/12/2025</v>
      </c>
      <c r="B431" t="str">
        <f t="shared" si="144"/>
        <v>ENTRADA</v>
      </c>
      <c r="C431" t="str">
        <f t="shared" si="145"/>
        <v>NFSE</v>
      </c>
      <c r="D431" t="str">
        <f>"4003"</f>
        <v>4003</v>
      </c>
      <c r="E431" t="str">
        <f t="shared" si="146"/>
        <v>1</v>
      </c>
      <c r="F431" t="str">
        <f t="shared" si="147"/>
        <v>COM</v>
      </c>
      <c r="G431" t="str">
        <f>"PENSE FARMA 15 (10195)"</f>
        <v>PENSE FARMA 15 (10195)</v>
      </c>
      <c r="H431" t="s">
        <v>145</v>
      </c>
      <c r="I431" t="str">
        <f t="shared" si="143"/>
        <v>10/12/2025</v>
      </c>
      <c r="J431" t="str">
        <f t="shared" si="151"/>
        <v>08/12/2025</v>
      </c>
      <c r="K431">
        <v>46002</v>
      </c>
      <c r="N431">
        <v>303</v>
      </c>
      <c r="O431" t="s">
        <v>30</v>
      </c>
      <c r="Q431">
        <v>160.5</v>
      </c>
      <c r="R431" t="str">
        <f>"PENSE FARMA 60 (10197)"</f>
        <v>PENSE FARMA 60 (10197)</v>
      </c>
      <c r="S431" t="s">
        <v>31</v>
      </c>
      <c r="T431">
        <v>3901</v>
      </c>
      <c r="U431">
        <v>3015</v>
      </c>
      <c r="V431" t="s">
        <v>36</v>
      </c>
    </row>
    <row r="432" spans="1:22">
      <c r="A432" t="str">
        <f t="shared" si="148"/>
        <v>11/12/2025</v>
      </c>
      <c r="B432" t="str">
        <f t="shared" si="144"/>
        <v>ENTRADA</v>
      </c>
      <c r="C432" t="str">
        <f t="shared" si="145"/>
        <v>NFSE</v>
      </c>
      <c r="D432" t="str">
        <f>"4003"</f>
        <v>4003</v>
      </c>
      <c r="E432" t="str">
        <f t="shared" si="146"/>
        <v>1</v>
      </c>
      <c r="F432" t="str">
        <f t="shared" si="147"/>
        <v>COM</v>
      </c>
      <c r="G432" t="str">
        <f>"PENSE FARMA 15 (10195)"</f>
        <v>PENSE FARMA 15 (10195)</v>
      </c>
      <c r="H432" t="s">
        <v>145</v>
      </c>
      <c r="I432" t="str">
        <f t="shared" ref="I432:I450" si="152">("10/12/2025")</f>
        <v>10/12/2025</v>
      </c>
      <c r="J432" t="str">
        <f t="shared" si="151"/>
        <v>08/12/2025</v>
      </c>
      <c r="K432">
        <v>46002</v>
      </c>
      <c r="N432">
        <v>303</v>
      </c>
      <c r="O432" t="s">
        <v>30</v>
      </c>
      <c r="Q432">
        <v>160.5</v>
      </c>
      <c r="R432" t="str">
        <f>"PENSE FARMA 61 (10243)"</f>
        <v>PENSE FARMA 61 (10243)</v>
      </c>
      <c r="S432" t="s">
        <v>31</v>
      </c>
      <c r="T432">
        <v>3901</v>
      </c>
      <c r="U432">
        <v>3015</v>
      </c>
      <c r="V432" t="s">
        <v>36</v>
      </c>
    </row>
    <row r="433" spans="1:22">
      <c r="A433" t="str">
        <f t="shared" si="148"/>
        <v>11/12/2025</v>
      </c>
      <c r="B433" t="str">
        <f t="shared" si="144"/>
        <v>ENTRADA</v>
      </c>
      <c r="C433" t="str">
        <f t="shared" si="145"/>
        <v>NFSE</v>
      </c>
      <c r="D433" t="str">
        <f>"4004"</f>
        <v>4004</v>
      </c>
      <c r="E433" t="str">
        <f t="shared" si="146"/>
        <v>1</v>
      </c>
      <c r="F433" t="str">
        <f t="shared" si="147"/>
        <v>COM</v>
      </c>
      <c r="G433" t="str">
        <f>"PENSE FARMA 22 (10198)"</f>
        <v>PENSE FARMA 22 (10198)</v>
      </c>
      <c r="H433" t="str">
        <f>"Serv.Prest. 01/12/2025 a 07/12/2025 - RPS: 1766 - NFSe: 4004"</f>
        <v>Serv.Prest. 01/12/2025 a 07/12/2025 - RPS: 1766 - NFSe: 4004</v>
      </c>
      <c r="I433" t="str">
        <f t="shared" si="152"/>
        <v>10/12/2025</v>
      </c>
      <c r="J433" t="str">
        <f t="shared" si="151"/>
        <v>08/12/2025</v>
      </c>
      <c r="K433" t="str">
        <f>("11/12/2025")</f>
        <v>11/12/2025</v>
      </c>
      <c r="L433">
        <v>482.87</v>
      </c>
      <c r="M433">
        <v>482.87</v>
      </c>
      <c r="N433">
        <v>303</v>
      </c>
      <c r="O433" t="str">
        <f>"RECEITAS COM ENTREGAS"</f>
        <v>RECEITAS COM ENTREGAS</v>
      </c>
      <c r="P433">
        <v>482.87</v>
      </c>
      <c r="S433" t="str">
        <f>"RECEITAS COM ENTREGAS (303)"</f>
        <v>RECEITAS COM ENTREGAS (303)</v>
      </c>
      <c r="T433">
        <v>3902</v>
      </c>
      <c r="U433">
        <v>3016</v>
      </c>
      <c r="V433" t="s">
        <v>36</v>
      </c>
    </row>
    <row r="434" spans="1:22">
      <c r="A434" t="str">
        <f t="shared" si="148"/>
        <v>11/12/2025</v>
      </c>
      <c r="B434" t="str">
        <f t="shared" si="144"/>
        <v>ENTRADA</v>
      </c>
      <c r="C434" t="str">
        <f t="shared" si="145"/>
        <v>NFSE</v>
      </c>
      <c r="D434" t="str">
        <f>"4004"</f>
        <v>4004</v>
      </c>
      <c r="E434" t="str">
        <f t="shared" si="146"/>
        <v>1</v>
      </c>
      <c r="F434" t="str">
        <f t="shared" si="147"/>
        <v>COM</v>
      </c>
      <c r="G434" t="str">
        <f>"PENSE FARMA 22 (10198)"</f>
        <v>PENSE FARMA 22 (10198)</v>
      </c>
      <c r="H434" t="s">
        <v>146</v>
      </c>
      <c r="I434" t="str">
        <f t="shared" si="152"/>
        <v>10/12/2025</v>
      </c>
      <c r="J434" t="str">
        <f t="shared" si="151"/>
        <v>08/12/2025</v>
      </c>
      <c r="K434">
        <v>46002</v>
      </c>
      <c r="N434">
        <v>303</v>
      </c>
      <c r="O434" t="s">
        <v>30</v>
      </c>
      <c r="Q434">
        <v>482.87</v>
      </c>
      <c r="R434" t="str">
        <f>"PENSE FARMA 22 (10198)"</f>
        <v>PENSE FARMA 22 (10198)</v>
      </c>
      <c r="S434" t="s">
        <v>31</v>
      </c>
      <c r="T434">
        <v>3902</v>
      </c>
      <c r="U434">
        <v>3016</v>
      </c>
      <c r="V434" t="s">
        <v>36</v>
      </c>
    </row>
    <row r="435" spans="1:22">
      <c r="A435" t="str">
        <f t="shared" si="148"/>
        <v>11/12/2025</v>
      </c>
      <c r="B435" t="str">
        <f t="shared" si="144"/>
        <v>ENTRADA</v>
      </c>
      <c r="C435" t="str">
        <f t="shared" si="145"/>
        <v>NFSE</v>
      </c>
      <c r="D435" t="str">
        <f>"4007"</f>
        <v>4007</v>
      </c>
      <c r="E435" t="str">
        <f t="shared" si="146"/>
        <v>1</v>
      </c>
      <c r="F435" t="str">
        <f t="shared" si="147"/>
        <v>COM</v>
      </c>
      <c r="G435" t="str">
        <f>"DROGARIA MORENO LTDA (10171)"</f>
        <v>DROGARIA MORENO LTDA (10171)</v>
      </c>
      <c r="H435" t="str">
        <f>"Serv.Prest. 01/12/2025 a 07/12/2025 - RPS: 1769 - NFSe: 4007"</f>
        <v>Serv.Prest. 01/12/2025 a 07/12/2025 - RPS: 1769 - NFSe: 4007</v>
      </c>
      <c r="I435" t="str">
        <f t="shared" si="152"/>
        <v>10/12/2025</v>
      </c>
      <c r="J435" t="str">
        <f t="shared" ref="J435:J450" si="153">("09/12/2025")</f>
        <v>09/12/2025</v>
      </c>
      <c r="K435" t="str">
        <f>("11/12/2025")</f>
        <v>11/12/2025</v>
      </c>
      <c r="L435">
        <v>363.6</v>
      </c>
      <c r="M435">
        <v>363.6</v>
      </c>
      <c r="N435">
        <v>303</v>
      </c>
      <c r="O435" t="str">
        <f>"RECEITAS COM ENTREGAS"</f>
        <v>RECEITAS COM ENTREGAS</v>
      </c>
      <c r="P435">
        <v>363.6</v>
      </c>
      <c r="S435" t="str">
        <f>"RECEITAS COM ENTREGAS (303)"</f>
        <v>RECEITAS COM ENTREGAS (303)</v>
      </c>
      <c r="T435">
        <v>3903</v>
      </c>
      <c r="U435">
        <v>3019</v>
      </c>
      <c r="V435" t="s">
        <v>36</v>
      </c>
    </row>
    <row r="436" spans="1:22">
      <c r="A436" t="str">
        <f t="shared" si="148"/>
        <v>11/12/2025</v>
      </c>
      <c r="B436" t="str">
        <f t="shared" si="144"/>
        <v>ENTRADA</v>
      </c>
      <c r="C436" t="str">
        <f t="shared" si="145"/>
        <v>NFSE</v>
      </c>
      <c r="D436" t="str">
        <f>"4007"</f>
        <v>4007</v>
      </c>
      <c r="E436" t="str">
        <f t="shared" si="146"/>
        <v>1</v>
      </c>
      <c r="F436" t="str">
        <f t="shared" si="147"/>
        <v>COM</v>
      </c>
      <c r="G436" t="str">
        <f>"DROGARIA MORENO LTDA (10171)"</f>
        <v>DROGARIA MORENO LTDA (10171)</v>
      </c>
      <c r="H436" t="s">
        <v>147</v>
      </c>
      <c r="I436" t="str">
        <f t="shared" si="152"/>
        <v>10/12/2025</v>
      </c>
      <c r="J436" t="str">
        <f t="shared" si="153"/>
        <v>09/12/2025</v>
      </c>
      <c r="K436">
        <v>46002</v>
      </c>
      <c r="N436">
        <v>303</v>
      </c>
      <c r="O436" t="s">
        <v>30</v>
      </c>
      <c r="Q436">
        <v>363.6</v>
      </c>
      <c r="R436" t="str">
        <f>"DROGARIA MORENO LTDA (10171)"</f>
        <v>DROGARIA MORENO LTDA (10171)</v>
      </c>
      <c r="S436" t="s">
        <v>31</v>
      </c>
      <c r="T436">
        <v>3903</v>
      </c>
      <c r="U436">
        <v>3019</v>
      </c>
      <c r="V436" t="s">
        <v>36</v>
      </c>
    </row>
    <row r="437" spans="1:22">
      <c r="A437" t="str">
        <f t="shared" si="148"/>
        <v>11/12/2025</v>
      </c>
      <c r="B437" t="str">
        <f t="shared" si="144"/>
        <v>ENTRADA</v>
      </c>
      <c r="C437" t="str">
        <f t="shared" si="145"/>
        <v>NFSE</v>
      </c>
      <c r="D437" t="str">
        <f>"4008"</f>
        <v>4008</v>
      </c>
      <c r="E437" t="str">
        <f t="shared" si="146"/>
        <v>1</v>
      </c>
      <c r="F437" t="str">
        <f t="shared" si="147"/>
        <v>COM</v>
      </c>
      <c r="G437" t="str">
        <f>"DROGARIA MEDIC CENTER LTDA (10172)"</f>
        <v>DROGARIA MEDIC CENTER LTDA (10172)</v>
      </c>
      <c r="H437" t="str">
        <f>"Serv.Prest. 01/12/2025 a 07/12/2025 - RPS: 1770 - NFSe: 4008"</f>
        <v>Serv.Prest. 01/12/2025 a 07/12/2025 - RPS: 1770 - NFSe: 4008</v>
      </c>
      <c r="I437" t="str">
        <f t="shared" si="152"/>
        <v>10/12/2025</v>
      </c>
      <c r="J437" t="str">
        <f t="shared" si="153"/>
        <v>09/12/2025</v>
      </c>
      <c r="K437" t="str">
        <f>("11/12/2025")</f>
        <v>11/12/2025</v>
      </c>
      <c r="L437">
        <v>106.2</v>
      </c>
      <c r="M437">
        <v>106.2</v>
      </c>
      <c r="N437">
        <v>303</v>
      </c>
      <c r="O437" t="str">
        <f>"RECEITAS COM ENTREGAS"</f>
        <v>RECEITAS COM ENTREGAS</v>
      </c>
      <c r="P437">
        <v>106.2</v>
      </c>
      <c r="S437" t="str">
        <f>"RECEITAS COM ENTREGAS (303)"</f>
        <v>RECEITAS COM ENTREGAS (303)</v>
      </c>
      <c r="T437">
        <v>3904</v>
      </c>
      <c r="U437">
        <v>3020</v>
      </c>
      <c r="V437" t="s">
        <v>36</v>
      </c>
    </row>
    <row r="438" spans="1:22">
      <c r="A438" t="str">
        <f t="shared" si="148"/>
        <v>11/12/2025</v>
      </c>
      <c r="B438" t="str">
        <f t="shared" si="144"/>
        <v>ENTRADA</v>
      </c>
      <c r="C438" t="str">
        <f t="shared" si="145"/>
        <v>NFSE</v>
      </c>
      <c r="D438" t="str">
        <f>"4008"</f>
        <v>4008</v>
      </c>
      <c r="E438" t="str">
        <f t="shared" si="146"/>
        <v>1</v>
      </c>
      <c r="F438" t="str">
        <f t="shared" si="147"/>
        <v>COM</v>
      </c>
      <c r="G438" t="str">
        <f>"DROGARIA MEDIC CENTER LTDA (10172)"</f>
        <v>DROGARIA MEDIC CENTER LTDA (10172)</v>
      </c>
      <c r="H438" t="s">
        <v>148</v>
      </c>
      <c r="I438" t="str">
        <f t="shared" si="152"/>
        <v>10/12/2025</v>
      </c>
      <c r="J438" t="str">
        <f t="shared" si="153"/>
        <v>09/12/2025</v>
      </c>
      <c r="K438">
        <v>46002</v>
      </c>
      <c r="N438">
        <v>303</v>
      </c>
      <c r="O438" t="s">
        <v>30</v>
      </c>
      <c r="Q438">
        <v>106.2</v>
      </c>
      <c r="R438" t="str">
        <f>"DROGARIA MEDIC CENTER LTDA (10172)"</f>
        <v>DROGARIA MEDIC CENTER LTDA (10172)</v>
      </c>
      <c r="S438" t="s">
        <v>31</v>
      </c>
      <c r="T438">
        <v>3904</v>
      </c>
      <c r="U438">
        <v>3020</v>
      </c>
      <c r="V438" t="s">
        <v>36</v>
      </c>
    </row>
    <row r="439" spans="1:22">
      <c r="A439" t="str">
        <f t="shared" si="148"/>
        <v>11/12/2025</v>
      </c>
      <c r="B439" t="str">
        <f t="shared" si="144"/>
        <v>ENTRADA</v>
      </c>
      <c r="C439" t="str">
        <f t="shared" si="145"/>
        <v>NFSE</v>
      </c>
      <c r="D439" t="str">
        <f>"4009"</f>
        <v>4009</v>
      </c>
      <c r="E439" t="str">
        <f t="shared" si="146"/>
        <v>1</v>
      </c>
      <c r="F439" t="str">
        <f t="shared" si="147"/>
        <v>COM</v>
      </c>
      <c r="G439" t="str">
        <f>"DROGARIA NIQUINHO (10257)"</f>
        <v>DROGARIA NIQUINHO (10257)</v>
      </c>
      <c r="H439" t="str">
        <f>"Serv.Prest. 01/12/2025 a 07/12/2025 - RPS: 1771 - NFSe: 4009"</f>
        <v>Serv.Prest. 01/12/2025 a 07/12/2025 - RPS: 1771 - NFSe: 4009</v>
      </c>
      <c r="I439" t="str">
        <f t="shared" si="152"/>
        <v>10/12/2025</v>
      </c>
      <c r="J439" t="str">
        <f t="shared" si="153"/>
        <v>09/12/2025</v>
      </c>
      <c r="K439" t="str">
        <f>("11/12/2025")</f>
        <v>11/12/2025</v>
      </c>
      <c r="L439">
        <v>237.99</v>
      </c>
      <c r="M439">
        <v>237.99</v>
      </c>
      <c r="N439">
        <v>303</v>
      </c>
      <c r="O439" t="str">
        <f>"RECEITAS COM ENTREGAS"</f>
        <v>RECEITAS COM ENTREGAS</v>
      </c>
      <c r="P439">
        <v>237.99</v>
      </c>
      <c r="S439" t="str">
        <f>"RECEITAS COM ENTREGAS (303)"</f>
        <v>RECEITAS COM ENTREGAS (303)</v>
      </c>
      <c r="T439">
        <v>3905</v>
      </c>
      <c r="U439">
        <v>3021</v>
      </c>
      <c r="V439" t="s">
        <v>36</v>
      </c>
    </row>
    <row r="440" spans="1:22">
      <c r="A440" t="str">
        <f t="shared" si="148"/>
        <v>11/12/2025</v>
      </c>
      <c r="B440" t="str">
        <f t="shared" si="144"/>
        <v>ENTRADA</v>
      </c>
      <c r="C440" t="str">
        <f t="shared" si="145"/>
        <v>NFSE</v>
      </c>
      <c r="D440" t="str">
        <f>"4009"</f>
        <v>4009</v>
      </c>
      <c r="E440" t="str">
        <f t="shared" si="146"/>
        <v>1</v>
      </c>
      <c r="F440" t="str">
        <f t="shared" si="147"/>
        <v>COM</v>
      </c>
      <c r="G440" t="str">
        <f>"DROGARIA NIQUINHO (10257)"</f>
        <v>DROGARIA NIQUINHO (10257)</v>
      </c>
      <c r="H440" t="s">
        <v>149</v>
      </c>
      <c r="I440" t="str">
        <f t="shared" si="152"/>
        <v>10/12/2025</v>
      </c>
      <c r="J440" t="str">
        <f t="shared" si="153"/>
        <v>09/12/2025</v>
      </c>
      <c r="K440">
        <v>46002</v>
      </c>
      <c r="N440">
        <v>303</v>
      </c>
      <c r="O440" t="s">
        <v>30</v>
      </c>
      <c r="Q440">
        <v>237.99</v>
      </c>
      <c r="R440" t="str">
        <f>"DROGARIA NIQUINHO (10257)"</f>
        <v>DROGARIA NIQUINHO (10257)</v>
      </c>
      <c r="S440" t="s">
        <v>31</v>
      </c>
      <c r="T440">
        <v>3905</v>
      </c>
      <c r="U440">
        <v>3021</v>
      </c>
      <c r="V440" t="s">
        <v>36</v>
      </c>
    </row>
    <row r="441" spans="1:22">
      <c r="A441" t="str">
        <f t="shared" si="148"/>
        <v>11/12/2025</v>
      </c>
      <c r="B441" t="str">
        <f t="shared" si="144"/>
        <v>ENTRADA</v>
      </c>
      <c r="C441" t="str">
        <f t="shared" si="145"/>
        <v>NFSE</v>
      </c>
      <c r="D441" t="str">
        <f>"4012"</f>
        <v>4012</v>
      </c>
      <c r="E441" t="str">
        <f t="shared" si="146"/>
        <v>1</v>
      </c>
      <c r="F441" t="str">
        <f t="shared" si="147"/>
        <v>COM</v>
      </c>
      <c r="G441" t="str">
        <f>"FARMACIA ECONOMIZE (10103)"</f>
        <v>FARMACIA ECONOMIZE (10103)</v>
      </c>
      <c r="H441" t="str">
        <f>"Serv.Prest. 01/12/2025 a 07/12/2025 - RPS: 1774 - NFSe: 4012"</f>
        <v>Serv.Prest. 01/12/2025 a 07/12/2025 - RPS: 1774 - NFSe: 4012</v>
      </c>
      <c r="I441" t="str">
        <f t="shared" si="152"/>
        <v>10/12/2025</v>
      </c>
      <c r="J441" t="str">
        <f t="shared" si="153"/>
        <v>09/12/2025</v>
      </c>
      <c r="K441" t="str">
        <f>("11/12/2025")</f>
        <v>11/12/2025</v>
      </c>
      <c r="L441">
        <v>24.88</v>
      </c>
      <c r="M441">
        <v>24.88</v>
      </c>
      <c r="N441">
        <v>303</v>
      </c>
      <c r="O441" t="str">
        <f>"RECEITAS COM ENTREGAS"</f>
        <v>RECEITAS COM ENTREGAS</v>
      </c>
      <c r="P441">
        <v>24.88</v>
      </c>
      <c r="S441" t="str">
        <f>"RECEITAS COM ENTREGAS (303)"</f>
        <v>RECEITAS COM ENTREGAS (303)</v>
      </c>
      <c r="T441">
        <v>3906</v>
      </c>
      <c r="U441">
        <v>3024</v>
      </c>
      <c r="V441" t="s">
        <v>36</v>
      </c>
    </row>
    <row r="442" spans="1:22">
      <c r="A442" t="str">
        <f t="shared" si="148"/>
        <v>11/12/2025</v>
      </c>
      <c r="B442" t="str">
        <f t="shared" si="144"/>
        <v>ENTRADA</v>
      </c>
      <c r="C442" t="str">
        <f t="shared" si="145"/>
        <v>NFSE</v>
      </c>
      <c r="D442" t="str">
        <f>"4012"</f>
        <v>4012</v>
      </c>
      <c r="E442" t="str">
        <f t="shared" si="146"/>
        <v>1</v>
      </c>
      <c r="F442" t="str">
        <f t="shared" si="147"/>
        <v>COM</v>
      </c>
      <c r="G442" t="str">
        <f>"FARMACIA ECONOMIZE (10103)"</f>
        <v>FARMACIA ECONOMIZE (10103)</v>
      </c>
      <c r="H442" t="s">
        <v>150</v>
      </c>
      <c r="I442" t="str">
        <f t="shared" si="152"/>
        <v>10/12/2025</v>
      </c>
      <c r="J442" t="str">
        <f t="shared" si="153"/>
        <v>09/12/2025</v>
      </c>
      <c r="K442">
        <v>46002</v>
      </c>
      <c r="N442">
        <v>303</v>
      </c>
      <c r="O442" t="s">
        <v>30</v>
      </c>
      <c r="Q442">
        <v>24.88</v>
      </c>
      <c r="R442" t="str">
        <f>"FARMACIA ECONOMIZE (10103)"</f>
        <v>FARMACIA ECONOMIZE (10103)</v>
      </c>
      <c r="S442" t="s">
        <v>31</v>
      </c>
      <c r="T442">
        <v>3906</v>
      </c>
      <c r="U442">
        <v>3024</v>
      </c>
      <c r="V442" t="s">
        <v>36</v>
      </c>
    </row>
    <row r="443" spans="1:22">
      <c r="A443" t="str">
        <f t="shared" si="148"/>
        <v>11/12/2025</v>
      </c>
      <c r="B443" t="str">
        <f t="shared" si="144"/>
        <v>ENTRADA</v>
      </c>
      <c r="C443" t="str">
        <f t="shared" si="145"/>
        <v>NFSE</v>
      </c>
      <c r="D443" t="str">
        <f>"4013"</f>
        <v>4013</v>
      </c>
      <c r="E443" t="str">
        <f t="shared" si="146"/>
        <v>1</v>
      </c>
      <c r="F443" t="str">
        <f t="shared" si="147"/>
        <v>COM</v>
      </c>
      <c r="G443" t="str">
        <f>"LBL FARMACIA LTDA (10189)"</f>
        <v>LBL FARMACIA LTDA (10189)</v>
      </c>
      <c r="H443" t="str">
        <f>"Serv.Prest. 01/12/2025 a 07/12/2025 - RPS: 1775 - NFSe: 4013"</f>
        <v>Serv.Prest. 01/12/2025 a 07/12/2025 - RPS: 1775 - NFSe: 4013</v>
      </c>
      <c r="I443" t="str">
        <f t="shared" si="152"/>
        <v>10/12/2025</v>
      </c>
      <c r="J443" t="str">
        <f t="shared" si="153"/>
        <v>09/12/2025</v>
      </c>
      <c r="K443" t="str">
        <f>("11/12/2025")</f>
        <v>11/12/2025</v>
      </c>
      <c r="L443">
        <v>196.35</v>
      </c>
      <c r="M443">
        <v>196.35</v>
      </c>
      <c r="N443">
        <v>303</v>
      </c>
      <c r="O443" t="str">
        <f>"RECEITAS COM ENTREGAS"</f>
        <v>RECEITAS COM ENTREGAS</v>
      </c>
      <c r="P443">
        <v>196.35</v>
      </c>
      <c r="S443" t="str">
        <f>"RECEITAS COM ENTREGAS (303)"</f>
        <v>RECEITAS COM ENTREGAS (303)</v>
      </c>
      <c r="T443">
        <v>3907</v>
      </c>
      <c r="U443">
        <v>3025</v>
      </c>
      <c r="V443" t="s">
        <v>36</v>
      </c>
    </row>
    <row r="444" spans="1:22">
      <c r="A444" t="str">
        <f t="shared" si="148"/>
        <v>11/12/2025</v>
      </c>
      <c r="B444" t="str">
        <f t="shared" si="144"/>
        <v>ENTRADA</v>
      </c>
      <c r="C444" t="str">
        <f t="shared" si="145"/>
        <v>NFSE</v>
      </c>
      <c r="D444" t="str">
        <f>"4013"</f>
        <v>4013</v>
      </c>
      <c r="E444" t="str">
        <f t="shared" si="146"/>
        <v>1</v>
      </c>
      <c r="F444" t="str">
        <f t="shared" si="147"/>
        <v>COM</v>
      </c>
      <c r="G444" t="str">
        <f>"LBL FARMACIA LTDA (10189)"</f>
        <v>LBL FARMACIA LTDA (10189)</v>
      </c>
      <c r="H444" t="s">
        <v>151</v>
      </c>
      <c r="I444" t="str">
        <f t="shared" si="152"/>
        <v>10/12/2025</v>
      </c>
      <c r="J444" t="str">
        <f t="shared" si="153"/>
        <v>09/12/2025</v>
      </c>
      <c r="K444">
        <v>46002</v>
      </c>
      <c r="N444">
        <v>303</v>
      </c>
      <c r="O444" t="s">
        <v>30</v>
      </c>
      <c r="Q444">
        <v>196.35</v>
      </c>
      <c r="R444" t="str">
        <f>"LBL FARMACIA LTDA (10189)"</f>
        <v>LBL FARMACIA LTDA (10189)</v>
      </c>
      <c r="S444" t="s">
        <v>31</v>
      </c>
      <c r="T444">
        <v>3907</v>
      </c>
      <c r="U444">
        <v>3025</v>
      </c>
      <c r="V444" t="s">
        <v>36</v>
      </c>
    </row>
    <row r="445" spans="1:22">
      <c r="A445" t="str">
        <f t="shared" si="148"/>
        <v>11/12/2025</v>
      </c>
      <c r="B445" t="str">
        <f t="shared" si="144"/>
        <v>ENTRADA</v>
      </c>
      <c r="C445" t="str">
        <f t="shared" si="145"/>
        <v>NFSE</v>
      </c>
      <c r="D445" t="str">
        <f>"4014"</f>
        <v>4014</v>
      </c>
      <c r="E445" t="str">
        <f t="shared" si="146"/>
        <v>1</v>
      </c>
      <c r="F445" t="str">
        <f t="shared" si="147"/>
        <v>COM</v>
      </c>
      <c r="G445" t="str">
        <f>"LBL FARMACIA LTDA FILIAL (10192)"</f>
        <v>LBL FARMACIA LTDA FILIAL (10192)</v>
      </c>
      <c r="H445" t="str">
        <f>"Serv.Prest. 01/12/2025 a 07/12/2025 - RPS: 1776 - NFSe: 4014"</f>
        <v>Serv.Prest. 01/12/2025 a 07/12/2025 - RPS: 1776 - NFSe: 4014</v>
      </c>
      <c r="I445" t="str">
        <f t="shared" si="152"/>
        <v>10/12/2025</v>
      </c>
      <c r="J445" t="str">
        <f t="shared" si="153"/>
        <v>09/12/2025</v>
      </c>
      <c r="K445" t="str">
        <f>("11/12/2025")</f>
        <v>11/12/2025</v>
      </c>
      <c r="L445">
        <v>260.39999999999998</v>
      </c>
      <c r="M445">
        <v>260.39999999999998</v>
      </c>
      <c r="N445">
        <v>303</v>
      </c>
      <c r="O445" t="str">
        <f>"RECEITAS COM ENTREGAS"</f>
        <v>RECEITAS COM ENTREGAS</v>
      </c>
      <c r="P445">
        <v>260.39999999999998</v>
      </c>
      <c r="S445" t="str">
        <f>"RECEITAS COM ENTREGAS (303)"</f>
        <v>RECEITAS COM ENTREGAS (303)</v>
      </c>
      <c r="T445">
        <v>3908</v>
      </c>
      <c r="U445">
        <v>3026</v>
      </c>
      <c r="V445" t="s">
        <v>36</v>
      </c>
    </row>
    <row r="446" spans="1:22">
      <c r="A446" t="str">
        <f t="shared" si="148"/>
        <v>11/12/2025</v>
      </c>
      <c r="B446" t="str">
        <f t="shared" ref="B446:B452" si="154">"ENTRADA"</f>
        <v>ENTRADA</v>
      </c>
      <c r="C446" t="str">
        <f t="shared" ref="C446:C452" si="155">"NFSE"</f>
        <v>NFSE</v>
      </c>
      <c r="D446" t="str">
        <f>"4014"</f>
        <v>4014</v>
      </c>
      <c r="E446" t="str">
        <f t="shared" ref="E446:E452" si="156">"1"</f>
        <v>1</v>
      </c>
      <c r="F446" t="str">
        <f t="shared" ref="F446:F474" si="157">"COM"</f>
        <v>COM</v>
      </c>
      <c r="G446" t="str">
        <f>"LBL FARMACIA LTDA FILIAL (10192)"</f>
        <v>LBL FARMACIA LTDA FILIAL (10192)</v>
      </c>
      <c r="H446" t="s">
        <v>152</v>
      </c>
      <c r="I446" t="str">
        <f t="shared" si="152"/>
        <v>10/12/2025</v>
      </c>
      <c r="J446" t="str">
        <f t="shared" si="153"/>
        <v>09/12/2025</v>
      </c>
      <c r="K446">
        <v>46002</v>
      </c>
      <c r="N446">
        <v>303</v>
      </c>
      <c r="O446" t="s">
        <v>30</v>
      </c>
      <c r="Q446">
        <v>260.39999999999998</v>
      </c>
      <c r="R446" t="str">
        <f>"LBL FARMACIA LTDA FILIAL (10192)"</f>
        <v>LBL FARMACIA LTDA FILIAL (10192)</v>
      </c>
      <c r="S446" t="s">
        <v>31</v>
      </c>
      <c r="T446">
        <v>3908</v>
      </c>
      <c r="U446">
        <v>3026</v>
      </c>
      <c r="V446" t="s">
        <v>36</v>
      </c>
    </row>
    <row r="447" spans="1:22">
      <c r="A447" t="str">
        <f t="shared" si="148"/>
        <v>11/12/2025</v>
      </c>
      <c r="B447" t="str">
        <f t="shared" si="154"/>
        <v>ENTRADA</v>
      </c>
      <c r="C447" t="str">
        <f t="shared" si="155"/>
        <v>NFSE</v>
      </c>
      <c r="D447" t="str">
        <f>"4015"</f>
        <v>4015</v>
      </c>
      <c r="E447" t="str">
        <f t="shared" si="156"/>
        <v>1</v>
      </c>
      <c r="F447" t="str">
        <f t="shared" si="157"/>
        <v>COM</v>
      </c>
      <c r="G447" t="str">
        <f>"DELTA LOJA 2 (10123)"</f>
        <v>DELTA LOJA 2 (10123)</v>
      </c>
      <c r="H447" t="str">
        <f>"Serv.Prest. 01/12/2025 a 07/12/2025 - RPS: 1777 - NFSe: 4015"</f>
        <v>Serv.Prest. 01/12/2025 a 07/12/2025 - RPS: 1777 - NFSe: 4015</v>
      </c>
      <c r="I447" t="str">
        <f t="shared" si="152"/>
        <v>10/12/2025</v>
      </c>
      <c r="J447" t="str">
        <f t="shared" si="153"/>
        <v>09/12/2025</v>
      </c>
      <c r="K447" t="str">
        <f>("11/12/2025")</f>
        <v>11/12/2025</v>
      </c>
      <c r="L447">
        <v>843.15</v>
      </c>
      <c r="M447">
        <v>843.15</v>
      </c>
      <c r="N447">
        <v>303</v>
      </c>
      <c r="O447" t="str">
        <f>"RECEITAS COM ENTREGAS"</f>
        <v>RECEITAS COM ENTREGAS</v>
      </c>
      <c r="P447">
        <v>843.15</v>
      </c>
      <c r="S447" t="str">
        <f>"RECEITAS COM ENTREGAS (303)"</f>
        <v>RECEITAS COM ENTREGAS (303)</v>
      </c>
      <c r="T447">
        <v>3909</v>
      </c>
      <c r="U447">
        <v>3027</v>
      </c>
      <c r="V447" t="s">
        <v>36</v>
      </c>
    </row>
    <row r="448" spans="1:22">
      <c r="A448" t="str">
        <f t="shared" si="148"/>
        <v>11/12/2025</v>
      </c>
      <c r="B448" t="str">
        <f t="shared" si="154"/>
        <v>ENTRADA</v>
      </c>
      <c r="C448" t="str">
        <f t="shared" si="155"/>
        <v>NFSE</v>
      </c>
      <c r="D448" t="str">
        <f>"4015"</f>
        <v>4015</v>
      </c>
      <c r="E448" t="str">
        <f t="shared" si="156"/>
        <v>1</v>
      </c>
      <c r="F448" t="str">
        <f t="shared" si="157"/>
        <v>COM</v>
      </c>
      <c r="G448" t="str">
        <f>"DELTA LOJA 2 (10123)"</f>
        <v>DELTA LOJA 2 (10123)</v>
      </c>
      <c r="H448" t="s">
        <v>153</v>
      </c>
      <c r="I448" t="str">
        <f t="shared" si="152"/>
        <v>10/12/2025</v>
      </c>
      <c r="J448" t="str">
        <f t="shared" si="153"/>
        <v>09/12/2025</v>
      </c>
      <c r="K448">
        <v>46002</v>
      </c>
      <c r="N448">
        <v>303</v>
      </c>
      <c r="O448" t="s">
        <v>30</v>
      </c>
      <c r="Q448">
        <v>843.15</v>
      </c>
      <c r="R448" t="str">
        <f>"DELTA LOJA 2 (10123)"</f>
        <v>DELTA LOJA 2 (10123)</v>
      </c>
      <c r="S448" t="s">
        <v>31</v>
      </c>
      <c r="T448">
        <v>3909</v>
      </c>
      <c r="U448">
        <v>3027</v>
      </c>
      <c r="V448" t="s">
        <v>36</v>
      </c>
    </row>
    <row r="449" spans="1:22">
      <c r="A449" t="str">
        <f t="shared" si="148"/>
        <v>11/12/2025</v>
      </c>
      <c r="B449" t="str">
        <f t="shared" si="154"/>
        <v>ENTRADA</v>
      </c>
      <c r="C449" t="str">
        <f t="shared" si="155"/>
        <v>NFSE</v>
      </c>
      <c r="D449" t="str">
        <f>"4016"</f>
        <v>4016</v>
      </c>
      <c r="E449" t="str">
        <f t="shared" si="156"/>
        <v>1</v>
      </c>
      <c r="F449" t="str">
        <f t="shared" si="157"/>
        <v>COM</v>
      </c>
      <c r="G449" t="str">
        <f>"DROGA HONDA (10149)"</f>
        <v>DROGA HONDA (10149)</v>
      </c>
      <c r="H449" t="str">
        <f>"Serv.Prest. 01/12/2025 a 07/12/2025 - RPS: 1778 - NFSe: 4016"</f>
        <v>Serv.Prest. 01/12/2025 a 07/12/2025 - RPS: 1778 - NFSe: 4016</v>
      </c>
      <c r="I449" t="str">
        <f t="shared" si="152"/>
        <v>10/12/2025</v>
      </c>
      <c r="J449" t="str">
        <f t="shared" si="153"/>
        <v>09/12/2025</v>
      </c>
      <c r="K449" t="str">
        <f>("11/12/2025")</f>
        <v>11/12/2025</v>
      </c>
      <c r="L449">
        <v>127.76</v>
      </c>
      <c r="M449">
        <v>127.76</v>
      </c>
      <c r="N449">
        <v>303</v>
      </c>
      <c r="O449" t="str">
        <f>"RECEITAS COM ENTREGAS"</f>
        <v>RECEITAS COM ENTREGAS</v>
      </c>
      <c r="P449">
        <v>127.76</v>
      </c>
      <c r="S449" t="str">
        <f>"RECEITAS COM ENTREGAS (303)"</f>
        <v>RECEITAS COM ENTREGAS (303)</v>
      </c>
      <c r="T449">
        <v>3910</v>
      </c>
      <c r="U449">
        <v>3028</v>
      </c>
      <c r="V449" t="s">
        <v>36</v>
      </c>
    </row>
    <row r="450" spans="1:22">
      <c r="A450" t="str">
        <f t="shared" si="148"/>
        <v>11/12/2025</v>
      </c>
      <c r="B450" t="str">
        <f t="shared" si="154"/>
        <v>ENTRADA</v>
      </c>
      <c r="C450" t="str">
        <f t="shared" si="155"/>
        <v>NFSE</v>
      </c>
      <c r="D450" t="str">
        <f>"4016"</f>
        <v>4016</v>
      </c>
      <c r="E450" t="str">
        <f t="shared" si="156"/>
        <v>1</v>
      </c>
      <c r="F450" t="str">
        <f t="shared" si="157"/>
        <v>COM</v>
      </c>
      <c r="G450" t="str">
        <f>"DROGA HONDA (10149)"</f>
        <v>DROGA HONDA (10149)</v>
      </c>
      <c r="H450" t="s">
        <v>154</v>
      </c>
      <c r="I450" t="str">
        <f t="shared" si="152"/>
        <v>10/12/2025</v>
      </c>
      <c r="J450" t="str">
        <f t="shared" si="153"/>
        <v>09/12/2025</v>
      </c>
      <c r="K450">
        <v>46002</v>
      </c>
      <c r="N450">
        <v>303</v>
      </c>
      <c r="O450" t="s">
        <v>30</v>
      </c>
      <c r="Q450">
        <v>127.76</v>
      </c>
      <c r="R450" t="str">
        <f>"DROGA HONDA (10149)"</f>
        <v>DROGA HONDA (10149)</v>
      </c>
      <c r="S450" t="s">
        <v>31</v>
      </c>
      <c r="T450">
        <v>3910</v>
      </c>
      <c r="U450">
        <v>3028</v>
      </c>
      <c r="V450" t="s">
        <v>36</v>
      </c>
    </row>
    <row r="451" spans="1:22">
      <c r="A451" t="str">
        <f t="shared" si="148"/>
        <v>11/12/2025</v>
      </c>
      <c r="B451" t="str">
        <f t="shared" si="154"/>
        <v>ENTRADA</v>
      </c>
      <c r="C451" t="str">
        <f t="shared" si="155"/>
        <v>NFSE</v>
      </c>
      <c r="D451" t="str">
        <f>"4021"</f>
        <v>4021</v>
      </c>
      <c r="E451" t="str">
        <f t="shared" si="156"/>
        <v>1</v>
      </c>
      <c r="F451" t="str">
        <f t="shared" si="157"/>
        <v>COM</v>
      </c>
      <c r="G451" t="str">
        <f>"DROGARIA ISABELLA (10276)"</f>
        <v>DROGARIA ISABELLA (10276)</v>
      </c>
      <c r="H451" t="str">
        <f>"Serv.Prest. 01/12/2025 a 07/12/2025 - RPS: 1783 - NFSe: 4021"</f>
        <v>Serv.Prest. 01/12/2025 a 07/12/2025 - RPS: 1783 - NFSe: 4021</v>
      </c>
      <c r="I451" t="str">
        <f>("11/12/2025")</f>
        <v>11/12/2025</v>
      </c>
      <c r="J451" t="str">
        <f>("10/12/2025")</f>
        <v>10/12/2025</v>
      </c>
      <c r="K451" t="str">
        <f>("11/12/2025")</f>
        <v>11/12/2025</v>
      </c>
      <c r="L451">
        <v>165.6</v>
      </c>
      <c r="M451">
        <v>165.6</v>
      </c>
      <c r="N451">
        <v>303</v>
      </c>
      <c r="O451" t="str">
        <f>"RECEITAS COM ENTREGAS"</f>
        <v>RECEITAS COM ENTREGAS</v>
      </c>
      <c r="P451">
        <v>165.6</v>
      </c>
      <c r="S451" t="str">
        <f>"RECEITAS COM ENTREGAS (303)"</f>
        <v>RECEITAS COM ENTREGAS (303)</v>
      </c>
      <c r="T451">
        <v>3911</v>
      </c>
      <c r="U451">
        <v>3033</v>
      </c>
      <c r="V451" t="s">
        <v>36</v>
      </c>
    </row>
    <row r="452" spans="1:22">
      <c r="A452" t="str">
        <f t="shared" si="148"/>
        <v>11/12/2025</v>
      </c>
      <c r="B452" t="str">
        <f t="shared" si="154"/>
        <v>ENTRADA</v>
      </c>
      <c r="C452" t="str">
        <f t="shared" si="155"/>
        <v>NFSE</v>
      </c>
      <c r="D452" t="str">
        <f>"4021"</f>
        <v>4021</v>
      </c>
      <c r="E452" t="str">
        <f t="shared" si="156"/>
        <v>1</v>
      </c>
      <c r="F452" t="str">
        <f t="shared" si="157"/>
        <v>COM</v>
      </c>
      <c r="G452" t="str">
        <f>"DROGARIA ISABELLA (10276)"</f>
        <v>DROGARIA ISABELLA (10276)</v>
      </c>
      <c r="H452" t="s">
        <v>155</v>
      </c>
      <c r="I452" t="str">
        <f>("11/12/2025")</f>
        <v>11/12/2025</v>
      </c>
      <c r="J452" t="str">
        <f>("10/12/2025")</f>
        <v>10/12/2025</v>
      </c>
      <c r="K452">
        <v>46002</v>
      </c>
      <c r="N452">
        <v>303</v>
      </c>
      <c r="O452" t="s">
        <v>30</v>
      </c>
      <c r="Q452">
        <v>165.6</v>
      </c>
      <c r="R452" t="str">
        <f>"DROGARIA ISABELLA (10276)"</f>
        <v>DROGARIA ISABELLA (10276)</v>
      </c>
      <c r="S452" t="s">
        <v>31</v>
      </c>
      <c r="T452">
        <v>3911</v>
      </c>
      <c r="U452">
        <v>3033</v>
      </c>
      <c r="V452" t="s">
        <v>36</v>
      </c>
    </row>
    <row r="453" spans="1:22">
      <c r="A453" t="str">
        <f t="shared" ref="A453:A470" si="158">("12/12/2025")</f>
        <v>12/12/2025</v>
      </c>
      <c r="B453" t="str">
        <f>"SAÍDA"</f>
        <v>SAÍDA</v>
      </c>
      <c r="C453" t="str">
        <f>"PIX"</f>
        <v>PIX</v>
      </c>
      <c r="D453" t="str">
        <f>"12122025"</f>
        <v>12122025</v>
      </c>
      <c r="E453" t="str">
        <f>""</f>
        <v/>
      </c>
      <c r="F453" t="str">
        <f t="shared" si="157"/>
        <v>COM</v>
      </c>
      <c r="G453" t="str">
        <f>"CONTA SIMPLES SOLUCOES DE PAGAMENTOS LTDA (20019)"</f>
        <v>CONTA SIMPLES SOLUCOES DE PAGAMENTOS LTDA (20019)</v>
      </c>
      <c r="H453" t="str">
        <f>"MARKETING DIGITAL CHAVE PIX: 1d5b84cc-db31-469d-b8ee-076ced54c3e9"</f>
        <v>MARKETING DIGITAL CHAVE PIX: 1d5b84cc-db31-469d-b8ee-076ced54c3e9</v>
      </c>
      <c r="I453" t="str">
        <f>("12/12/2025")</f>
        <v>12/12/2025</v>
      </c>
      <c r="J453" t="str">
        <f>("12/12/2025")</f>
        <v>12/12/2025</v>
      </c>
      <c r="K453" t="str">
        <f>("12/12/2025")</f>
        <v>12/12/2025</v>
      </c>
      <c r="L453">
        <v>1500</v>
      </c>
      <c r="M453">
        <v>1500</v>
      </c>
      <c r="N453">
        <v>127</v>
      </c>
      <c r="O453" t="str">
        <f>"PUBLICIDADE E PROPAGANDAS"</f>
        <v>PUBLICIDADE E PROPAGANDAS</v>
      </c>
      <c r="P453">
        <v>1500</v>
      </c>
      <c r="S453" t="str">
        <f>"BANCO CORA (102)"</f>
        <v>BANCO CORA (102)</v>
      </c>
      <c r="T453">
        <v>3557</v>
      </c>
      <c r="U453">
        <v>3037</v>
      </c>
      <c r="V453" t="s">
        <v>22</v>
      </c>
    </row>
    <row r="454" spans="1:22">
      <c r="A454" t="str">
        <f t="shared" si="158"/>
        <v>12/12/2025</v>
      </c>
      <c r="B454" t="str">
        <f>"SAÍDA"</f>
        <v>SAÍDA</v>
      </c>
      <c r="C454" t="str">
        <f>"PIX"</f>
        <v>PIX</v>
      </c>
      <c r="D454" t="str">
        <f>"12122025"</f>
        <v>12122025</v>
      </c>
      <c r="E454" t="str">
        <f>""</f>
        <v/>
      </c>
      <c r="F454" t="str">
        <f t="shared" si="157"/>
        <v>COM</v>
      </c>
      <c r="G454" t="str">
        <f>"CONTA SIMPLES SOLUCOES DE PAGAMENTOS LTDA (20019)"</f>
        <v>CONTA SIMPLES SOLUCOES DE PAGAMENTOS LTDA (20019)</v>
      </c>
      <c r="H454" t="s">
        <v>156</v>
      </c>
      <c r="I454" t="str">
        <f>("12/12/2025")</f>
        <v>12/12/2025</v>
      </c>
      <c r="J454" t="str">
        <f>("12/12/2025")</f>
        <v>12/12/2025</v>
      </c>
      <c r="K454">
        <v>46003</v>
      </c>
      <c r="N454">
        <v>127</v>
      </c>
      <c r="O454" t="s">
        <v>24</v>
      </c>
      <c r="Q454">
        <v>1500</v>
      </c>
      <c r="R454" t="str">
        <f>"CONTA SIMPLES SOLUCOES DE PAGAMENTOS LTDA (20019)"</f>
        <v>CONTA SIMPLES SOLUCOES DE PAGAMENTOS LTDA (20019)</v>
      </c>
      <c r="S454" t="s">
        <v>22</v>
      </c>
      <c r="T454">
        <v>3557</v>
      </c>
      <c r="U454">
        <v>3037</v>
      </c>
      <c r="V454" t="s">
        <v>22</v>
      </c>
    </row>
    <row r="455" spans="1:22">
      <c r="A455" t="str">
        <f t="shared" si="158"/>
        <v>12/12/2025</v>
      </c>
      <c r="B455" t="str">
        <f t="shared" ref="B455:B470" si="159">"ENTRADA"</f>
        <v>ENTRADA</v>
      </c>
      <c r="C455" t="str">
        <f t="shared" ref="C455:C470" si="160">"NFSE"</f>
        <v>NFSE</v>
      </c>
      <c r="D455" t="str">
        <f>"3982"</f>
        <v>3982</v>
      </c>
      <c r="E455" t="str">
        <f t="shared" ref="E455:E470" si="161">"1"</f>
        <v>1</v>
      </c>
      <c r="F455" t="str">
        <f t="shared" si="157"/>
        <v>COM</v>
      </c>
      <c r="G455" t="str">
        <f>"DROGARIA POUPA MINAS (ULTRAMINAS) 3 (10129)"</f>
        <v>DROGARIA POUPA MINAS (ULTRAMINAS) 3 (10129)</v>
      </c>
      <c r="H455" t="str">
        <f>"Serv.Prest. 01/12/2025 a 07/12/2025 - RPS: 1744 - NFSe: 3982"</f>
        <v>Serv.Prest. 01/12/2025 a 07/12/2025 - RPS: 1744 - NFSe: 3982</v>
      </c>
      <c r="I455" t="str">
        <f t="shared" ref="I455:I470" si="162">("11/12/2025")</f>
        <v>11/12/2025</v>
      </c>
      <c r="J455" t="str">
        <f>("08/12/2025")</f>
        <v>08/12/2025</v>
      </c>
      <c r="K455" t="str">
        <f>("12/12/2025")</f>
        <v>12/12/2025</v>
      </c>
      <c r="L455">
        <v>171.6</v>
      </c>
      <c r="M455">
        <v>171.6</v>
      </c>
      <c r="N455">
        <v>303</v>
      </c>
      <c r="O455" t="str">
        <f>"RECEITAS COM ENTREGAS"</f>
        <v>RECEITAS COM ENTREGAS</v>
      </c>
      <c r="P455">
        <v>171.6</v>
      </c>
      <c r="S455" t="str">
        <f>"RECEITAS COM ENTREGAS (303)"</f>
        <v>RECEITAS COM ENTREGAS (303)</v>
      </c>
      <c r="T455">
        <v>3913</v>
      </c>
      <c r="U455">
        <v>2994</v>
      </c>
      <c r="V455" t="s">
        <v>36</v>
      </c>
    </row>
    <row r="456" spans="1:22">
      <c r="A456" t="str">
        <f t="shared" si="158"/>
        <v>12/12/2025</v>
      </c>
      <c r="B456" t="str">
        <f t="shared" si="159"/>
        <v>ENTRADA</v>
      </c>
      <c r="C456" t="str">
        <f t="shared" si="160"/>
        <v>NFSE</v>
      </c>
      <c r="D456" t="str">
        <f>"3982"</f>
        <v>3982</v>
      </c>
      <c r="E456" t="str">
        <f t="shared" si="161"/>
        <v>1</v>
      </c>
      <c r="F456" t="str">
        <f t="shared" si="157"/>
        <v>COM</v>
      </c>
      <c r="G456" t="str">
        <f>"DROGARIA POUPA MINAS (ULTRAMINAS) 3 (10129)"</f>
        <v>DROGARIA POUPA MINAS (ULTRAMINAS) 3 (10129)</v>
      </c>
      <c r="H456" t="s">
        <v>157</v>
      </c>
      <c r="I456" t="str">
        <f t="shared" si="162"/>
        <v>11/12/2025</v>
      </c>
      <c r="J456" t="str">
        <f>("08/12/2025")</f>
        <v>08/12/2025</v>
      </c>
      <c r="K456">
        <v>46003</v>
      </c>
      <c r="N456">
        <v>303</v>
      </c>
      <c r="O456" t="s">
        <v>30</v>
      </c>
      <c r="Q456">
        <v>171.6</v>
      </c>
      <c r="R456" t="str">
        <f>"DROGARIA POUPA MINAS (ULTRAMINAS) 3 (10129)"</f>
        <v>DROGARIA POUPA MINAS (ULTRAMINAS) 3 (10129)</v>
      </c>
      <c r="S456" t="s">
        <v>31</v>
      </c>
      <c r="T456">
        <v>3913</v>
      </c>
      <c r="U456">
        <v>2994</v>
      </c>
      <c r="V456" t="s">
        <v>36</v>
      </c>
    </row>
    <row r="457" spans="1:22">
      <c r="A457" t="str">
        <f t="shared" si="158"/>
        <v>12/12/2025</v>
      </c>
      <c r="B457" t="str">
        <f t="shared" si="159"/>
        <v>ENTRADA</v>
      </c>
      <c r="C457" t="str">
        <f t="shared" si="160"/>
        <v>NFSE</v>
      </c>
      <c r="D457" t="str">
        <f t="shared" ref="D457:D462" si="163">"4005"</f>
        <v>4005</v>
      </c>
      <c r="E457" t="str">
        <f t="shared" si="161"/>
        <v>1</v>
      </c>
      <c r="F457" t="str">
        <f t="shared" si="157"/>
        <v>COM</v>
      </c>
      <c r="G457" t="str">
        <f t="shared" ref="G457:G462" si="164">"DROGALIDER 25 (10246)"</f>
        <v>DROGALIDER 25 (10246)</v>
      </c>
      <c r="H457" t="str">
        <f>"Serv.Prest. 01/12/2025 a 07/12/2025 - RPS: 1767 - NFSe: 4005"</f>
        <v>Serv.Prest. 01/12/2025 a 07/12/2025 - RPS: 1767 - NFSe: 4005</v>
      </c>
      <c r="I457" t="str">
        <f t="shared" si="162"/>
        <v>11/12/2025</v>
      </c>
      <c r="J457" t="str">
        <f t="shared" ref="J457:J470" si="165">("09/12/2025")</f>
        <v>09/12/2025</v>
      </c>
      <c r="K457" t="str">
        <f>("12/12/2025")</f>
        <v>12/12/2025</v>
      </c>
      <c r="L457">
        <v>593</v>
      </c>
      <c r="M457">
        <v>593</v>
      </c>
      <c r="N457">
        <v>303</v>
      </c>
      <c r="O457" t="str">
        <f>"RECEITAS COM ENTREGAS"</f>
        <v>RECEITAS COM ENTREGAS</v>
      </c>
      <c r="P457">
        <v>593</v>
      </c>
      <c r="S457" t="str">
        <f>"RECEITAS COM ENTREGAS (303)"</f>
        <v>RECEITAS COM ENTREGAS (303)</v>
      </c>
      <c r="T457">
        <v>3914</v>
      </c>
      <c r="U457">
        <v>3017</v>
      </c>
      <c r="V457" t="s">
        <v>36</v>
      </c>
    </row>
    <row r="458" spans="1:22">
      <c r="A458" t="str">
        <f t="shared" si="158"/>
        <v>12/12/2025</v>
      </c>
      <c r="B458" t="str">
        <f t="shared" si="159"/>
        <v>ENTRADA</v>
      </c>
      <c r="C458" t="str">
        <f t="shared" si="160"/>
        <v>NFSE</v>
      </c>
      <c r="D458" t="str">
        <f t="shared" si="163"/>
        <v>4005</v>
      </c>
      <c r="E458" t="str">
        <f t="shared" si="161"/>
        <v>1</v>
      </c>
      <c r="F458" t="str">
        <f t="shared" si="157"/>
        <v>COM</v>
      </c>
      <c r="G458" t="str">
        <f t="shared" si="164"/>
        <v>DROGALIDER 25 (10246)</v>
      </c>
      <c r="H458" t="s">
        <v>158</v>
      </c>
      <c r="I458" t="str">
        <f t="shared" si="162"/>
        <v>11/12/2025</v>
      </c>
      <c r="J458" t="str">
        <f t="shared" si="165"/>
        <v>09/12/2025</v>
      </c>
      <c r="K458">
        <v>46003</v>
      </c>
      <c r="N458">
        <v>303</v>
      </c>
      <c r="O458" t="s">
        <v>30</v>
      </c>
      <c r="Q458">
        <v>84.98</v>
      </c>
      <c r="R458" t="str">
        <f>"DROGALIDER 58 (10213)"</f>
        <v>DROGALIDER 58 (10213)</v>
      </c>
      <c r="S458" t="s">
        <v>31</v>
      </c>
      <c r="T458">
        <v>3914</v>
      </c>
      <c r="U458">
        <v>3017</v>
      </c>
      <c r="V458" t="s">
        <v>36</v>
      </c>
    </row>
    <row r="459" spans="1:22">
      <c r="A459" t="str">
        <f t="shared" si="158"/>
        <v>12/12/2025</v>
      </c>
      <c r="B459" t="str">
        <f t="shared" si="159"/>
        <v>ENTRADA</v>
      </c>
      <c r="C459" t="str">
        <f t="shared" si="160"/>
        <v>NFSE</v>
      </c>
      <c r="D459" t="str">
        <f t="shared" si="163"/>
        <v>4005</v>
      </c>
      <c r="E459" t="str">
        <f t="shared" si="161"/>
        <v>1</v>
      </c>
      <c r="F459" t="str">
        <f t="shared" si="157"/>
        <v>COM</v>
      </c>
      <c r="G459" t="str">
        <f t="shared" si="164"/>
        <v>DROGALIDER 25 (10246)</v>
      </c>
      <c r="H459" t="s">
        <v>158</v>
      </c>
      <c r="I459" t="str">
        <f t="shared" si="162"/>
        <v>11/12/2025</v>
      </c>
      <c r="J459" t="str">
        <f t="shared" si="165"/>
        <v>09/12/2025</v>
      </c>
      <c r="K459">
        <v>46003</v>
      </c>
      <c r="N459">
        <v>303</v>
      </c>
      <c r="O459" t="s">
        <v>30</v>
      </c>
      <c r="Q459">
        <v>206.01</v>
      </c>
      <c r="R459" t="str">
        <f>"DROGALIDER 25 (10246)"</f>
        <v>DROGALIDER 25 (10246)</v>
      </c>
      <c r="S459" t="s">
        <v>31</v>
      </c>
      <c r="T459">
        <v>3914</v>
      </c>
      <c r="U459">
        <v>3017</v>
      </c>
      <c r="V459" t="s">
        <v>36</v>
      </c>
    </row>
    <row r="460" spans="1:22">
      <c r="A460" t="str">
        <f t="shared" si="158"/>
        <v>12/12/2025</v>
      </c>
      <c r="B460" t="str">
        <f t="shared" si="159"/>
        <v>ENTRADA</v>
      </c>
      <c r="C460" t="str">
        <f t="shared" si="160"/>
        <v>NFSE</v>
      </c>
      <c r="D460" t="str">
        <f t="shared" si="163"/>
        <v>4005</v>
      </c>
      <c r="E460" t="str">
        <f t="shared" si="161"/>
        <v>1</v>
      </c>
      <c r="F460" t="str">
        <f t="shared" si="157"/>
        <v>COM</v>
      </c>
      <c r="G460" t="str">
        <f t="shared" si="164"/>
        <v>DROGALIDER 25 (10246)</v>
      </c>
      <c r="H460" t="s">
        <v>158</v>
      </c>
      <c r="I460" t="str">
        <f t="shared" si="162"/>
        <v>11/12/2025</v>
      </c>
      <c r="J460" t="str">
        <f t="shared" si="165"/>
        <v>09/12/2025</v>
      </c>
      <c r="K460">
        <v>46003</v>
      </c>
      <c r="N460">
        <v>303</v>
      </c>
      <c r="O460" t="s">
        <v>30</v>
      </c>
      <c r="Q460">
        <v>149.02000000000001</v>
      </c>
      <c r="R460" t="str">
        <f>"DROGALIDER 46 (10248)"</f>
        <v>DROGALIDER 46 (10248)</v>
      </c>
      <c r="S460" t="s">
        <v>31</v>
      </c>
      <c r="T460">
        <v>3914</v>
      </c>
      <c r="U460">
        <v>3017</v>
      </c>
      <c r="V460" t="s">
        <v>36</v>
      </c>
    </row>
    <row r="461" spans="1:22">
      <c r="A461" t="str">
        <f t="shared" si="158"/>
        <v>12/12/2025</v>
      </c>
      <c r="B461" t="str">
        <f t="shared" si="159"/>
        <v>ENTRADA</v>
      </c>
      <c r="C461" t="str">
        <f t="shared" si="160"/>
        <v>NFSE</v>
      </c>
      <c r="D461" t="str">
        <f t="shared" si="163"/>
        <v>4005</v>
      </c>
      <c r="E461" t="str">
        <f t="shared" si="161"/>
        <v>1</v>
      </c>
      <c r="F461" t="str">
        <f t="shared" si="157"/>
        <v>COM</v>
      </c>
      <c r="G461" t="str">
        <f t="shared" si="164"/>
        <v>DROGALIDER 25 (10246)</v>
      </c>
      <c r="H461" t="s">
        <v>158</v>
      </c>
      <c r="I461" t="str">
        <f t="shared" si="162"/>
        <v>11/12/2025</v>
      </c>
      <c r="J461" t="str">
        <f t="shared" si="165"/>
        <v>09/12/2025</v>
      </c>
      <c r="K461">
        <v>46003</v>
      </c>
      <c r="N461">
        <v>303</v>
      </c>
      <c r="O461" t="s">
        <v>30</v>
      </c>
      <c r="Q461">
        <v>76.02</v>
      </c>
      <c r="R461" t="str">
        <f>"DROGALIDER 64 (10250)"</f>
        <v>DROGALIDER 64 (10250)</v>
      </c>
      <c r="S461" t="s">
        <v>31</v>
      </c>
      <c r="T461">
        <v>3914</v>
      </c>
      <c r="U461">
        <v>3017</v>
      </c>
      <c r="V461" t="s">
        <v>36</v>
      </c>
    </row>
    <row r="462" spans="1:22">
      <c r="A462" t="str">
        <f t="shared" si="158"/>
        <v>12/12/2025</v>
      </c>
      <c r="B462" t="str">
        <f t="shared" si="159"/>
        <v>ENTRADA</v>
      </c>
      <c r="C462" t="str">
        <f t="shared" si="160"/>
        <v>NFSE</v>
      </c>
      <c r="D462" t="str">
        <f t="shared" si="163"/>
        <v>4005</v>
      </c>
      <c r="E462" t="str">
        <f t="shared" si="161"/>
        <v>1</v>
      </c>
      <c r="F462" t="str">
        <f t="shared" si="157"/>
        <v>COM</v>
      </c>
      <c r="G462" t="str">
        <f t="shared" si="164"/>
        <v>DROGALIDER 25 (10246)</v>
      </c>
      <c r="H462" t="s">
        <v>158</v>
      </c>
      <c r="I462" t="str">
        <f t="shared" si="162"/>
        <v>11/12/2025</v>
      </c>
      <c r="J462" t="str">
        <f t="shared" si="165"/>
        <v>09/12/2025</v>
      </c>
      <c r="K462">
        <v>46003</v>
      </c>
      <c r="N462">
        <v>303</v>
      </c>
      <c r="O462" t="s">
        <v>30</v>
      </c>
      <c r="Q462">
        <v>76.97</v>
      </c>
      <c r="R462" t="str">
        <f>"DROGALIDER 66 (10251)"</f>
        <v>DROGALIDER 66 (10251)</v>
      </c>
      <c r="S462" t="s">
        <v>31</v>
      </c>
      <c r="T462">
        <v>3914</v>
      </c>
      <c r="U462">
        <v>3017</v>
      </c>
      <c r="V462" t="s">
        <v>36</v>
      </c>
    </row>
    <row r="463" spans="1:22">
      <c r="A463" t="str">
        <f t="shared" si="158"/>
        <v>12/12/2025</v>
      </c>
      <c r="B463" t="str">
        <f t="shared" si="159"/>
        <v>ENTRADA</v>
      </c>
      <c r="C463" t="str">
        <f t="shared" si="160"/>
        <v>NFSE</v>
      </c>
      <c r="D463" t="str">
        <f t="shared" ref="D463:D468" si="166">"4006"</f>
        <v>4006</v>
      </c>
      <c r="E463" t="str">
        <f t="shared" si="161"/>
        <v>1</v>
      </c>
      <c r="F463" t="str">
        <f t="shared" si="157"/>
        <v>COM</v>
      </c>
      <c r="G463" t="str">
        <f t="shared" ref="G463:G468" si="167">"DROGALIDER 31 (10256)"</f>
        <v>DROGALIDER 31 (10256)</v>
      </c>
      <c r="H463" t="str">
        <f>"Serv.Prest. 01/12/2025 a 07/12/2025 - RPS: 1768 - NFSe: 4006"</f>
        <v>Serv.Prest. 01/12/2025 a 07/12/2025 - RPS: 1768 - NFSe: 4006</v>
      </c>
      <c r="I463" t="str">
        <f t="shared" si="162"/>
        <v>11/12/2025</v>
      </c>
      <c r="J463" t="str">
        <f t="shared" si="165"/>
        <v>09/12/2025</v>
      </c>
      <c r="K463" t="str">
        <f>("12/12/2025")</f>
        <v>12/12/2025</v>
      </c>
      <c r="L463">
        <v>600</v>
      </c>
      <c r="M463">
        <v>600</v>
      </c>
      <c r="N463">
        <v>303</v>
      </c>
      <c r="O463" t="str">
        <f>"RECEITAS COM ENTREGAS"</f>
        <v>RECEITAS COM ENTREGAS</v>
      </c>
      <c r="P463">
        <v>600</v>
      </c>
      <c r="S463" t="str">
        <f>"RECEITAS COM ENTREGAS (303)"</f>
        <v>RECEITAS COM ENTREGAS (303)</v>
      </c>
      <c r="T463">
        <v>3915</v>
      </c>
      <c r="U463">
        <v>3018</v>
      </c>
      <c r="V463" t="s">
        <v>36</v>
      </c>
    </row>
    <row r="464" spans="1:22">
      <c r="A464" t="str">
        <f t="shared" si="158"/>
        <v>12/12/2025</v>
      </c>
      <c r="B464" t="str">
        <f t="shared" si="159"/>
        <v>ENTRADA</v>
      </c>
      <c r="C464" t="str">
        <f t="shared" si="160"/>
        <v>NFSE</v>
      </c>
      <c r="D464" t="str">
        <f t="shared" si="166"/>
        <v>4006</v>
      </c>
      <c r="E464" t="str">
        <f t="shared" si="161"/>
        <v>1</v>
      </c>
      <c r="F464" t="str">
        <f t="shared" si="157"/>
        <v>COM</v>
      </c>
      <c r="G464" t="str">
        <f t="shared" si="167"/>
        <v>DROGALIDER 31 (10256)</v>
      </c>
      <c r="H464" t="s">
        <v>159</v>
      </c>
      <c r="I464" t="str">
        <f t="shared" si="162"/>
        <v>11/12/2025</v>
      </c>
      <c r="J464" t="str">
        <f t="shared" si="165"/>
        <v>09/12/2025</v>
      </c>
      <c r="K464">
        <v>46003</v>
      </c>
      <c r="N464">
        <v>303</v>
      </c>
      <c r="O464" t="s">
        <v>30</v>
      </c>
      <c r="Q464">
        <v>108.78</v>
      </c>
      <c r="R464" t="str">
        <f>"DROGALIDER 42 (10247)"</f>
        <v>DROGALIDER 42 (10247)</v>
      </c>
      <c r="S464" t="s">
        <v>31</v>
      </c>
      <c r="T464">
        <v>3915</v>
      </c>
      <c r="U464">
        <v>3018</v>
      </c>
      <c r="V464" t="s">
        <v>36</v>
      </c>
    </row>
    <row r="465" spans="1:22">
      <c r="A465" t="str">
        <f t="shared" si="158"/>
        <v>12/12/2025</v>
      </c>
      <c r="B465" t="str">
        <f t="shared" si="159"/>
        <v>ENTRADA</v>
      </c>
      <c r="C465" t="str">
        <f t="shared" si="160"/>
        <v>NFSE</v>
      </c>
      <c r="D465" t="str">
        <f t="shared" si="166"/>
        <v>4006</v>
      </c>
      <c r="E465" t="str">
        <f t="shared" si="161"/>
        <v>1</v>
      </c>
      <c r="F465" t="str">
        <f t="shared" si="157"/>
        <v>COM</v>
      </c>
      <c r="G465" t="str">
        <f t="shared" si="167"/>
        <v>DROGALIDER 31 (10256)</v>
      </c>
      <c r="H465" t="s">
        <v>159</v>
      </c>
      <c r="I465" t="str">
        <f t="shared" si="162"/>
        <v>11/12/2025</v>
      </c>
      <c r="J465" t="str">
        <f t="shared" si="165"/>
        <v>09/12/2025</v>
      </c>
      <c r="K465">
        <v>46003</v>
      </c>
      <c r="N465">
        <v>303</v>
      </c>
      <c r="O465" t="s">
        <v>30</v>
      </c>
      <c r="Q465">
        <v>108.78</v>
      </c>
      <c r="R465" t="str">
        <f>"DROGALIDER 55 (10249)"</f>
        <v>DROGALIDER 55 (10249)</v>
      </c>
      <c r="S465" t="s">
        <v>31</v>
      </c>
      <c r="T465">
        <v>3915</v>
      </c>
      <c r="U465">
        <v>3018</v>
      </c>
      <c r="V465" t="s">
        <v>36</v>
      </c>
    </row>
    <row r="466" spans="1:22">
      <c r="A466" t="str">
        <f t="shared" si="158"/>
        <v>12/12/2025</v>
      </c>
      <c r="B466" t="str">
        <f t="shared" si="159"/>
        <v>ENTRADA</v>
      </c>
      <c r="C466" t="str">
        <f t="shared" si="160"/>
        <v>NFSE</v>
      </c>
      <c r="D466" t="str">
        <f t="shared" si="166"/>
        <v>4006</v>
      </c>
      <c r="E466" t="str">
        <f t="shared" si="161"/>
        <v>1</v>
      </c>
      <c r="F466" t="str">
        <f t="shared" si="157"/>
        <v>COM</v>
      </c>
      <c r="G466" t="str">
        <f t="shared" si="167"/>
        <v>DROGALIDER 31 (10256)</v>
      </c>
      <c r="H466" t="s">
        <v>159</v>
      </c>
      <c r="I466" t="str">
        <f t="shared" si="162"/>
        <v>11/12/2025</v>
      </c>
      <c r="J466" t="str">
        <f t="shared" si="165"/>
        <v>09/12/2025</v>
      </c>
      <c r="K466">
        <v>46003</v>
      </c>
      <c r="N466">
        <v>303</v>
      </c>
      <c r="O466" t="s">
        <v>30</v>
      </c>
      <c r="Q466">
        <v>108.78</v>
      </c>
      <c r="R466" t="str">
        <f>"DROGALIDER 67 (10252)"</f>
        <v>DROGALIDER 67 (10252)</v>
      </c>
      <c r="S466" t="s">
        <v>31</v>
      </c>
      <c r="T466">
        <v>3915</v>
      </c>
      <c r="U466">
        <v>3018</v>
      </c>
      <c r="V466" t="s">
        <v>36</v>
      </c>
    </row>
    <row r="467" spans="1:22">
      <c r="A467" t="str">
        <f t="shared" si="158"/>
        <v>12/12/2025</v>
      </c>
      <c r="B467" t="str">
        <f t="shared" si="159"/>
        <v>ENTRADA</v>
      </c>
      <c r="C467" t="str">
        <f t="shared" si="160"/>
        <v>NFSE</v>
      </c>
      <c r="D467" t="str">
        <f t="shared" si="166"/>
        <v>4006</v>
      </c>
      <c r="E467" t="str">
        <f t="shared" si="161"/>
        <v>1</v>
      </c>
      <c r="F467" t="str">
        <f t="shared" si="157"/>
        <v>COM</v>
      </c>
      <c r="G467" t="str">
        <f t="shared" si="167"/>
        <v>DROGALIDER 31 (10256)</v>
      </c>
      <c r="H467" t="s">
        <v>159</v>
      </c>
      <c r="I467" t="str">
        <f t="shared" si="162"/>
        <v>11/12/2025</v>
      </c>
      <c r="J467" t="str">
        <f t="shared" si="165"/>
        <v>09/12/2025</v>
      </c>
      <c r="K467">
        <v>46003</v>
      </c>
      <c r="N467">
        <v>303</v>
      </c>
      <c r="O467" t="s">
        <v>30</v>
      </c>
      <c r="Q467">
        <v>99.78</v>
      </c>
      <c r="R467" t="str">
        <f>"DROGALIDER 68 (10253)"</f>
        <v>DROGALIDER 68 (10253)</v>
      </c>
      <c r="S467" t="s">
        <v>31</v>
      </c>
      <c r="T467">
        <v>3915</v>
      </c>
      <c r="U467">
        <v>3018</v>
      </c>
      <c r="V467" t="s">
        <v>36</v>
      </c>
    </row>
    <row r="468" spans="1:22">
      <c r="A468" t="str">
        <f t="shared" si="158"/>
        <v>12/12/2025</v>
      </c>
      <c r="B468" t="str">
        <f t="shared" si="159"/>
        <v>ENTRADA</v>
      </c>
      <c r="C468" t="str">
        <f t="shared" si="160"/>
        <v>NFSE</v>
      </c>
      <c r="D468" t="str">
        <f t="shared" si="166"/>
        <v>4006</v>
      </c>
      <c r="E468" t="str">
        <f t="shared" si="161"/>
        <v>1</v>
      </c>
      <c r="F468" t="str">
        <f t="shared" si="157"/>
        <v>COM</v>
      </c>
      <c r="G468" t="str">
        <f t="shared" si="167"/>
        <v>DROGALIDER 31 (10256)</v>
      </c>
      <c r="H468" t="s">
        <v>159</v>
      </c>
      <c r="I468" t="str">
        <f t="shared" si="162"/>
        <v>11/12/2025</v>
      </c>
      <c r="J468" t="str">
        <f t="shared" si="165"/>
        <v>09/12/2025</v>
      </c>
      <c r="K468">
        <v>46003</v>
      </c>
      <c r="N468">
        <v>303</v>
      </c>
      <c r="O468" t="s">
        <v>30</v>
      </c>
      <c r="Q468">
        <v>173.88</v>
      </c>
      <c r="R468" t="str">
        <f>"DROGALIDER 31 (10256)"</f>
        <v>DROGALIDER 31 (10256)</v>
      </c>
      <c r="S468" t="s">
        <v>31</v>
      </c>
      <c r="T468">
        <v>3915</v>
      </c>
      <c r="U468">
        <v>3018</v>
      </c>
      <c r="V468" t="s">
        <v>36</v>
      </c>
    </row>
    <row r="469" spans="1:22">
      <c r="A469" t="str">
        <f t="shared" si="158"/>
        <v>12/12/2025</v>
      </c>
      <c r="B469" t="str">
        <f t="shared" si="159"/>
        <v>ENTRADA</v>
      </c>
      <c r="C469" t="str">
        <f t="shared" si="160"/>
        <v>NFSE</v>
      </c>
      <c r="D469" t="str">
        <f>"4010"</f>
        <v>4010</v>
      </c>
      <c r="E469" t="str">
        <f t="shared" si="161"/>
        <v>1</v>
      </c>
      <c r="F469" t="str">
        <f t="shared" si="157"/>
        <v>COM</v>
      </c>
      <c r="G469" t="str">
        <f>"DROGARIA POUPA MINAS (DOIS AMIGOS) 5 (10140)"</f>
        <v>DROGARIA POUPA MINAS (DOIS AMIGOS) 5 (10140)</v>
      </c>
      <c r="H469" t="str">
        <f>"Serv.Prest. 01/12/2025 a 07/12/2025 - RPS: 1772 - NFSe: 4010"</f>
        <v>Serv.Prest. 01/12/2025 a 07/12/2025 - RPS: 1772 - NFSe: 4010</v>
      </c>
      <c r="I469" t="str">
        <f t="shared" si="162"/>
        <v>11/12/2025</v>
      </c>
      <c r="J469" t="str">
        <f t="shared" si="165"/>
        <v>09/12/2025</v>
      </c>
      <c r="K469" t="str">
        <f>("12/12/2025")</f>
        <v>12/12/2025</v>
      </c>
      <c r="L469">
        <v>787.95</v>
      </c>
      <c r="M469">
        <v>787.95</v>
      </c>
      <c r="N469">
        <v>303</v>
      </c>
      <c r="O469" t="str">
        <f>"RECEITAS COM ENTREGAS"</f>
        <v>RECEITAS COM ENTREGAS</v>
      </c>
      <c r="P469">
        <v>787.95</v>
      </c>
      <c r="S469" t="str">
        <f>"RECEITAS COM ENTREGAS (303)"</f>
        <v>RECEITAS COM ENTREGAS (303)</v>
      </c>
      <c r="T469">
        <v>3916</v>
      </c>
      <c r="U469">
        <v>3022</v>
      </c>
      <c r="V469" t="s">
        <v>36</v>
      </c>
    </row>
    <row r="470" spans="1:22">
      <c r="A470" t="str">
        <f t="shared" si="158"/>
        <v>12/12/2025</v>
      </c>
      <c r="B470" t="str">
        <f t="shared" si="159"/>
        <v>ENTRADA</v>
      </c>
      <c r="C470" t="str">
        <f t="shared" si="160"/>
        <v>NFSE</v>
      </c>
      <c r="D470" t="str">
        <f>"4010"</f>
        <v>4010</v>
      </c>
      <c r="E470" t="str">
        <f t="shared" si="161"/>
        <v>1</v>
      </c>
      <c r="F470" t="str">
        <f t="shared" si="157"/>
        <v>COM</v>
      </c>
      <c r="G470" t="str">
        <f>"DROGARIA POUPA MINAS (DOIS AMIGOS) 5 (10140)"</f>
        <v>DROGARIA POUPA MINAS (DOIS AMIGOS) 5 (10140)</v>
      </c>
      <c r="H470" t="s">
        <v>160</v>
      </c>
      <c r="I470" t="str">
        <f t="shared" si="162"/>
        <v>11/12/2025</v>
      </c>
      <c r="J470" t="str">
        <f t="shared" si="165"/>
        <v>09/12/2025</v>
      </c>
      <c r="K470">
        <v>46003</v>
      </c>
      <c r="N470">
        <v>303</v>
      </c>
      <c r="O470" t="s">
        <v>30</v>
      </c>
      <c r="Q470">
        <v>787.95</v>
      </c>
      <c r="R470" t="str">
        <f>"DROGARIA POUPA MINAS (ULTRAMINAS) 1 (10181)"</f>
        <v>DROGARIA POUPA MINAS (ULTRAMINAS) 1 (10181)</v>
      </c>
      <c r="S470" t="s">
        <v>31</v>
      </c>
      <c r="T470">
        <v>3916</v>
      </c>
      <c r="U470">
        <v>3022</v>
      </c>
      <c r="V470" t="s">
        <v>36</v>
      </c>
    </row>
    <row r="471" spans="1:22">
      <c r="A471" t="str">
        <f t="shared" ref="A471:A481" si="168">("15/12/2025")</f>
        <v>15/12/2025</v>
      </c>
      <c r="B471" t="str">
        <f>"SAÍDA"</f>
        <v>SAÍDA</v>
      </c>
      <c r="C471" t="str">
        <f>"BOLETO"</f>
        <v>BOLETO</v>
      </c>
      <c r="D471" t="str">
        <f>"15122025"</f>
        <v>15122025</v>
      </c>
      <c r="E471" t="str">
        <f>""</f>
        <v/>
      </c>
      <c r="F471" t="str">
        <f t="shared" si="157"/>
        <v>COM</v>
      </c>
      <c r="G471" t="str">
        <f>"LOCALIZA RENT A CAR SA (20068)"</f>
        <v>LOCALIZA RENT A CAR SA (20068)</v>
      </c>
      <c r="H471" t="str">
        <f>"ALUGUEL DE CARRO PARA VIAGEM LEME SP"</f>
        <v>ALUGUEL DE CARRO PARA VIAGEM LEME SP</v>
      </c>
      <c r="I471" t="str">
        <f t="shared" ref="I471:I479" si="169">("15/12/2025")</f>
        <v>15/12/2025</v>
      </c>
      <c r="J471" t="str">
        <f>("11/11/2025")</f>
        <v>11/11/2025</v>
      </c>
      <c r="K471" t="str">
        <f>("15/12/2025")</f>
        <v>15/12/2025</v>
      </c>
      <c r="L471">
        <v>308.27</v>
      </c>
      <c r="M471">
        <v>328.68</v>
      </c>
      <c r="N471">
        <v>128</v>
      </c>
      <c r="O471" t="str">
        <f>"DESPESAS COM VIAGENS"</f>
        <v>DESPESAS COM VIAGENS</v>
      </c>
      <c r="P471">
        <v>328.68</v>
      </c>
      <c r="S471" t="str">
        <f>"BANCO CORA (102)"</f>
        <v>BANCO CORA (102)</v>
      </c>
      <c r="T471">
        <v>3558</v>
      </c>
      <c r="U471">
        <v>3038</v>
      </c>
      <c r="V471" t="s">
        <v>22</v>
      </c>
    </row>
    <row r="472" spans="1:22">
      <c r="A472" t="str">
        <f t="shared" si="168"/>
        <v>15/12/2025</v>
      </c>
      <c r="B472" t="str">
        <f>"SAÍDA"</f>
        <v>SAÍDA</v>
      </c>
      <c r="C472" t="str">
        <f>"BOLETO"</f>
        <v>BOLETO</v>
      </c>
      <c r="D472" t="str">
        <f>"15122025"</f>
        <v>15122025</v>
      </c>
      <c r="E472" t="str">
        <f>""</f>
        <v/>
      </c>
      <c r="F472" t="str">
        <f t="shared" si="157"/>
        <v>COM</v>
      </c>
      <c r="G472" t="str">
        <f>"LOCALIZA RENT A CAR SA (20068)"</f>
        <v>LOCALIZA RENT A CAR SA (20068)</v>
      </c>
      <c r="H472" t="s">
        <v>161</v>
      </c>
      <c r="I472" t="str">
        <f t="shared" si="169"/>
        <v>15/12/2025</v>
      </c>
      <c r="J472" t="str">
        <f>("11/11/2025")</f>
        <v>11/11/2025</v>
      </c>
      <c r="K472">
        <v>46006</v>
      </c>
      <c r="N472">
        <v>128</v>
      </c>
      <c r="O472" t="s">
        <v>26</v>
      </c>
      <c r="Q472">
        <v>328.68</v>
      </c>
      <c r="R472" t="str">
        <f>"LOCALIZA RENT A CAR SA (20068)"</f>
        <v>LOCALIZA RENT A CAR SA (20068)</v>
      </c>
      <c r="S472" t="s">
        <v>22</v>
      </c>
      <c r="T472">
        <v>3558</v>
      </c>
      <c r="U472">
        <v>3038</v>
      </c>
      <c r="V472" t="s">
        <v>22</v>
      </c>
    </row>
    <row r="473" spans="1:22">
      <c r="A473" t="str">
        <f t="shared" si="168"/>
        <v>15/12/2025</v>
      </c>
      <c r="B473" t="str">
        <f>"SAÍDA"</f>
        <v>SAÍDA</v>
      </c>
      <c r="C473" t="str">
        <f>"BOLETO"</f>
        <v>BOLETO</v>
      </c>
      <c r="D473" t="str">
        <f>"15122025"</f>
        <v>15122025</v>
      </c>
      <c r="E473" t="str">
        <f>"2"</f>
        <v>2</v>
      </c>
      <c r="F473" t="str">
        <f t="shared" si="157"/>
        <v>COM</v>
      </c>
      <c r="G473" t="str">
        <f>"LOCALIZA RENT A CAR SA (20068)"</f>
        <v>LOCALIZA RENT A CAR SA (20068)</v>
      </c>
      <c r="H473" t="str">
        <f>"ALUGUEL DE CARRO PARA VIAGEM JUIZ DE FORA "</f>
        <v xml:space="preserve">ALUGUEL DE CARRO PARA VIAGEM JUIZ DE FORA </v>
      </c>
      <c r="I473" t="str">
        <f t="shared" si="169"/>
        <v>15/12/2025</v>
      </c>
      <c r="J473" t="str">
        <f>("11/11/2025")</f>
        <v>11/11/2025</v>
      </c>
      <c r="K473" t="str">
        <f>("15/12/2025")</f>
        <v>15/12/2025</v>
      </c>
      <c r="L473">
        <v>1632.79</v>
      </c>
      <c r="M473">
        <v>1743.58</v>
      </c>
      <c r="N473">
        <v>128</v>
      </c>
      <c r="O473" t="str">
        <f>"DESPESAS COM VIAGENS"</f>
        <v>DESPESAS COM VIAGENS</v>
      </c>
      <c r="P473">
        <v>1743.58</v>
      </c>
      <c r="S473" t="str">
        <f>"BANCO CORA (102)"</f>
        <v>BANCO CORA (102)</v>
      </c>
      <c r="T473">
        <v>3559</v>
      </c>
      <c r="U473">
        <v>3039</v>
      </c>
      <c r="V473" t="s">
        <v>22</v>
      </c>
    </row>
    <row r="474" spans="1:22">
      <c r="A474" t="str">
        <f t="shared" si="168"/>
        <v>15/12/2025</v>
      </c>
      <c r="B474" t="str">
        <f>"SAÍDA"</f>
        <v>SAÍDA</v>
      </c>
      <c r="C474" t="str">
        <f>"BOLETO"</f>
        <v>BOLETO</v>
      </c>
      <c r="D474" t="str">
        <f>"15122025"</f>
        <v>15122025</v>
      </c>
      <c r="E474" t="str">
        <f>"2"</f>
        <v>2</v>
      </c>
      <c r="F474" t="str">
        <f t="shared" si="157"/>
        <v>COM</v>
      </c>
      <c r="G474" t="str">
        <f>"LOCALIZA RENT A CAR SA (20068)"</f>
        <v>LOCALIZA RENT A CAR SA (20068)</v>
      </c>
      <c r="H474" t="s">
        <v>162</v>
      </c>
      <c r="I474" t="str">
        <f t="shared" si="169"/>
        <v>15/12/2025</v>
      </c>
      <c r="J474" t="str">
        <f>("11/11/2025")</f>
        <v>11/11/2025</v>
      </c>
      <c r="K474">
        <v>46006</v>
      </c>
      <c r="N474">
        <v>128</v>
      </c>
      <c r="O474" t="s">
        <v>26</v>
      </c>
      <c r="Q474">
        <v>1743.58</v>
      </c>
      <c r="R474" t="str">
        <f>"LOCALIZA RENT A CAR SA (20068)"</f>
        <v>LOCALIZA RENT A CAR SA (20068)</v>
      </c>
      <c r="S474" t="s">
        <v>22</v>
      </c>
      <c r="T474">
        <v>3559</v>
      </c>
      <c r="U474">
        <v>3039</v>
      </c>
      <c r="V474" t="s">
        <v>22</v>
      </c>
    </row>
    <row r="475" spans="1:22">
      <c r="A475" t="str">
        <f t="shared" si="168"/>
        <v>15/12/2025</v>
      </c>
      <c r="B475" t="str">
        <f>"SAÍDA"</f>
        <v>SAÍDA</v>
      </c>
      <c r="C475" t="str">
        <f>"TRANSFERENCIA"</f>
        <v>TRANSFERENCIA</v>
      </c>
      <c r="D475" t="str">
        <f>""</f>
        <v/>
      </c>
      <c r="F475" t="str">
        <f>"TRF"</f>
        <v>TRF</v>
      </c>
      <c r="G475" t="str">
        <f>""</f>
        <v/>
      </c>
      <c r="H475" t="str">
        <f>"AJUDA DE MOVIMENTAÇÃO DE CAIXA (102-&gt;120)"</f>
        <v>AJUDA DE MOVIMENTAÇÃO DE CAIXA (102-&gt;120)</v>
      </c>
      <c r="I475" t="str">
        <f t="shared" si="169"/>
        <v>15/12/2025</v>
      </c>
      <c r="J475" t="str">
        <f t="shared" ref="J475:K477" si="170">("15/12/2025")</f>
        <v>15/12/2025</v>
      </c>
      <c r="K475" t="str">
        <f t="shared" si="170"/>
        <v>15/12/2025</v>
      </c>
      <c r="N475">
        <v>102</v>
      </c>
      <c r="O475" t="str">
        <f>"BANCO CORA"</f>
        <v>BANCO CORA</v>
      </c>
      <c r="P475">
        <v>23500</v>
      </c>
      <c r="S475" t="str">
        <f>"BANCO CORA (102)"</f>
        <v>BANCO CORA (102)</v>
      </c>
      <c r="T475">
        <v>3561</v>
      </c>
      <c r="U475">
        <v>0</v>
      </c>
      <c r="V475" t="s">
        <v>22</v>
      </c>
    </row>
    <row r="476" spans="1:22">
      <c r="A476" t="str">
        <f t="shared" si="168"/>
        <v>15/12/2025</v>
      </c>
      <c r="B476" t="str">
        <f>"ENTRADA"</f>
        <v>ENTRADA</v>
      </c>
      <c r="C476" t="str">
        <f>"TRANSFERENCIA"</f>
        <v>TRANSFERENCIA</v>
      </c>
      <c r="D476" t="str">
        <f>""</f>
        <v/>
      </c>
      <c r="F476" t="str">
        <f>"TRF"</f>
        <v>TRF</v>
      </c>
      <c r="G476" t="str">
        <f>""</f>
        <v/>
      </c>
      <c r="H476" t="str">
        <f>"AJUDA DE MOVIMENTAÇÃO DE CAIXA (102-&gt;120)"</f>
        <v>AJUDA DE MOVIMENTAÇÃO DE CAIXA (102-&gt;120)</v>
      </c>
      <c r="I476" t="str">
        <f t="shared" si="169"/>
        <v>15/12/2025</v>
      </c>
      <c r="J476" t="str">
        <f t="shared" si="170"/>
        <v>15/12/2025</v>
      </c>
      <c r="K476" t="str">
        <f t="shared" si="170"/>
        <v>15/12/2025</v>
      </c>
      <c r="N476">
        <v>120</v>
      </c>
      <c r="O476" t="str">
        <f>"CAIXA - COOPERATIVA"</f>
        <v>CAIXA - COOPERATIVA</v>
      </c>
      <c r="S476" t="str">
        <f>"CAIXA - COOPERATIVA (120)"</f>
        <v>CAIXA - COOPERATIVA (120)</v>
      </c>
      <c r="T476">
        <v>3561</v>
      </c>
      <c r="U476">
        <v>0</v>
      </c>
      <c r="V476" t="s">
        <v>163</v>
      </c>
    </row>
    <row r="477" spans="1:22">
      <c r="A477" t="str">
        <f t="shared" si="168"/>
        <v>15/12/2025</v>
      </c>
      <c r="B477" t="str">
        <f>"SAÍDA"</f>
        <v>SAÍDA</v>
      </c>
      <c r="C477" t="str">
        <f>"PIX"</f>
        <v>PIX</v>
      </c>
      <c r="D477" t="str">
        <f>"15122025"</f>
        <v>15122025</v>
      </c>
      <c r="E477" t="str">
        <f>""</f>
        <v/>
      </c>
      <c r="F477" t="str">
        <f>"COM"</f>
        <v>COM</v>
      </c>
      <c r="G477" t="str">
        <f>"LILIANE DE FATIMA REZENDE JUSTINO (20013)"</f>
        <v>LILIANE DE FATIMA REZENDE JUSTINO (20013)</v>
      </c>
      <c r="H477" t="str">
        <f>"DESPESAS COM VIAGEM SÃO PAULO"</f>
        <v>DESPESAS COM VIAGEM SÃO PAULO</v>
      </c>
      <c r="I477" t="str">
        <f t="shared" si="169"/>
        <v>15/12/2025</v>
      </c>
      <c r="J477" t="str">
        <f t="shared" si="170"/>
        <v>15/12/2025</v>
      </c>
      <c r="K477" t="str">
        <f t="shared" si="170"/>
        <v>15/12/2025</v>
      </c>
      <c r="L477">
        <v>600</v>
      </c>
      <c r="M477">
        <v>600</v>
      </c>
      <c r="N477">
        <v>128</v>
      </c>
      <c r="O477" t="str">
        <f>"DESPESAS COM VIAGENS"</f>
        <v>DESPESAS COM VIAGENS</v>
      </c>
      <c r="P477">
        <v>600</v>
      </c>
      <c r="S477" t="str">
        <f>"BANCO CORA (102)"</f>
        <v>BANCO CORA (102)</v>
      </c>
      <c r="T477">
        <v>3562</v>
      </c>
      <c r="U477">
        <v>3087</v>
      </c>
      <c r="V477" t="s">
        <v>22</v>
      </c>
    </row>
    <row r="478" spans="1:22">
      <c r="A478" t="str">
        <f t="shared" si="168"/>
        <v>15/12/2025</v>
      </c>
      <c r="B478" t="str">
        <f>"SAÍDA"</f>
        <v>SAÍDA</v>
      </c>
      <c r="C478" t="str">
        <f>"PIX"</f>
        <v>PIX</v>
      </c>
      <c r="D478" t="str">
        <f>"15122025"</f>
        <v>15122025</v>
      </c>
      <c r="E478" t="str">
        <f>""</f>
        <v/>
      </c>
      <c r="F478" t="str">
        <f>"COM"</f>
        <v>COM</v>
      </c>
      <c r="G478" t="str">
        <f>"LILIANE DE FATIMA REZENDE JUSTINO (20013)"</f>
        <v>LILIANE DE FATIMA REZENDE JUSTINO (20013)</v>
      </c>
      <c r="H478" t="s">
        <v>164</v>
      </c>
      <c r="I478" t="str">
        <f t="shared" si="169"/>
        <v>15/12/2025</v>
      </c>
      <c r="J478" t="str">
        <f>("15/12/2025")</f>
        <v>15/12/2025</v>
      </c>
      <c r="K478">
        <v>46006</v>
      </c>
      <c r="N478">
        <v>128</v>
      </c>
      <c r="O478" t="s">
        <v>26</v>
      </c>
      <c r="Q478">
        <v>600</v>
      </c>
      <c r="R478" t="str">
        <f>"LILIANE DE FATIMA REZENDE JUSTINO (20013)"</f>
        <v>LILIANE DE FATIMA REZENDE JUSTINO (20013)</v>
      </c>
      <c r="S478" t="s">
        <v>22</v>
      </c>
      <c r="T478">
        <v>3562</v>
      </c>
      <c r="U478">
        <v>3087</v>
      </c>
      <c r="V478" t="s">
        <v>22</v>
      </c>
    </row>
    <row r="479" spans="1:22">
      <c r="A479" t="str">
        <f t="shared" si="168"/>
        <v>15/12/2025</v>
      </c>
      <c r="B479" t="str">
        <f>"SAÍDA"</f>
        <v>SAÍDA</v>
      </c>
      <c r="C479" t="str">
        <f>"JUROS"</f>
        <v>JUROS</v>
      </c>
      <c r="D479" t="str">
        <f>""</f>
        <v/>
      </c>
      <c r="F479" t="str">
        <f>"CXA"</f>
        <v>CXA</v>
      </c>
      <c r="G479" t="str">
        <f>""</f>
        <v/>
      </c>
      <c r="H479" t="str">
        <f>"TARIFA SERV.COBR.TITULOS"</f>
        <v>TARIFA SERV.COBR.TITULOS</v>
      </c>
      <c r="I479" t="str">
        <f t="shared" si="169"/>
        <v>15/12/2025</v>
      </c>
      <c r="J479" t="str">
        <f>("15/12/2025")</f>
        <v>15/12/2025</v>
      </c>
      <c r="K479" t="str">
        <f>("15/12/2025")</f>
        <v>15/12/2025</v>
      </c>
      <c r="L479">
        <v>54.21</v>
      </c>
      <c r="M479">
        <v>54.21</v>
      </c>
      <c r="N479">
        <v>401</v>
      </c>
      <c r="O479" t="str">
        <f>"IOF/JUROS/DESP.FINANCEIRA"</f>
        <v>IOF/JUROS/DESP.FINANCEIRA</v>
      </c>
      <c r="P479">
        <v>54.21</v>
      </c>
      <c r="S479" t="str">
        <f>"BANCO SICREDI (131)"</f>
        <v>BANCO SICREDI (131)</v>
      </c>
      <c r="T479">
        <v>3745</v>
      </c>
      <c r="U479">
        <v>0</v>
      </c>
      <c r="V479" t="s">
        <v>53</v>
      </c>
    </row>
    <row r="480" spans="1:22">
      <c r="A480" t="str">
        <f t="shared" si="168"/>
        <v>15/12/2025</v>
      </c>
      <c r="B480" t="str">
        <f>"ENTRADA"</f>
        <v>ENTRADA</v>
      </c>
      <c r="C480" t="str">
        <f>"NFSE"</f>
        <v>NFSE</v>
      </c>
      <c r="D480" t="str">
        <f>"4020"</f>
        <v>4020</v>
      </c>
      <c r="E480" t="str">
        <f>"1"</f>
        <v>1</v>
      </c>
      <c r="F480" t="str">
        <f>"COM"</f>
        <v>COM</v>
      </c>
      <c r="G480" t="str">
        <f>"DROGARIA VAZ (10179)"</f>
        <v>DROGARIA VAZ (10179)</v>
      </c>
      <c r="H480" t="str">
        <f>"Serv.Prest. 01/12/2025 a 07/12/2025 - RPS: 1782 - NFSe: 4020"</f>
        <v>Serv.Prest. 01/12/2025 a 07/12/2025 - RPS: 1782 - NFSe: 4020</v>
      </c>
      <c r="I480" t="str">
        <f>("11/12/2025")</f>
        <v>11/12/2025</v>
      </c>
      <c r="J480" t="str">
        <f>("10/12/2025")</f>
        <v>10/12/2025</v>
      </c>
      <c r="K480" t="str">
        <f>("15/12/2025")</f>
        <v>15/12/2025</v>
      </c>
      <c r="L480">
        <v>358.26</v>
      </c>
      <c r="M480">
        <v>369</v>
      </c>
      <c r="N480">
        <v>303</v>
      </c>
      <c r="O480" t="str">
        <f>"RECEITAS COM ENTREGAS"</f>
        <v>RECEITAS COM ENTREGAS</v>
      </c>
      <c r="P480">
        <v>369</v>
      </c>
      <c r="S480" t="str">
        <f>"RECEITAS COM ENTREGAS (303)"</f>
        <v>RECEITAS COM ENTREGAS (303)</v>
      </c>
      <c r="T480">
        <v>3831</v>
      </c>
      <c r="U480">
        <v>3032</v>
      </c>
      <c r="V480" t="s">
        <v>36</v>
      </c>
    </row>
    <row r="481" spans="1:22">
      <c r="A481" t="str">
        <f t="shared" si="168"/>
        <v>15/12/2025</v>
      </c>
      <c r="B481" t="str">
        <f>"ENTRADA"</f>
        <v>ENTRADA</v>
      </c>
      <c r="C481" t="str">
        <f>"NFSE"</f>
        <v>NFSE</v>
      </c>
      <c r="D481" t="str">
        <f>"4020"</f>
        <v>4020</v>
      </c>
      <c r="E481" t="str">
        <f>"1"</f>
        <v>1</v>
      </c>
      <c r="F481" t="str">
        <f>"COM"</f>
        <v>COM</v>
      </c>
      <c r="G481" t="str">
        <f>"DROGARIA VAZ (10179)"</f>
        <v>DROGARIA VAZ (10179)</v>
      </c>
      <c r="H481" t="s">
        <v>165</v>
      </c>
      <c r="I481" t="str">
        <f>("11/12/2025")</f>
        <v>11/12/2025</v>
      </c>
      <c r="J481" t="str">
        <f>("10/12/2025")</f>
        <v>10/12/2025</v>
      </c>
      <c r="K481">
        <v>46006</v>
      </c>
      <c r="N481">
        <v>303</v>
      </c>
      <c r="O481" t="s">
        <v>30</v>
      </c>
      <c r="Q481">
        <v>369</v>
      </c>
      <c r="R481" t="str">
        <f>"DROGARIA VAZ (10179)"</f>
        <v>DROGARIA VAZ (10179)</v>
      </c>
      <c r="S481" t="s">
        <v>31</v>
      </c>
      <c r="T481">
        <v>3831</v>
      </c>
      <c r="U481">
        <v>3032</v>
      </c>
      <c r="V481" t="s">
        <v>36</v>
      </c>
    </row>
    <row r="482" spans="1:22">
      <c r="A482" t="str">
        <f>("16/12/2025")</f>
        <v>16/12/2025</v>
      </c>
      <c r="B482" t="str">
        <f>"SAÍDA"</f>
        <v>SAÍDA</v>
      </c>
      <c r="C482" t="str">
        <f>"BOLETO"</f>
        <v>BOLETO</v>
      </c>
      <c r="D482" t="str">
        <f>"011125"</f>
        <v>011125</v>
      </c>
      <c r="E482" t="str">
        <f>"2"</f>
        <v>2</v>
      </c>
      <c r="F482" t="str">
        <f>"COM"</f>
        <v>COM</v>
      </c>
      <c r="G482" t="str">
        <f>"CORA SOCIEDADE DE CREDITO, FINANCIAMENTO E INVESTIMENTO (20035)"</f>
        <v>CORA SOCIEDADE DE CREDITO, FINANCIAMENTO E INVESTIMENTO (20035)</v>
      </c>
      <c r="H482" t="str">
        <f>"TAXA BOLETO CORA"</f>
        <v>TAXA BOLETO CORA</v>
      </c>
      <c r="I482" t="str">
        <f>("16/12/2025")</f>
        <v>16/12/2025</v>
      </c>
      <c r="J482" t="str">
        <f>("01/11/2025")</f>
        <v>01/11/2025</v>
      </c>
      <c r="K482" t="str">
        <f>("16/12/2025")</f>
        <v>16/12/2025</v>
      </c>
      <c r="L482">
        <v>0.3</v>
      </c>
      <c r="M482">
        <v>0.3</v>
      </c>
      <c r="N482">
        <v>401</v>
      </c>
      <c r="O482" t="str">
        <f>"IOF/JUROS/DESP.FINANCEIRA"</f>
        <v>IOF/JUROS/DESP.FINANCEIRA</v>
      </c>
      <c r="P482">
        <v>0.3</v>
      </c>
      <c r="S482" t="str">
        <f>"BANCO CORA (102)"</f>
        <v>BANCO CORA (102)</v>
      </c>
      <c r="T482">
        <v>3575</v>
      </c>
      <c r="U482">
        <v>3135</v>
      </c>
      <c r="V482" t="s">
        <v>22</v>
      </c>
    </row>
    <row r="483" spans="1:22">
      <c r="A483" t="str">
        <f>("16/12/2025")</f>
        <v>16/12/2025</v>
      </c>
      <c r="B483" t="str">
        <f>"SAÍDA"</f>
        <v>SAÍDA</v>
      </c>
      <c r="C483" t="str">
        <f>"BOLETO"</f>
        <v>BOLETO</v>
      </c>
      <c r="D483" t="str">
        <f>"011125"</f>
        <v>011125</v>
      </c>
      <c r="E483" t="str">
        <f>"2"</f>
        <v>2</v>
      </c>
      <c r="F483" t="str">
        <f>"COM"</f>
        <v>COM</v>
      </c>
      <c r="G483" t="str">
        <f>"CORA SOCIEDADE DE CREDITO, FINANCIAMENTO E INVESTIMENTO (20035)"</f>
        <v>CORA SOCIEDADE DE CREDITO, FINANCIAMENTO E INVESTIMENTO (20035)</v>
      </c>
      <c r="H483" t="s">
        <v>33</v>
      </c>
      <c r="I483" t="str">
        <f>("16/12/2025")</f>
        <v>16/12/2025</v>
      </c>
      <c r="J483" t="str">
        <f>("01/11/2025")</f>
        <v>01/11/2025</v>
      </c>
      <c r="K483">
        <v>46007</v>
      </c>
      <c r="N483">
        <v>401</v>
      </c>
      <c r="O483" t="s">
        <v>34</v>
      </c>
      <c r="Q483">
        <v>0.3</v>
      </c>
      <c r="R483" t="str">
        <f>"CORA SOCIEDADE DE CREDITO, FINANCIAMENTO E INVESTIMENTO (20035)"</f>
        <v>CORA SOCIEDADE DE CREDITO, FINANCIAMENTO E INVESTIMENTO (20035)</v>
      </c>
      <c r="S483" t="s">
        <v>22</v>
      </c>
      <c r="T483">
        <v>3575</v>
      </c>
      <c r="U483">
        <v>3135</v>
      </c>
      <c r="V483" t="s">
        <v>22</v>
      </c>
    </row>
    <row r="484" spans="1:22">
      <c r="A484" t="str">
        <f>("16/12/2025")</f>
        <v>16/12/2025</v>
      </c>
      <c r="B484" t="str">
        <f>"SAÍDA"</f>
        <v>SAÍDA</v>
      </c>
      <c r="C484" t="str">
        <f>"JUROS"</f>
        <v>JUROS</v>
      </c>
      <c r="D484" t="str">
        <f>""</f>
        <v/>
      </c>
      <c r="F484" t="str">
        <f>"CXA"</f>
        <v>CXA</v>
      </c>
      <c r="G484" t="str">
        <f>""</f>
        <v/>
      </c>
      <c r="H484" t="str">
        <f>"TARIFA SERV.COBR.TITULOS"</f>
        <v>TARIFA SERV.COBR.TITULOS</v>
      </c>
      <c r="I484" t="str">
        <f>("16/12/2025")</f>
        <v>16/12/2025</v>
      </c>
      <c r="J484" t="str">
        <f>("16/12/2025")</f>
        <v>16/12/2025</v>
      </c>
      <c r="K484" t="str">
        <f>("16/12/2025")</f>
        <v>16/12/2025</v>
      </c>
      <c r="L484">
        <v>1.39</v>
      </c>
      <c r="M484">
        <v>1.39</v>
      </c>
      <c r="N484">
        <v>401</v>
      </c>
      <c r="O484" t="str">
        <f>"IOF/JUROS/DESP.FINANCEIRA"</f>
        <v>IOF/JUROS/DESP.FINANCEIRA</v>
      </c>
      <c r="P484">
        <v>1.39</v>
      </c>
      <c r="S484" t="str">
        <f>"BANCO SICREDI (131)"</f>
        <v>BANCO SICREDI (131)</v>
      </c>
      <c r="T484">
        <v>3746</v>
      </c>
      <c r="U484">
        <v>0</v>
      </c>
      <c r="V484" t="s">
        <v>53</v>
      </c>
    </row>
    <row r="485" spans="1:22">
      <c r="A485" t="str">
        <f t="shared" ref="A485:A516" si="171">("17/12/2025")</f>
        <v>17/12/2025</v>
      </c>
      <c r="B485" t="str">
        <f>"SAÍDA"</f>
        <v>SAÍDA</v>
      </c>
      <c r="C485" t="str">
        <f>""</f>
        <v/>
      </c>
      <c r="D485" t="str">
        <f>""</f>
        <v/>
      </c>
      <c r="F485" t="str">
        <f>"CXA"</f>
        <v>CXA</v>
      </c>
      <c r="G485" t="str">
        <f>""</f>
        <v/>
      </c>
      <c r="H485" t="str">
        <f>"SEGUNDA PARCELA VINHOS CLIENTES AÇÃO FINAL DE ANO "</f>
        <v xml:space="preserve">SEGUNDA PARCELA VINHOS CLIENTES AÇÃO FINAL DE ANO </v>
      </c>
      <c r="I485" t="str">
        <f>("17/12/2025")</f>
        <v>17/12/2025</v>
      </c>
      <c r="J485" t="str">
        <f>("17/12/2025")</f>
        <v>17/12/2025</v>
      </c>
      <c r="K485" t="str">
        <f>("17/12/2025")</f>
        <v>17/12/2025</v>
      </c>
      <c r="L485">
        <v>474.75</v>
      </c>
      <c r="M485">
        <v>474.75</v>
      </c>
      <c r="N485">
        <v>129</v>
      </c>
      <c r="O485" t="str">
        <f>"DESPESAS COM EVENTOS"</f>
        <v>DESPESAS COM EVENTOS</v>
      </c>
      <c r="P485">
        <v>474.75</v>
      </c>
      <c r="S485" t="str">
        <f>"BANCO CORA (102)"</f>
        <v>BANCO CORA (102)</v>
      </c>
      <c r="T485">
        <v>3563</v>
      </c>
      <c r="U485">
        <v>0</v>
      </c>
      <c r="V485" t="s">
        <v>89</v>
      </c>
    </row>
    <row r="486" spans="1:22">
      <c r="A486" t="str">
        <f t="shared" si="171"/>
        <v>17/12/2025</v>
      </c>
      <c r="B486" t="str">
        <f t="shared" ref="B486:B517" si="172">"ENTRADA"</f>
        <v>ENTRADA</v>
      </c>
      <c r="C486" t="str">
        <f t="shared" ref="C486:C517" si="173">"NFSE"</f>
        <v>NFSE</v>
      </c>
      <c r="D486" t="str">
        <f t="shared" ref="D486:D496" si="174">"4017"</f>
        <v>4017</v>
      </c>
      <c r="E486" t="str">
        <f t="shared" ref="E486:E517" si="175">"1"</f>
        <v>1</v>
      </c>
      <c r="F486" t="str">
        <f t="shared" ref="F486:F517" si="176">"COM"</f>
        <v>COM</v>
      </c>
      <c r="G486" t="str">
        <f t="shared" ref="G486:G496" si="177">"FARMÁCIA INDIANA LJ 85 (10128)"</f>
        <v>FARMÁCIA INDIANA LJ 85 (10128)</v>
      </c>
      <c r="H486" t="str">
        <f>"Serv.Prest. 01/12/2025 a 07/12/2025 - RPS: 1779 - NFSe: 4017"</f>
        <v>Serv.Prest. 01/12/2025 a 07/12/2025 - RPS: 1779 - NFSe: 4017</v>
      </c>
      <c r="I486" t="str">
        <f t="shared" ref="I486:I517" si="178">("17/12/2025")</f>
        <v>17/12/2025</v>
      </c>
      <c r="J486" t="str">
        <f t="shared" ref="J486:J517" si="179">("09/12/2025")</f>
        <v>09/12/2025</v>
      </c>
      <c r="K486" t="str">
        <f>("17/12/2025")</f>
        <v>17/12/2025</v>
      </c>
      <c r="L486">
        <v>1008.92</v>
      </c>
      <c r="M486">
        <v>1008.92</v>
      </c>
      <c r="N486">
        <v>303</v>
      </c>
      <c r="O486" t="str">
        <f>"RECEITAS COM ENTREGAS"</f>
        <v>RECEITAS COM ENTREGAS</v>
      </c>
      <c r="P486">
        <v>1008.92</v>
      </c>
      <c r="S486" t="str">
        <f>"RECEITAS COM ENTREGAS (303)"</f>
        <v>RECEITAS COM ENTREGAS (303)</v>
      </c>
      <c r="T486">
        <v>3567</v>
      </c>
      <c r="U486">
        <v>3029</v>
      </c>
      <c r="V486" t="s">
        <v>22</v>
      </c>
    </row>
    <row r="487" spans="1:22">
      <c r="A487" t="str">
        <f t="shared" si="171"/>
        <v>17/12/2025</v>
      </c>
      <c r="B487" t="str">
        <f t="shared" si="172"/>
        <v>ENTRADA</v>
      </c>
      <c r="C487" t="str">
        <f t="shared" si="173"/>
        <v>NFSE</v>
      </c>
      <c r="D487" t="str">
        <f t="shared" si="174"/>
        <v>4017</v>
      </c>
      <c r="E487" t="str">
        <f t="shared" si="175"/>
        <v>1</v>
      </c>
      <c r="F487" t="str">
        <f t="shared" si="176"/>
        <v>COM</v>
      </c>
      <c r="G487" t="str">
        <f t="shared" si="177"/>
        <v>FARMÁCIA INDIANA LJ 85 (10128)</v>
      </c>
      <c r="H487" t="s">
        <v>166</v>
      </c>
      <c r="I487" t="str">
        <f t="shared" si="178"/>
        <v>17/12/2025</v>
      </c>
      <c r="J487" t="str">
        <f t="shared" si="179"/>
        <v>09/12/2025</v>
      </c>
      <c r="K487">
        <v>46008</v>
      </c>
      <c r="N487">
        <v>303</v>
      </c>
      <c r="O487" t="s">
        <v>30</v>
      </c>
      <c r="Q487">
        <v>107.95</v>
      </c>
      <c r="R487" t="str">
        <f>"FARMÁCIA INDIANA LJ 119 (10053)"</f>
        <v>FARMÁCIA INDIANA LJ 119 (10053)</v>
      </c>
      <c r="S487" t="s">
        <v>31</v>
      </c>
      <c r="T487">
        <v>3567</v>
      </c>
      <c r="U487">
        <v>3029</v>
      </c>
      <c r="V487" t="s">
        <v>22</v>
      </c>
    </row>
    <row r="488" spans="1:22">
      <c r="A488" t="str">
        <f t="shared" si="171"/>
        <v>17/12/2025</v>
      </c>
      <c r="B488" t="str">
        <f t="shared" si="172"/>
        <v>ENTRADA</v>
      </c>
      <c r="C488" t="str">
        <f t="shared" si="173"/>
        <v>NFSE</v>
      </c>
      <c r="D488" t="str">
        <f t="shared" si="174"/>
        <v>4017</v>
      </c>
      <c r="E488" t="str">
        <f t="shared" si="175"/>
        <v>1</v>
      </c>
      <c r="F488" t="str">
        <f t="shared" si="176"/>
        <v>COM</v>
      </c>
      <c r="G488" t="str">
        <f t="shared" si="177"/>
        <v>FARMÁCIA INDIANA LJ 85 (10128)</v>
      </c>
      <c r="H488" t="s">
        <v>166</v>
      </c>
      <c r="I488" t="str">
        <f t="shared" si="178"/>
        <v>17/12/2025</v>
      </c>
      <c r="J488" t="str">
        <f t="shared" si="179"/>
        <v>09/12/2025</v>
      </c>
      <c r="K488">
        <v>46008</v>
      </c>
      <c r="N488">
        <v>303</v>
      </c>
      <c r="O488" t="s">
        <v>30</v>
      </c>
      <c r="Q488">
        <v>94.43</v>
      </c>
      <c r="R488" t="str">
        <f>"FARMÁCIA INDIANA LJ 163 (10072)"</f>
        <v>FARMÁCIA INDIANA LJ 163 (10072)</v>
      </c>
      <c r="S488" t="s">
        <v>31</v>
      </c>
      <c r="T488">
        <v>3567</v>
      </c>
      <c r="U488">
        <v>3029</v>
      </c>
      <c r="V488" t="s">
        <v>22</v>
      </c>
    </row>
    <row r="489" spans="1:22">
      <c r="A489" t="str">
        <f t="shared" si="171"/>
        <v>17/12/2025</v>
      </c>
      <c r="B489" t="str">
        <f t="shared" si="172"/>
        <v>ENTRADA</v>
      </c>
      <c r="C489" t="str">
        <f t="shared" si="173"/>
        <v>NFSE</v>
      </c>
      <c r="D489" t="str">
        <f t="shared" si="174"/>
        <v>4017</v>
      </c>
      <c r="E489" t="str">
        <f t="shared" si="175"/>
        <v>1</v>
      </c>
      <c r="F489" t="str">
        <f t="shared" si="176"/>
        <v>COM</v>
      </c>
      <c r="G489" t="str">
        <f t="shared" si="177"/>
        <v>FARMÁCIA INDIANA LJ 85 (10128)</v>
      </c>
      <c r="H489" t="s">
        <v>166</v>
      </c>
      <c r="I489" t="str">
        <f t="shared" si="178"/>
        <v>17/12/2025</v>
      </c>
      <c r="J489" t="str">
        <f t="shared" si="179"/>
        <v>09/12/2025</v>
      </c>
      <c r="K489">
        <v>46008</v>
      </c>
      <c r="N489">
        <v>303</v>
      </c>
      <c r="O489" t="s">
        <v>30</v>
      </c>
      <c r="Q489">
        <v>189.58</v>
      </c>
      <c r="R489" t="str">
        <f>"FARMÁCIA INDIANA LJ 181 (10078)"</f>
        <v>FARMÁCIA INDIANA LJ 181 (10078)</v>
      </c>
      <c r="S489" t="s">
        <v>31</v>
      </c>
      <c r="T489">
        <v>3567</v>
      </c>
      <c r="U489">
        <v>3029</v>
      </c>
      <c r="V489" t="s">
        <v>22</v>
      </c>
    </row>
    <row r="490" spans="1:22">
      <c r="A490" t="str">
        <f t="shared" si="171"/>
        <v>17/12/2025</v>
      </c>
      <c r="B490" t="str">
        <f t="shared" si="172"/>
        <v>ENTRADA</v>
      </c>
      <c r="C490" t="str">
        <f t="shared" si="173"/>
        <v>NFSE</v>
      </c>
      <c r="D490" t="str">
        <f t="shared" si="174"/>
        <v>4017</v>
      </c>
      <c r="E490" t="str">
        <f t="shared" si="175"/>
        <v>1</v>
      </c>
      <c r="F490" t="str">
        <f t="shared" si="176"/>
        <v>COM</v>
      </c>
      <c r="G490" t="str">
        <f t="shared" si="177"/>
        <v>FARMÁCIA INDIANA LJ 85 (10128)</v>
      </c>
      <c r="H490" t="s">
        <v>166</v>
      </c>
      <c r="I490" t="str">
        <f t="shared" si="178"/>
        <v>17/12/2025</v>
      </c>
      <c r="J490" t="str">
        <f t="shared" si="179"/>
        <v>09/12/2025</v>
      </c>
      <c r="K490">
        <v>46008</v>
      </c>
      <c r="N490">
        <v>303</v>
      </c>
      <c r="O490" t="s">
        <v>30</v>
      </c>
      <c r="Q490">
        <v>107.75</v>
      </c>
      <c r="R490" t="str">
        <f>"FARMÁCIA INDIANA LJ 221 (10093)"</f>
        <v>FARMÁCIA INDIANA LJ 221 (10093)</v>
      </c>
      <c r="S490" t="s">
        <v>31</v>
      </c>
      <c r="T490">
        <v>3567</v>
      </c>
      <c r="U490">
        <v>3029</v>
      </c>
      <c r="V490" t="s">
        <v>22</v>
      </c>
    </row>
    <row r="491" spans="1:22">
      <c r="A491" t="str">
        <f t="shared" si="171"/>
        <v>17/12/2025</v>
      </c>
      <c r="B491" t="str">
        <f t="shared" si="172"/>
        <v>ENTRADA</v>
      </c>
      <c r="C491" t="str">
        <f t="shared" si="173"/>
        <v>NFSE</v>
      </c>
      <c r="D491" t="str">
        <f t="shared" si="174"/>
        <v>4017</v>
      </c>
      <c r="E491" t="str">
        <f t="shared" si="175"/>
        <v>1</v>
      </c>
      <c r="F491" t="str">
        <f t="shared" si="176"/>
        <v>COM</v>
      </c>
      <c r="G491" t="str">
        <f t="shared" si="177"/>
        <v>FARMÁCIA INDIANA LJ 85 (10128)</v>
      </c>
      <c r="H491" t="s">
        <v>166</v>
      </c>
      <c r="I491" t="str">
        <f t="shared" si="178"/>
        <v>17/12/2025</v>
      </c>
      <c r="J491" t="str">
        <f t="shared" si="179"/>
        <v>09/12/2025</v>
      </c>
      <c r="K491">
        <v>46008</v>
      </c>
      <c r="N491">
        <v>303</v>
      </c>
      <c r="O491" t="s">
        <v>30</v>
      </c>
      <c r="Q491">
        <v>126.42</v>
      </c>
      <c r="R491" t="str">
        <f>"FARMÁCIA INDIANA LJ 243 (10142)"</f>
        <v>FARMÁCIA INDIANA LJ 243 (10142)</v>
      </c>
      <c r="S491" t="s">
        <v>31</v>
      </c>
      <c r="T491">
        <v>3567</v>
      </c>
      <c r="U491">
        <v>3029</v>
      </c>
      <c r="V491" t="s">
        <v>22</v>
      </c>
    </row>
    <row r="492" spans="1:22">
      <c r="A492" t="str">
        <f t="shared" si="171"/>
        <v>17/12/2025</v>
      </c>
      <c r="B492" t="str">
        <f t="shared" si="172"/>
        <v>ENTRADA</v>
      </c>
      <c r="C492" t="str">
        <f t="shared" si="173"/>
        <v>NFSE</v>
      </c>
      <c r="D492" t="str">
        <f t="shared" si="174"/>
        <v>4017</v>
      </c>
      <c r="E492" t="str">
        <f t="shared" si="175"/>
        <v>1</v>
      </c>
      <c r="F492" t="str">
        <f t="shared" si="176"/>
        <v>COM</v>
      </c>
      <c r="G492" t="str">
        <f t="shared" si="177"/>
        <v>FARMÁCIA INDIANA LJ 85 (10128)</v>
      </c>
      <c r="H492" t="s">
        <v>166</v>
      </c>
      <c r="I492" t="str">
        <f t="shared" si="178"/>
        <v>17/12/2025</v>
      </c>
      <c r="J492" t="str">
        <f t="shared" si="179"/>
        <v>09/12/2025</v>
      </c>
      <c r="K492">
        <v>46008</v>
      </c>
      <c r="N492">
        <v>303</v>
      </c>
      <c r="O492" t="s">
        <v>30</v>
      </c>
      <c r="Q492">
        <v>57.41</v>
      </c>
      <c r="R492" t="str">
        <f>"FARMÁCIA INDIANA LJ 211 (10168)"</f>
        <v>FARMÁCIA INDIANA LJ 211 (10168)</v>
      </c>
      <c r="S492" t="s">
        <v>31</v>
      </c>
      <c r="T492">
        <v>3567</v>
      </c>
      <c r="U492">
        <v>3029</v>
      </c>
      <c r="V492" t="s">
        <v>22</v>
      </c>
    </row>
    <row r="493" spans="1:22">
      <c r="A493" t="str">
        <f t="shared" si="171"/>
        <v>17/12/2025</v>
      </c>
      <c r="B493" t="str">
        <f t="shared" si="172"/>
        <v>ENTRADA</v>
      </c>
      <c r="C493" t="str">
        <f t="shared" si="173"/>
        <v>NFSE</v>
      </c>
      <c r="D493" t="str">
        <f t="shared" si="174"/>
        <v>4017</v>
      </c>
      <c r="E493" t="str">
        <f t="shared" si="175"/>
        <v>1</v>
      </c>
      <c r="F493" t="str">
        <f t="shared" si="176"/>
        <v>COM</v>
      </c>
      <c r="G493" t="str">
        <f t="shared" si="177"/>
        <v>FARMÁCIA INDIANA LJ 85 (10128)</v>
      </c>
      <c r="H493" t="s">
        <v>166</v>
      </c>
      <c r="I493" t="str">
        <f t="shared" si="178"/>
        <v>17/12/2025</v>
      </c>
      <c r="J493" t="str">
        <f t="shared" si="179"/>
        <v>09/12/2025</v>
      </c>
      <c r="K493">
        <v>46008</v>
      </c>
      <c r="N493">
        <v>303</v>
      </c>
      <c r="O493" t="s">
        <v>30</v>
      </c>
      <c r="Q493">
        <v>57.41</v>
      </c>
      <c r="R493" t="str">
        <f>"FARMÁCIA INDIANA LJ 236 (10169)"</f>
        <v>FARMÁCIA INDIANA LJ 236 (10169)</v>
      </c>
      <c r="S493" t="s">
        <v>31</v>
      </c>
      <c r="T493">
        <v>3567</v>
      </c>
      <c r="U493">
        <v>3029</v>
      </c>
      <c r="V493" t="s">
        <v>22</v>
      </c>
    </row>
    <row r="494" spans="1:22">
      <c r="A494" t="str">
        <f t="shared" si="171"/>
        <v>17/12/2025</v>
      </c>
      <c r="B494" t="str">
        <f t="shared" si="172"/>
        <v>ENTRADA</v>
      </c>
      <c r="C494" t="str">
        <f t="shared" si="173"/>
        <v>NFSE</v>
      </c>
      <c r="D494" t="str">
        <f t="shared" si="174"/>
        <v>4017</v>
      </c>
      <c r="E494" t="str">
        <f t="shared" si="175"/>
        <v>1</v>
      </c>
      <c r="F494" t="str">
        <f t="shared" si="176"/>
        <v>COM</v>
      </c>
      <c r="G494" t="str">
        <f t="shared" si="177"/>
        <v>FARMÁCIA INDIANA LJ 85 (10128)</v>
      </c>
      <c r="H494" t="s">
        <v>166</v>
      </c>
      <c r="I494" t="str">
        <f t="shared" si="178"/>
        <v>17/12/2025</v>
      </c>
      <c r="J494" t="str">
        <f t="shared" si="179"/>
        <v>09/12/2025</v>
      </c>
      <c r="K494">
        <v>46008</v>
      </c>
      <c r="N494">
        <v>303</v>
      </c>
      <c r="O494" t="s">
        <v>30</v>
      </c>
      <c r="Q494">
        <v>114.82</v>
      </c>
      <c r="R494" t="str">
        <f>"FARMÁCIA INDIANA LJ 188 (10176)"</f>
        <v>FARMÁCIA INDIANA LJ 188 (10176)</v>
      </c>
      <c r="S494" t="s">
        <v>31</v>
      </c>
      <c r="T494">
        <v>3567</v>
      </c>
      <c r="U494">
        <v>3029</v>
      </c>
      <c r="V494" t="s">
        <v>22</v>
      </c>
    </row>
    <row r="495" spans="1:22">
      <c r="A495" t="str">
        <f t="shared" si="171"/>
        <v>17/12/2025</v>
      </c>
      <c r="B495" t="str">
        <f t="shared" si="172"/>
        <v>ENTRADA</v>
      </c>
      <c r="C495" t="str">
        <f t="shared" si="173"/>
        <v>NFSE</v>
      </c>
      <c r="D495" t="str">
        <f t="shared" si="174"/>
        <v>4017</v>
      </c>
      <c r="E495" t="str">
        <f t="shared" si="175"/>
        <v>1</v>
      </c>
      <c r="F495" t="str">
        <f t="shared" si="176"/>
        <v>COM</v>
      </c>
      <c r="G495" t="str">
        <f t="shared" si="177"/>
        <v>FARMÁCIA INDIANA LJ 85 (10128)</v>
      </c>
      <c r="H495" t="s">
        <v>166</v>
      </c>
      <c r="I495" t="str">
        <f t="shared" si="178"/>
        <v>17/12/2025</v>
      </c>
      <c r="J495" t="str">
        <f t="shared" si="179"/>
        <v>09/12/2025</v>
      </c>
      <c r="K495">
        <v>46008</v>
      </c>
      <c r="N495">
        <v>303</v>
      </c>
      <c r="O495" t="s">
        <v>30</v>
      </c>
      <c r="Q495">
        <v>134.99</v>
      </c>
      <c r="R495" t="str">
        <f>"FARMÁCIA INDIANA LJ 273 (10188)"</f>
        <v>FARMÁCIA INDIANA LJ 273 (10188)</v>
      </c>
      <c r="S495" t="s">
        <v>31</v>
      </c>
      <c r="T495">
        <v>3567</v>
      </c>
      <c r="U495">
        <v>3029</v>
      </c>
      <c r="V495" t="s">
        <v>22</v>
      </c>
    </row>
    <row r="496" spans="1:22">
      <c r="A496" t="str">
        <f t="shared" si="171"/>
        <v>17/12/2025</v>
      </c>
      <c r="B496" t="str">
        <f t="shared" si="172"/>
        <v>ENTRADA</v>
      </c>
      <c r="C496" t="str">
        <f t="shared" si="173"/>
        <v>NFSE</v>
      </c>
      <c r="D496" t="str">
        <f t="shared" si="174"/>
        <v>4017</v>
      </c>
      <c r="E496" t="str">
        <f t="shared" si="175"/>
        <v>1</v>
      </c>
      <c r="F496" t="str">
        <f t="shared" si="176"/>
        <v>COM</v>
      </c>
      <c r="G496" t="str">
        <f t="shared" si="177"/>
        <v>FARMÁCIA INDIANA LJ 85 (10128)</v>
      </c>
      <c r="H496" t="s">
        <v>166</v>
      </c>
      <c r="I496" t="str">
        <f t="shared" si="178"/>
        <v>17/12/2025</v>
      </c>
      <c r="J496" t="str">
        <f t="shared" si="179"/>
        <v>09/12/2025</v>
      </c>
      <c r="K496">
        <v>46008</v>
      </c>
      <c r="N496">
        <v>303</v>
      </c>
      <c r="O496" t="s">
        <v>30</v>
      </c>
      <c r="Q496">
        <v>18.16</v>
      </c>
      <c r="R496" t="str">
        <f>"FARMÁCIA INDIANA LJ 235 (10190)"</f>
        <v>FARMÁCIA INDIANA LJ 235 (10190)</v>
      </c>
      <c r="S496" t="s">
        <v>31</v>
      </c>
      <c r="T496">
        <v>3567</v>
      </c>
      <c r="U496">
        <v>3029</v>
      </c>
      <c r="V496" t="s">
        <v>22</v>
      </c>
    </row>
    <row r="497" spans="1:22">
      <c r="A497" t="str">
        <f t="shared" si="171"/>
        <v>17/12/2025</v>
      </c>
      <c r="B497" t="str">
        <f t="shared" si="172"/>
        <v>ENTRADA</v>
      </c>
      <c r="C497" t="str">
        <f t="shared" si="173"/>
        <v>NFSE</v>
      </c>
      <c r="D497" t="str">
        <f t="shared" ref="D497:D528" si="180">"4018"</f>
        <v>4018</v>
      </c>
      <c r="E497" t="str">
        <f t="shared" si="175"/>
        <v>1</v>
      </c>
      <c r="F497" t="str">
        <f t="shared" si="176"/>
        <v>COM</v>
      </c>
      <c r="G497" t="str">
        <f t="shared" ref="G497:G528" si="181">"FARMÁCIA INDIANA LJ 1 (10126)"</f>
        <v>FARMÁCIA INDIANA LJ 1 (10126)</v>
      </c>
      <c r="H497" t="str">
        <f>"Serv.Prest. 01/12/2025 a 07/12/2025 - RPS: 1780 - NFSe: 4018"</f>
        <v>Serv.Prest. 01/12/2025 a 07/12/2025 - RPS: 1780 - NFSe: 4018</v>
      </c>
      <c r="I497" t="str">
        <f t="shared" si="178"/>
        <v>17/12/2025</v>
      </c>
      <c r="J497" t="str">
        <f t="shared" si="179"/>
        <v>09/12/2025</v>
      </c>
      <c r="K497" t="str">
        <f>("17/12/2025")</f>
        <v>17/12/2025</v>
      </c>
      <c r="L497">
        <v>13563.62</v>
      </c>
      <c r="M497">
        <v>13563.62</v>
      </c>
      <c r="N497">
        <v>303</v>
      </c>
      <c r="O497" t="str">
        <f>"RECEITAS COM ENTREGAS"</f>
        <v>RECEITAS COM ENTREGAS</v>
      </c>
      <c r="P497">
        <v>13563.62</v>
      </c>
      <c r="S497" t="str">
        <f>"RECEITAS COM ENTREGAS (303)"</f>
        <v>RECEITAS COM ENTREGAS (303)</v>
      </c>
      <c r="T497">
        <v>3568</v>
      </c>
      <c r="U497">
        <v>3030</v>
      </c>
      <c r="V497" t="s">
        <v>22</v>
      </c>
    </row>
    <row r="498" spans="1:22">
      <c r="A498" t="str">
        <f t="shared" si="171"/>
        <v>17/12/2025</v>
      </c>
      <c r="B498" t="str">
        <f t="shared" si="172"/>
        <v>ENTRADA</v>
      </c>
      <c r="C498" t="str">
        <f t="shared" si="173"/>
        <v>NFSE</v>
      </c>
      <c r="D498" t="str">
        <f t="shared" si="180"/>
        <v>4018</v>
      </c>
      <c r="E498" t="str">
        <f t="shared" si="175"/>
        <v>1</v>
      </c>
      <c r="F498" t="str">
        <f t="shared" si="176"/>
        <v>COM</v>
      </c>
      <c r="G498" t="str">
        <f t="shared" si="181"/>
        <v>FARMÁCIA INDIANA LJ 1 (10126)</v>
      </c>
      <c r="H498" t="s">
        <v>167</v>
      </c>
      <c r="I498" t="str">
        <f t="shared" si="178"/>
        <v>17/12/2025</v>
      </c>
      <c r="J498" t="str">
        <f t="shared" si="179"/>
        <v>09/12/2025</v>
      </c>
      <c r="K498">
        <v>46008</v>
      </c>
      <c r="N498">
        <v>303</v>
      </c>
      <c r="O498" t="s">
        <v>30</v>
      </c>
      <c r="Q498">
        <v>1959.92</v>
      </c>
      <c r="R498" t="str">
        <f>"FARMÁCIA INDIANA LJ 06 (10006)"</f>
        <v>FARMÁCIA INDIANA LJ 06 (10006)</v>
      </c>
      <c r="S498" t="s">
        <v>31</v>
      </c>
      <c r="T498">
        <v>3568</v>
      </c>
      <c r="U498">
        <v>3030</v>
      </c>
      <c r="V498" t="s">
        <v>22</v>
      </c>
    </row>
    <row r="499" spans="1:22">
      <c r="A499" t="str">
        <f t="shared" si="171"/>
        <v>17/12/2025</v>
      </c>
      <c r="B499" t="str">
        <f t="shared" si="172"/>
        <v>ENTRADA</v>
      </c>
      <c r="C499" t="str">
        <f t="shared" si="173"/>
        <v>NFSE</v>
      </c>
      <c r="D499" t="str">
        <f t="shared" si="180"/>
        <v>4018</v>
      </c>
      <c r="E499" t="str">
        <f t="shared" si="175"/>
        <v>1</v>
      </c>
      <c r="F499" t="str">
        <f t="shared" si="176"/>
        <v>COM</v>
      </c>
      <c r="G499" t="str">
        <f t="shared" si="181"/>
        <v>FARMÁCIA INDIANA LJ 1 (10126)</v>
      </c>
      <c r="H499" t="s">
        <v>167</v>
      </c>
      <c r="I499" t="str">
        <f t="shared" si="178"/>
        <v>17/12/2025</v>
      </c>
      <c r="J499" t="str">
        <f t="shared" si="179"/>
        <v>09/12/2025</v>
      </c>
      <c r="K499">
        <v>46008</v>
      </c>
      <c r="N499">
        <v>303</v>
      </c>
      <c r="O499" t="s">
        <v>30</v>
      </c>
      <c r="Q499">
        <v>1521.84</v>
      </c>
      <c r="R499" t="str">
        <f>"FARMÁCIA INDIANA LJ 07 (10007)"</f>
        <v>FARMÁCIA INDIANA LJ 07 (10007)</v>
      </c>
      <c r="S499" t="s">
        <v>31</v>
      </c>
      <c r="T499">
        <v>3568</v>
      </c>
      <c r="U499">
        <v>3030</v>
      </c>
      <c r="V499" t="s">
        <v>22</v>
      </c>
    </row>
    <row r="500" spans="1:22">
      <c r="A500" t="str">
        <f t="shared" si="171"/>
        <v>17/12/2025</v>
      </c>
      <c r="B500" t="str">
        <f t="shared" si="172"/>
        <v>ENTRADA</v>
      </c>
      <c r="C500" t="str">
        <f t="shared" si="173"/>
        <v>NFSE</v>
      </c>
      <c r="D500" t="str">
        <f t="shared" si="180"/>
        <v>4018</v>
      </c>
      <c r="E500" t="str">
        <f t="shared" si="175"/>
        <v>1</v>
      </c>
      <c r="F500" t="str">
        <f t="shared" si="176"/>
        <v>COM</v>
      </c>
      <c r="G500" t="str">
        <f t="shared" si="181"/>
        <v>FARMÁCIA INDIANA LJ 1 (10126)</v>
      </c>
      <c r="H500" t="s">
        <v>167</v>
      </c>
      <c r="I500" t="str">
        <f t="shared" si="178"/>
        <v>17/12/2025</v>
      </c>
      <c r="J500" t="str">
        <f t="shared" si="179"/>
        <v>09/12/2025</v>
      </c>
      <c r="K500">
        <v>46008</v>
      </c>
      <c r="N500">
        <v>303</v>
      </c>
      <c r="O500" t="s">
        <v>30</v>
      </c>
      <c r="Q500">
        <v>1062.03</v>
      </c>
      <c r="R500" t="str">
        <f>"FARMÁCIA INDIANA LJ 11 (10008)"</f>
        <v>FARMÁCIA INDIANA LJ 11 (10008)</v>
      </c>
      <c r="S500" t="s">
        <v>31</v>
      </c>
      <c r="T500">
        <v>3568</v>
      </c>
      <c r="U500">
        <v>3030</v>
      </c>
      <c r="V500" t="s">
        <v>22</v>
      </c>
    </row>
    <row r="501" spans="1:22">
      <c r="A501" t="str">
        <f t="shared" si="171"/>
        <v>17/12/2025</v>
      </c>
      <c r="B501" t="str">
        <f t="shared" si="172"/>
        <v>ENTRADA</v>
      </c>
      <c r="C501" t="str">
        <f t="shared" si="173"/>
        <v>NFSE</v>
      </c>
      <c r="D501" t="str">
        <f t="shared" si="180"/>
        <v>4018</v>
      </c>
      <c r="E501" t="str">
        <f t="shared" si="175"/>
        <v>1</v>
      </c>
      <c r="F501" t="str">
        <f t="shared" si="176"/>
        <v>COM</v>
      </c>
      <c r="G501" t="str">
        <f t="shared" si="181"/>
        <v>FARMÁCIA INDIANA LJ 1 (10126)</v>
      </c>
      <c r="H501" t="s">
        <v>167</v>
      </c>
      <c r="I501" t="str">
        <f t="shared" si="178"/>
        <v>17/12/2025</v>
      </c>
      <c r="J501" t="str">
        <f t="shared" si="179"/>
        <v>09/12/2025</v>
      </c>
      <c r="K501">
        <v>46008</v>
      </c>
      <c r="N501">
        <v>303</v>
      </c>
      <c r="O501" t="s">
        <v>30</v>
      </c>
      <c r="Q501">
        <v>451.67</v>
      </c>
      <c r="R501" t="str">
        <f>"FARMÁCIA INDIANA LJ 14 (10009)"</f>
        <v>FARMÁCIA INDIANA LJ 14 (10009)</v>
      </c>
      <c r="S501" t="s">
        <v>31</v>
      </c>
      <c r="T501">
        <v>3568</v>
      </c>
      <c r="U501">
        <v>3030</v>
      </c>
      <c r="V501" t="s">
        <v>22</v>
      </c>
    </row>
    <row r="502" spans="1:22">
      <c r="A502" t="str">
        <f t="shared" si="171"/>
        <v>17/12/2025</v>
      </c>
      <c r="B502" t="str">
        <f t="shared" si="172"/>
        <v>ENTRADA</v>
      </c>
      <c r="C502" t="str">
        <f t="shared" si="173"/>
        <v>NFSE</v>
      </c>
      <c r="D502" t="str">
        <f t="shared" si="180"/>
        <v>4018</v>
      </c>
      <c r="E502" t="str">
        <f t="shared" si="175"/>
        <v>1</v>
      </c>
      <c r="F502" t="str">
        <f t="shared" si="176"/>
        <v>COM</v>
      </c>
      <c r="G502" t="str">
        <f t="shared" si="181"/>
        <v>FARMÁCIA INDIANA LJ 1 (10126)</v>
      </c>
      <c r="H502" t="s">
        <v>167</v>
      </c>
      <c r="I502" t="str">
        <f t="shared" si="178"/>
        <v>17/12/2025</v>
      </c>
      <c r="J502" t="str">
        <f t="shared" si="179"/>
        <v>09/12/2025</v>
      </c>
      <c r="K502">
        <v>46008</v>
      </c>
      <c r="N502">
        <v>303</v>
      </c>
      <c r="O502" t="s">
        <v>30</v>
      </c>
      <c r="Q502">
        <v>318.75</v>
      </c>
      <c r="R502" t="str">
        <f>"FARMÁCIA INDIANA LJ 18 (10011)"</f>
        <v>FARMÁCIA INDIANA LJ 18 (10011)</v>
      </c>
      <c r="S502" t="s">
        <v>31</v>
      </c>
      <c r="T502">
        <v>3568</v>
      </c>
      <c r="U502">
        <v>3030</v>
      </c>
      <c r="V502" t="s">
        <v>22</v>
      </c>
    </row>
    <row r="503" spans="1:22">
      <c r="A503" t="str">
        <f t="shared" si="171"/>
        <v>17/12/2025</v>
      </c>
      <c r="B503" t="str">
        <f t="shared" si="172"/>
        <v>ENTRADA</v>
      </c>
      <c r="C503" t="str">
        <f t="shared" si="173"/>
        <v>NFSE</v>
      </c>
      <c r="D503" t="str">
        <f t="shared" si="180"/>
        <v>4018</v>
      </c>
      <c r="E503" t="str">
        <f t="shared" si="175"/>
        <v>1</v>
      </c>
      <c r="F503" t="str">
        <f t="shared" si="176"/>
        <v>COM</v>
      </c>
      <c r="G503" t="str">
        <f t="shared" si="181"/>
        <v>FARMÁCIA INDIANA LJ 1 (10126)</v>
      </c>
      <c r="H503" t="s">
        <v>167</v>
      </c>
      <c r="I503" t="str">
        <f t="shared" si="178"/>
        <v>17/12/2025</v>
      </c>
      <c r="J503" t="str">
        <f t="shared" si="179"/>
        <v>09/12/2025</v>
      </c>
      <c r="K503">
        <v>46008</v>
      </c>
      <c r="N503">
        <v>303</v>
      </c>
      <c r="O503" t="s">
        <v>30</v>
      </c>
      <c r="Q503">
        <v>358.08</v>
      </c>
      <c r="R503" t="str">
        <f>"FARMÁCIA INDIANA LJ 19 (10012)"</f>
        <v>FARMÁCIA INDIANA LJ 19 (10012)</v>
      </c>
      <c r="S503" t="s">
        <v>31</v>
      </c>
      <c r="T503">
        <v>3568</v>
      </c>
      <c r="U503">
        <v>3030</v>
      </c>
      <c r="V503" t="s">
        <v>22</v>
      </c>
    </row>
    <row r="504" spans="1:22">
      <c r="A504" t="str">
        <f t="shared" si="171"/>
        <v>17/12/2025</v>
      </c>
      <c r="B504" t="str">
        <f t="shared" si="172"/>
        <v>ENTRADA</v>
      </c>
      <c r="C504" t="str">
        <f t="shared" si="173"/>
        <v>NFSE</v>
      </c>
      <c r="D504" t="str">
        <f t="shared" si="180"/>
        <v>4018</v>
      </c>
      <c r="E504" t="str">
        <f t="shared" si="175"/>
        <v>1</v>
      </c>
      <c r="F504" t="str">
        <f t="shared" si="176"/>
        <v>COM</v>
      </c>
      <c r="G504" t="str">
        <f t="shared" si="181"/>
        <v>FARMÁCIA INDIANA LJ 1 (10126)</v>
      </c>
      <c r="H504" t="s">
        <v>167</v>
      </c>
      <c r="I504" t="str">
        <f t="shared" si="178"/>
        <v>17/12/2025</v>
      </c>
      <c r="J504" t="str">
        <f t="shared" si="179"/>
        <v>09/12/2025</v>
      </c>
      <c r="K504">
        <v>46008</v>
      </c>
      <c r="N504">
        <v>303</v>
      </c>
      <c r="O504" t="s">
        <v>30</v>
      </c>
      <c r="Q504">
        <v>603.58000000000004</v>
      </c>
      <c r="R504" t="str">
        <f>"FARMÁCIA INDIANA LJ 40 (10016)"</f>
        <v>FARMÁCIA INDIANA LJ 40 (10016)</v>
      </c>
      <c r="S504" t="s">
        <v>31</v>
      </c>
      <c r="T504">
        <v>3568</v>
      </c>
      <c r="U504">
        <v>3030</v>
      </c>
      <c r="V504" t="s">
        <v>22</v>
      </c>
    </row>
    <row r="505" spans="1:22">
      <c r="A505" t="str">
        <f t="shared" si="171"/>
        <v>17/12/2025</v>
      </c>
      <c r="B505" t="str">
        <f t="shared" si="172"/>
        <v>ENTRADA</v>
      </c>
      <c r="C505" t="str">
        <f t="shared" si="173"/>
        <v>NFSE</v>
      </c>
      <c r="D505" t="str">
        <f t="shared" si="180"/>
        <v>4018</v>
      </c>
      <c r="E505" t="str">
        <f t="shared" si="175"/>
        <v>1</v>
      </c>
      <c r="F505" t="str">
        <f t="shared" si="176"/>
        <v>COM</v>
      </c>
      <c r="G505" t="str">
        <f t="shared" si="181"/>
        <v>FARMÁCIA INDIANA LJ 1 (10126)</v>
      </c>
      <c r="H505" t="s">
        <v>167</v>
      </c>
      <c r="I505" t="str">
        <f t="shared" si="178"/>
        <v>17/12/2025</v>
      </c>
      <c r="J505" t="str">
        <f t="shared" si="179"/>
        <v>09/12/2025</v>
      </c>
      <c r="K505">
        <v>46008</v>
      </c>
      <c r="N505">
        <v>303</v>
      </c>
      <c r="O505" t="s">
        <v>30</v>
      </c>
      <c r="Q505">
        <v>292.97000000000003</v>
      </c>
      <c r="R505" t="str">
        <f>"FARMÁCIA INDIANA LJ 59 (10026)"</f>
        <v>FARMÁCIA INDIANA LJ 59 (10026)</v>
      </c>
      <c r="S505" t="s">
        <v>31</v>
      </c>
      <c r="T505">
        <v>3568</v>
      </c>
      <c r="U505">
        <v>3030</v>
      </c>
      <c r="V505" t="s">
        <v>22</v>
      </c>
    </row>
    <row r="506" spans="1:22">
      <c r="A506" t="str">
        <f t="shared" si="171"/>
        <v>17/12/2025</v>
      </c>
      <c r="B506" t="str">
        <f t="shared" si="172"/>
        <v>ENTRADA</v>
      </c>
      <c r="C506" t="str">
        <f t="shared" si="173"/>
        <v>NFSE</v>
      </c>
      <c r="D506" t="str">
        <f t="shared" si="180"/>
        <v>4018</v>
      </c>
      <c r="E506" t="str">
        <f t="shared" si="175"/>
        <v>1</v>
      </c>
      <c r="F506" t="str">
        <f t="shared" si="176"/>
        <v>COM</v>
      </c>
      <c r="G506" t="str">
        <f t="shared" si="181"/>
        <v>FARMÁCIA INDIANA LJ 1 (10126)</v>
      </c>
      <c r="H506" t="s">
        <v>167</v>
      </c>
      <c r="I506" t="str">
        <f t="shared" si="178"/>
        <v>17/12/2025</v>
      </c>
      <c r="J506" t="str">
        <f t="shared" si="179"/>
        <v>09/12/2025</v>
      </c>
      <c r="K506">
        <v>46008</v>
      </c>
      <c r="N506">
        <v>303</v>
      </c>
      <c r="O506" t="s">
        <v>30</v>
      </c>
      <c r="Q506">
        <v>481.51</v>
      </c>
      <c r="R506" t="str">
        <f>"FARMÁCIA INDIANA LJ 61 (10027)"</f>
        <v>FARMÁCIA INDIANA LJ 61 (10027)</v>
      </c>
      <c r="S506" t="s">
        <v>31</v>
      </c>
      <c r="T506">
        <v>3568</v>
      </c>
      <c r="U506">
        <v>3030</v>
      </c>
      <c r="V506" t="s">
        <v>22</v>
      </c>
    </row>
    <row r="507" spans="1:22">
      <c r="A507" t="str">
        <f t="shared" si="171"/>
        <v>17/12/2025</v>
      </c>
      <c r="B507" t="str">
        <f t="shared" si="172"/>
        <v>ENTRADA</v>
      </c>
      <c r="C507" t="str">
        <f t="shared" si="173"/>
        <v>NFSE</v>
      </c>
      <c r="D507" t="str">
        <f t="shared" si="180"/>
        <v>4018</v>
      </c>
      <c r="E507" t="str">
        <f t="shared" si="175"/>
        <v>1</v>
      </c>
      <c r="F507" t="str">
        <f t="shared" si="176"/>
        <v>COM</v>
      </c>
      <c r="G507" t="str">
        <f t="shared" si="181"/>
        <v>FARMÁCIA INDIANA LJ 1 (10126)</v>
      </c>
      <c r="H507" t="s">
        <v>167</v>
      </c>
      <c r="I507" t="str">
        <f t="shared" si="178"/>
        <v>17/12/2025</v>
      </c>
      <c r="J507" t="str">
        <f t="shared" si="179"/>
        <v>09/12/2025</v>
      </c>
      <c r="K507">
        <v>46008</v>
      </c>
      <c r="N507">
        <v>303</v>
      </c>
      <c r="O507" t="s">
        <v>30</v>
      </c>
      <c r="Q507">
        <v>189.89</v>
      </c>
      <c r="R507" t="str">
        <f>"FARMÁCIA INDIANA LJ 62 (10028)"</f>
        <v>FARMÁCIA INDIANA LJ 62 (10028)</v>
      </c>
      <c r="S507" t="s">
        <v>31</v>
      </c>
      <c r="T507">
        <v>3568</v>
      </c>
      <c r="U507">
        <v>3030</v>
      </c>
      <c r="V507" t="s">
        <v>22</v>
      </c>
    </row>
    <row r="508" spans="1:22">
      <c r="A508" t="str">
        <f t="shared" si="171"/>
        <v>17/12/2025</v>
      </c>
      <c r="B508" t="str">
        <f t="shared" si="172"/>
        <v>ENTRADA</v>
      </c>
      <c r="C508" t="str">
        <f t="shared" si="173"/>
        <v>NFSE</v>
      </c>
      <c r="D508" t="str">
        <f t="shared" si="180"/>
        <v>4018</v>
      </c>
      <c r="E508" t="str">
        <f t="shared" si="175"/>
        <v>1</v>
      </c>
      <c r="F508" t="str">
        <f t="shared" si="176"/>
        <v>COM</v>
      </c>
      <c r="G508" t="str">
        <f t="shared" si="181"/>
        <v>FARMÁCIA INDIANA LJ 1 (10126)</v>
      </c>
      <c r="H508" t="s">
        <v>167</v>
      </c>
      <c r="I508" t="str">
        <f t="shared" si="178"/>
        <v>17/12/2025</v>
      </c>
      <c r="J508" t="str">
        <f t="shared" si="179"/>
        <v>09/12/2025</v>
      </c>
      <c r="K508">
        <v>46008</v>
      </c>
      <c r="N508">
        <v>303</v>
      </c>
      <c r="O508" t="s">
        <v>30</v>
      </c>
      <c r="Q508">
        <v>85.45</v>
      </c>
      <c r="R508" t="str">
        <f>"FARMÁCIA INDIANA LJ 64 (10029)"</f>
        <v>FARMÁCIA INDIANA LJ 64 (10029)</v>
      </c>
      <c r="S508" t="s">
        <v>31</v>
      </c>
      <c r="T508">
        <v>3568</v>
      </c>
      <c r="U508">
        <v>3030</v>
      </c>
      <c r="V508" t="s">
        <v>22</v>
      </c>
    </row>
    <row r="509" spans="1:22">
      <c r="A509" t="str">
        <f t="shared" si="171"/>
        <v>17/12/2025</v>
      </c>
      <c r="B509" t="str">
        <f t="shared" si="172"/>
        <v>ENTRADA</v>
      </c>
      <c r="C509" t="str">
        <f t="shared" si="173"/>
        <v>NFSE</v>
      </c>
      <c r="D509" t="str">
        <f t="shared" si="180"/>
        <v>4018</v>
      </c>
      <c r="E509" t="str">
        <f t="shared" si="175"/>
        <v>1</v>
      </c>
      <c r="F509" t="str">
        <f t="shared" si="176"/>
        <v>COM</v>
      </c>
      <c r="G509" t="str">
        <f t="shared" si="181"/>
        <v>FARMÁCIA INDIANA LJ 1 (10126)</v>
      </c>
      <c r="H509" t="s">
        <v>167</v>
      </c>
      <c r="I509" t="str">
        <f t="shared" si="178"/>
        <v>17/12/2025</v>
      </c>
      <c r="J509" t="str">
        <f t="shared" si="179"/>
        <v>09/12/2025</v>
      </c>
      <c r="K509">
        <v>46008</v>
      </c>
      <c r="N509">
        <v>303</v>
      </c>
      <c r="O509" t="s">
        <v>30</v>
      </c>
      <c r="Q509">
        <v>67.819999999999993</v>
      </c>
      <c r="R509" t="str">
        <f>"FARMÁCIA INDIANA LJ 97 (10040)"</f>
        <v>FARMÁCIA INDIANA LJ 97 (10040)</v>
      </c>
      <c r="S509" t="s">
        <v>31</v>
      </c>
      <c r="T509">
        <v>3568</v>
      </c>
      <c r="U509">
        <v>3030</v>
      </c>
      <c r="V509" t="s">
        <v>22</v>
      </c>
    </row>
    <row r="510" spans="1:22">
      <c r="A510" t="str">
        <f t="shared" si="171"/>
        <v>17/12/2025</v>
      </c>
      <c r="B510" t="str">
        <f t="shared" si="172"/>
        <v>ENTRADA</v>
      </c>
      <c r="C510" t="str">
        <f t="shared" si="173"/>
        <v>NFSE</v>
      </c>
      <c r="D510" t="str">
        <f t="shared" si="180"/>
        <v>4018</v>
      </c>
      <c r="E510" t="str">
        <f t="shared" si="175"/>
        <v>1</v>
      </c>
      <c r="F510" t="str">
        <f t="shared" si="176"/>
        <v>COM</v>
      </c>
      <c r="G510" t="str">
        <f t="shared" si="181"/>
        <v>FARMÁCIA INDIANA LJ 1 (10126)</v>
      </c>
      <c r="H510" t="s">
        <v>167</v>
      </c>
      <c r="I510" t="str">
        <f t="shared" si="178"/>
        <v>17/12/2025</v>
      </c>
      <c r="J510" t="str">
        <f t="shared" si="179"/>
        <v>09/12/2025</v>
      </c>
      <c r="K510">
        <v>46008</v>
      </c>
      <c r="N510">
        <v>303</v>
      </c>
      <c r="O510" t="s">
        <v>30</v>
      </c>
      <c r="Q510">
        <v>200.74</v>
      </c>
      <c r="R510" t="str">
        <f>"FARMÁCIA INDIANA LJ 100 (10042)"</f>
        <v>FARMÁCIA INDIANA LJ 100 (10042)</v>
      </c>
      <c r="S510" t="s">
        <v>31</v>
      </c>
      <c r="T510">
        <v>3568</v>
      </c>
      <c r="U510">
        <v>3030</v>
      </c>
      <c r="V510" t="s">
        <v>22</v>
      </c>
    </row>
    <row r="511" spans="1:22">
      <c r="A511" t="str">
        <f t="shared" si="171"/>
        <v>17/12/2025</v>
      </c>
      <c r="B511" t="str">
        <f t="shared" si="172"/>
        <v>ENTRADA</v>
      </c>
      <c r="C511" t="str">
        <f t="shared" si="173"/>
        <v>NFSE</v>
      </c>
      <c r="D511" t="str">
        <f t="shared" si="180"/>
        <v>4018</v>
      </c>
      <c r="E511" t="str">
        <f t="shared" si="175"/>
        <v>1</v>
      </c>
      <c r="F511" t="str">
        <f t="shared" si="176"/>
        <v>COM</v>
      </c>
      <c r="G511" t="str">
        <f t="shared" si="181"/>
        <v>FARMÁCIA INDIANA LJ 1 (10126)</v>
      </c>
      <c r="H511" t="s">
        <v>167</v>
      </c>
      <c r="I511" t="str">
        <f t="shared" si="178"/>
        <v>17/12/2025</v>
      </c>
      <c r="J511" t="str">
        <f t="shared" si="179"/>
        <v>09/12/2025</v>
      </c>
      <c r="K511">
        <v>46008</v>
      </c>
      <c r="N511">
        <v>303</v>
      </c>
      <c r="O511" t="s">
        <v>30</v>
      </c>
      <c r="Q511">
        <v>777.2</v>
      </c>
      <c r="R511" t="str">
        <f>"FARMÁCIA INDIANA LJ 101 (10043)"</f>
        <v>FARMÁCIA INDIANA LJ 101 (10043)</v>
      </c>
      <c r="S511" t="s">
        <v>31</v>
      </c>
      <c r="T511">
        <v>3568</v>
      </c>
      <c r="U511">
        <v>3030</v>
      </c>
      <c r="V511" t="s">
        <v>22</v>
      </c>
    </row>
    <row r="512" spans="1:22">
      <c r="A512" t="str">
        <f t="shared" si="171"/>
        <v>17/12/2025</v>
      </c>
      <c r="B512" t="str">
        <f t="shared" si="172"/>
        <v>ENTRADA</v>
      </c>
      <c r="C512" t="str">
        <f t="shared" si="173"/>
        <v>NFSE</v>
      </c>
      <c r="D512" t="str">
        <f t="shared" si="180"/>
        <v>4018</v>
      </c>
      <c r="E512" t="str">
        <f t="shared" si="175"/>
        <v>1</v>
      </c>
      <c r="F512" t="str">
        <f t="shared" si="176"/>
        <v>COM</v>
      </c>
      <c r="G512" t="str">
        <f t="shared" si="181"/>
        <v>FARMÁCIA INDIANA LJ 1 (10126)</v>
      </c>
      <c r="H512" t="s">
        <v>167</v>
      </c>
      <c r="I512" t="str">
        <f t="shared" si="178"/>
        <v>17/12/2025</v>
      </c>
      <c r="J512" t="str">
        <f t="shared" si="179"/>
        <v>09/12/2025</v>
      </c>
      <c r="K512">
        <v>46008</v>
      </c>
      <c r="N512">
        <v>303</v>
      </c>
      <c r="O512" t="s">
        <v>30</v>
      </c>
      <c r="Q512">
        <v>89.52</v>
      </c>
      <c r="R512" t="str">
        <f>"FARMÁCIA INDIANA LJ 103 (10044)"</f>
        <v>FARMÁCIA INDIANA LJ 103 (10044)</v>
      </c>
      <c r="S512" t="s">
        <v>31</v>
      </c>
      <c r="T512">
        <v>3568</v>
      </c>
      <c r="U512">
        <v>3030</v>
      </c>
      <c r="V512" t="s">
        <v>22</v>
      </c>
    </row>
    <row r="513" spans="1:22">
      <c r="A513" t="str">
        <f t="shared" si="171"/>
        <v>17/12/2025</v>
      </c>
      <c r="B513" t="str">
        <f t="shared" si="172"/>
        <v>ENTRADA</v>
      </c>
      <c r="C513" t="str">
        <f t="shared" si="173"/>
        <v>NFSE</v>
      </c>
      <c r="D513" t="str">
        <f t="shared" si="180"/>
        <v>4018</v>
      </c>
      <c r="E513" t="str">
        <f t="shared" si="175"/>
        <v>1</v>
      </c>
      <c r="F513" t="str">
        <f t="shared" si="176"/>
        <v>COM</v>
      </c>
      <c r="G513" t="str">
        <f t="shared" si="181"/>
        <v>FARMÁCIA INDIANA LJ 1 (10126)</v>
      </c>
      <c r="H513" t="s">
        <v>167</v>
      </c>
      <c r="I513" t="str">
        <f t="shared" si="178"/>
        <v>17/12/2025</v>
      </c>
      <c r="J513" t="str">
        <f t="shared" si="179"/>
        <v>09/12/2025</v>
      </c>
      <c r="K513">
        <v>46008</v>
      </c>
      <c r="N513">
        <v>303</v>
      </c>
      <c r="O513" t="s">
        <v>30</v>
      </c>
      <c r="Q513">
        <v>244.15</v>
      </c>
      <c r="R513" t="str">
        <f>"FARMÁCIA INDIANA LJ 109 (10047)"</f>
        <v>FARMÁCIA INDIANA LJ 109 (10047)</v>
      </c>
      <c r="S513" t="s">
        <v>31</v>
      </c>
      <c r="T513">
        <v>3568</v>
      </c>
      <c r="U513">
        <v>3030</v>
      </c>
      <c r="V513" t="s">
        <v>22</v>
      </c>
    </row>
    <row r="514" spans="1:22">
      <c r="A514" t="str">
        <f t="shared" si="171"/>
        <v>17/12/2025</v>
      </c>
      <c r="B514" t="str">
        <f t="shared" si="172"/>
        <v>ENTRADA</v>
      </c>
      <c r="C514" t="str">
        <f t="shared" si="173"/>
        <v>NFSE</v>
      </c>
      <c r="D514" t="str">
        <f t="shared" si="180"/>
        <v>4018</v>
      </c>
      <c r="E514" t="str">
        <f t="shared" si="175"/>
        <v>1</v>
      </c>
      <c r="F514" t="str">
        <f t="shared" si="176"/>
        <v>COM</v>
      </c>
      <c r="G514" t="str">
        <f t="shared" si="181"/>
        <v>FARMÁCIA INDIANA LJ 1 (10126)</v>
      </c>
      <c r="H514" t="s">
        <v>167</v>
      </c>
      <c r="I514" t="str">
        <f t="shared" si="178"/>
        <v>17/12/2025</v>
      </c>
      <c r="J514" t="str">
        <f t="shared" si="179"/>
        <v>09/12/2025</v>
      </c>
      <c r="K514">
        <v>46008</v>
      </c>
      <c r="N514">
        <v>303</v>
      </c>
      <c r="O514" t="s">
        <v>30</v>
      </c>
      <c r="Q514">
        <v>397.41</v>
      </c>
      <c r="R514" t="str">
        <f>"FARMÁCIA INDIANA LJ 110 (10048)"</f>
        <v>FARMÁCIA INDIANA LJ 110 (10048)</v>
      </c>
      <c r="S514" t="s">
        <v>31</v>
      </c>
      <c r="T514">
        <v>3568</v>
      </c>
      <c r="U514">
        <v>3030</v>
      </c>
      <c r="V514" t="s">
        <v>22</v>
      </c>
    </row>
    <row r="515" spans="1:22">
      <c r="A515" t="str">
        <f t="shared" si="171"/>
        <v>17/12/2025</v>
      </c>
      <c r="B515" t="str">
        <f t="shared" si="172"/>
        <v>ENTRADA</v>
      </c>
      <c r="C515" t="str">
        <f t="shared" si="173"/>
        <v>NFSE</v>
      </c>
      <c r="D515" t="str">
        <f t="shared" si="180"/>
        <v>4018</v>
      </c>
      <c r="E515" t="str">
        <f t="shared" si="175"/>
        <v>1</v>
      </c>
      <c r="F515" t="str">
        <f t="shared" si="176"/>
        <v>COM</v>
      </c>
      <c r="G515" t="str">
        <f t="shared" si="181"/>
        <v>FARMÁCIA INDIANA LJ 1 (10126)</v>
      </c>
      <c r="H515" t="s">
        <v>167</v>
      </c>
      <c r="I515" t="str">
        <f t="shared" si="178"/>
        <v>17/12/2025</v>
      </c>
      <c r="J515" t="str">
        <f t="shared" si="179"/>
        <v>09/12/2025</v>
      </c>
      <c r="K515">
        <v>46008</v>
      </c>
      <c r="N515">
        <v>303</v>
      </c>
      <c r="O515" t="s">
        <v>30</v>
      </c>
      <c r="Q515">
        <v>65.11</v>
      </c>
      <c r="R515" t="str">
        <f>"FARMÁCIA INDIANA LJ 111 (10049)"</f>
        <v>FARMÁCIA INDIANA LJ 111 (10049)</v>
      </c>
      <c r="S515" t="s">
        <v>31</v>
      </c>
      <c r="T515">
        <v>3568</v>
      </c>
      <c r="U515">
        <v>3030</v>
      </c>
      <c r="V515" t="s">
        <v>22</v>
      </c>
    </row>
    <row r="516" spans="1:22">
      <c r="A516" t="str">
        <f t="shared" si="171"/>
        <v>17/12/2025</v>
      </c>
      <c r="B516" t="str">
        <f t="shared" si="172"/>
        <v>ENTRADA</v>
      </c>
      <c r="C516" t="str">
        <f t="shared" si="173"/>
        <v>NFSE</v>
      </c>
      <c r="D516" t="str">
        <f t="shared" si="180"/>
        <v>4018</v>
      </c>
      <c r="E516" t="str">
        <f t="shared" si="175"/>
        <v>1</v>
      </c>
      <c r="F516" t="str">
        <f t="shared" si="176"/>
        <v>COM</v>
      </c>
      <c r="G516" t="str">
        <f t="shared" si="181"/>
        <v>FARMÁCIA INDIANA LJ 1 (10126)</v>
      </c>
      <c r="H516" t="s">
        <v>167</v>
      </c>
      <c r="I516" t="str">
        <f t="shared" si="178"/>
        <v>17/12/2025</v>
      </c>
      <c r="J516" t="str">
        <f t="shared" si="179"/>
        <v>09/12/2025</v>
      </c>
      <c r="K516">
        <v>46008</v>
      </c>
      <c r="N516">
        <v>303</v>
      </c>
      <c r="O516" t="s">
        <v>30</v>
      </c>
      <c r="Q516">
        <v>100.37</v>
      </c>
      <c r="R516" t="str">
        <f>"FARMÁCIA INDIANA LJ 112 (10050)"</f>
        <v>FARMÁCIA INDIANA LJ 112 (10050)</v>
      </c>
      <c r="S516" t="s">
        <v>31</v>
      </c>
      <c r="T516">
        <v>3568</v>
      </c>
      <c r="U516">
        <v>3030</v>
      </c>
      <c r="V516" t="s">
        <v>22</v>
      </c>
    </row>
    <row r="517" spans="1:22">
      <c r="A517" t="str">
        <f t="shared" ref="A517:A548" si="182">("17/12/2025")</f>
        <v>17/12/2025</v>
      </c>
      <c r="B517" t="str">
        <f t="shared" si="172"/>
        <v>ENTRADA</v>
      </c>
      <c r="C517" t="str">
        <f t="shared" si="173"/>
        <v>NFSE</v>
      </c>
      <c r="D517" t="str">
        <f t="shared" si="180"/>
        <v>4018</v>
      </c>
      <c r="E517" t="str">
        <f t="shared" si="175"/>
        <v>1</v>
      </c>
      <c r="F517" t="str">
        <f t="shared" si="176"/>
        <v>COM</v>
      </c>
      <c r="G517" t="str">
        <f t="shared" si="181"/>
        <v>FARMÁCIA INDIANA LJ 1 (10126)</v>
      </c>
      <c r="H517" t="s">
        <v>167</v>
      </c>
      <c r="I517" t="str">
        <f t="shared" si="178"/>
        <v>17/12/2025</v>
      </c>
      <c r="J517" t="str">
        <f t="shared" si="179"/>
        <v>09/12/2025</v>
      </c>
      <c r="K517">
        <v>46008</v>
      </c>
      <c r="N517">
        <v>303</v>
      </c>
      <c r="O517" t="s">
        <v>30</v>
      </c>
      <c r="Q517">
        <v>100.37</v>
      </c>
      <c r="R517" t="str">
        <f>"FARMÁCIA INDIANA LJ 116 (10051)"</f>
        <v>FARMÁCIA INDIANA LJ 116 (10051)</v>
      </c>
      <c r="S517" t="s">
        <v>31</v>
      </c>
      <c r="T517">
        <v>3568</v>
      </c>
      <c r="U517">
        <v>3030</v>
      </c>
      <c r="V517" t="s">
        <v>22</v>
      </c>
    </row>
    <row r="518" spans="1:22">
      <c r="A518" t="str">
        <f t="shared" si="182"/>
        <v>17/12/2025</v>
      </c>
      <c r="B518" t="str">
        <f t="shared" ref="B518:B549" si="183">"ENTRADA"</f>
        <v>ENTRADA</v>
      </c>
      <c r="C518" t="str">
        <f t="shared" ref="C518:C549" si="184">"NFSE"</f>
        <v>NFSE</v>
      </c>
      <c r="D518" t="str">
        <f t="shared" si="180"/>
        <v>4018</v>
      </c>
      <c r="E518" t="str">
        <f t="shared" ref="E518:E549" si="185">"1"</f>
        <v>1</v>
      </c>
      <c r="F518" t="str">
        <f t="shared" ref="F518:F549" si="186">"COM"</f>
        <v>COM</v>
      </c>
      <c r="G518" t="str">
        <f t="shared" si="181"/>
        <v>FARMÁCIA INDIANA LJ 1 (10126)</v>
      </c>
      <c r="H518" t="s">
        <v>167</v>
      </c>
      <c r="I518" t="str">
        <f t="shared" ref="I518:I549" si="187">("17/12/2025")</f>
        <v>17/12/2025</v>
      </c>
      <c r="J518" t="str">
        <f t="shared" ref="J518:J549" si="188">("09/12/2025")</f>
        <v>09/12/2025</v>
      </c>
      <c r="K518">
        <v>46008</v>
      </c>
      <c r="N518">
        <v>303</v>
      </c>
      <c r="O518" t="s">
        <v>30</v>
      </c>
      <c r="Q518">
        <v>96.3</v>
      </c>
      <c r="R518" t="str">
        <f>"FARMÁCIA INDIANA LJ 118 (10052)"</f>
        <v>FARMÁCIA INDIANA LJ 118 (10052)</v>
      </c>
      <c r="S518" t="s">
        <v>31</v>
      </c>
      <c r="T518">
        <v>3568</v>
      </c>
      <c r="U518">
        <v>3030</v>
      </c>
      <c r="V518" t="s">
        <v>22</v>
      </c>
    </row>
    <row r="519" spans="1:22">
      <c r="A519" t="str">
        <f t="shared" si="182"/>
        <v>17/12/2025</v>
      </c>
      <c r="B519" t="str">
        <f t="shared" si="183"/>
        <v>ENTRADA</v>
      </c>
      <c r="C519" t="str">
        <f t="shared" si="184"/>
        <v>NFSE</v>
      </c>
      <c r="D519" t="str">
        <f t="shared" si="180"/>
        <v>4018</v>
      </c>
      <c r="E519" t="str">
        <f t="shared" si="185"/>
        <v>1</v>
      </c>
      <c r="F519" t="str">
        <f t="shared" si="186"/>
        <v>COM</v>
      </c>
      <c r="G519" t="str">
        <f t="shared" si="181"/>
        <v>FARMÁCIA INDIANA LJ 1 (10126)</v>
      </c>
      <c r="H519" t="s">
        <v>167</v>
      </c>
      <c r="I519" t="str">
        <f t="shared" si="187"/>
        <v>17/12/2025</v>
      </c>
      <c r="J519" t="str">
        <f t="shared" si="188"/>
        <v>09/12/2025</v>
      </c>
      <c r="K519">
        <v>46008</v>
      </c>
      <c r="N519">
        <v>303</v>
      </c>
      <c r="O519" t="s">
        <v>30</v>
      </c>
      <c r="Q519">
        <v>100.37</v>
      </c>
      <c r="R519" t="str">
        <f>"FARMÁCIA INDIANA LJ 121 (10054)"</f>
        <v>FARMÁCIA INDIANA LJ 121 (10054)</v>
      </c>
      <c r="S519" t="s">
        <v>31</v>
      </c>
      <c r="T519">
        <v>3568</v>
      </c>
      <c r="U519">
        <v>3030</v>
      </c>
      <c r="V519" t="s">
        <v>22</v>
      </c>
    </row>
    <row r="520" spans="1:22">
      <c r="A520" t="str">
        <f t="shared" si="182"/>
        <v>17/12/2025</v>
      </c>
      <c r="B520" t="str">
        <f t="shared" si="183"/>
        <v>ENTRADA</v>
      </c>
      <c r="C520" t="str">
        <f t="shared" si="184"/>
        <v>NFSE</v>
      </c>
      <c r="D520" t="str">
        <f t="shared" si="180"/>
        <v>4018</v>
      </c>
      <c r="E520" t="str">
        <f t="shared" si="185"/>
        <v>1</v>
      </c>
      <c r="F520" t="str">
        <f t="shared" si="186"/>
        <v>COM</v>
      </c>
      <c r="G520" t="str">
        <f t="shared" si="181"/>
        <v>FARMÁCIA INDIANA LJ 1 (10126)</v>
      </c>
      <c r="H520" t="s">
        <v>167</v>
      </c>
      <c r="I520" t="str">
        <f t="shared" si="187"/>
        <v>17/12/2025</v>
      </c>
      <c r="J520" t="str">
        <f t="shared" si="188"/>
        <v>09/12/2025</v>
      </c>
      <c r="K520">
        <v>46008</v>
      </c>
      <c r="N520">
        <v>303</v>
      </c>
      <c r="O520" t="s">
        <v>30</v>
      </c>
      <c r="Q520">
        <v>100.37</v>
      </c>
      <c r="R520" t="str">
        <f>"FARMÁCIA INDIANA LJ 128 (10057)"</f>
        <v>FARMÁCIA INDIANA LJ 128 (10057)</v>
      </c>
      <c r="S520" t="s">
        <v>31</v>
      </c>
      <c r="T520">
        <v>3568</v>
      </c>
      <c r="U520">
        <v>3030</v>
      </c>
      <c r="V520" t="s">
        <v>22</v>
      </c>
    </row>
    <row r="521" spans="1:22">
      <c r="A521" t="str">
        <f t="shared" si="182"/>
        <v>17/12/2025</v>
      </c>
      <c r="B521" t="str">
        <f t="shared" si="183"/>
        <v>ENTRADA</v>
      </c>
      <c r="C521" t="str">
        <f t="shared" si="184"/>
        <v>NFSE</v>
      </c>
      <c r="D521" t="str">
        <f t="shared" si="180"/>
        <v>4018</v>
      </c>
      <c r="E521" t="str">
        <f t="shared" si="185"/>
        <v>1</v>
      </c>
      <c r="F521" t="str">
        <f t="shared" si="186"/>
        <v>COM</v>
      </c>
      <c r="G521" t="str">
        <f t="shared" si="181"/>
        <v>FARMÁCIA INDIANA LJ 1 (10126)</v>
      </c>
      <c r="H521" t="s">
        <v>167</v>
      </c>
      <c r="I521" t="str">
        <f t="shared" si="187"/>
        <v>17/12/2025</v>
      </c>
      <c r="J521" t="str">
        <f t="shared" si="188"/>
        <v>09/12/2025</v>
      </c>
      <c r="K521">
        <v>46008</v>
      </c>
      <c r="N521">
        <v>303</v>
      </c>
      <c r="O521" t="s">
        <v>30</v>
      </c>
      <c r="Q521">
        <v>17.63</v>
      </c>
      <c r="R521" t="str">
        <f>"FARMÁCIA INDIANA LJ 140 (10064)"</f>
        <v>FARMÁCIA INDIANA LJ 140 (10064)</v>
      </c>
      <c r="S521" t="s">
        <v>31</v>
      </c>
      <c r="T521">
        <v>3568</v>
      </c>
      <c r="U521">
        <v>3030</v>
      </c>
      <c r="V521" t="s">
        <v>22</v>
      </c>
    </row>
    <row r="522" spans="1:22">
      <c r="A522" t="str">
        <f t="shared" si="182"/>
        <v>17/12/2025</v>
      </c>
      <c r="B522" t="str">
        <f t="shared" si="183"/>
        <v>ENTRADA</v>
      </c>
      <c r="C522" t="str">
        <f t="shared" si="184"/>
        <v>NFSE</v>
      </c>
      <c r="D522" t="str">
        <f t="shared" si="180"/>
        <v>4018</v>
      </c>
      <c r="E522" t="str">
        <f t="shared" si="185"/>
        <v>1</v>
      </c>
      <c r="F522" t="str">
        <f t="shared" si="186"/>
        <v>COM</v>
      </c>
      <c r="G522" t="str">
        <f t="shared" si="181"/>
        <v>FARMÁCIA INDIANA LJ 1 (10126)</v>
      </c>
      <c r="H522" t="s">
        <v>167</v>
      </c>
      <c r="I522" t="str">
        <f t="shared" si="187"/>
        <v>17/12/2025</v>
      </c>
      <c r="J522" t="str">
        <f t="shared" si="188"/>
        <v>09/12/2025</v>
      </c>
      <c r="K522">
        <v>46008</v>
      </c>
      <c r="N522">
        <v>303</v>
      </c>
      <c r="O522" t="s">
        <v>30</v>
      </c>
      <c r="Q522">
        <v>12.21</v>
      </c>
      <c r="R522" t="str">
        <f>"FARMÁCIA INDIANA LJ 141 (10065)"</f>
        <v>FARMÁCIA INDIANA LJ 141 (10065)</v>
      </c>
      <c r="S522" t="s">
        <v>31</v>
      </c>
      <c r="T522">
        <v>3568</v>
      </c>
      <c r="U522">
        <v>3030</v>
      </c>
      <c r="V522" t="s">
        <v>22</v>
      </c>
    </row>
    <row r="523" spans="1:22">
      <c r="A523" t="str">
        <f t="shared" si="182"/>
        <v>17/12/2025</v>
      </c>
      <c r="B523" t="str">
        <f t="shared" si="183"/>
        <v>ENTRADA</v>
      </c>
      <c r="C523" t="str">
        <f t="shared" si="184"/>
        <v>NFSE</v>
      </c>
      <c r="D523" t="str">
        <f t="shared" si="180"/>
        <v>4018</v>
      </c>
      <c r="E523" t="str">
        <f t="shared" si="185"/>
        <v>1</v>
      </c>
      <c r="F523" t="str">
        <f t="shared" si="186"/>
        <v>COM</v>
      </c>
      <c r="G523" t="str">
        <f t="shared" si="181"/>
        <v>FARMÁCIA INDIANA LJ 1 (10126)</v>
      </c>
      <c r="H523" t="s">
        <v>167</v>
      </c>
      <c r="I523" t="str">
        <f t="shared" si="187"/>
        <v>17/12/2025</v>
      </c>
      <c r="J523" t="str">
        <f t="shared" si="188"/>
        <v>09/12/2025</v>
      </c>
      <c r="K523">
        <v>46008</v>
      </c>
      <c r="N523">
        <v>303</v>
      </c>
      <c r="O523" t="s">
        <v>30</v>
      </c>
      <c r="Q523">
        <v>758.21</v>
      </c>
      <c r="R523" t="str">
        <f>"FARMÁCIA INDIANA LJ 142 (10066)"</f>
        <v>FARMÁCIA INDIANA LJ 142 (10066)</v>
      </c>
      <c r="S523" t="s">
        <v>31</v>
      </c>
      <c r="T523">
        <v>3568</v>
      </c>
      <c r="U523">
        <v>3030</v>
      </c>
      <c r="V523" t="s">
        <v>22</v>
      </c>
    </row>
    <row r="524" spans="1:22">
      <c r="A524" t="str">
        <f t="shared" si="182"/>
        <v>17/12/2025</v>
      </c>
      <c r="B524" t="str">
        <f t="shared" si="183"/>
        <v>ENTRADA</v>
      </c>
      <c r="C524" t="str">
        <f t="shared" si="184"/>
        <v>NFSE</v>
      </c>
      <c r="D524" t="str">
        <f t="shared" si="180"/>
        <v>4018</v>
      </c>
      <c r="E524" t="str">
        <f t="shared" si="185"/>
        <v>1</v>
      </c>
      <c r="F524" t="str">
        <f t="shared" si="186"/>
        <v>COM</v>
      </c>
      <c r="G524" t="str">
        <f t="shared" si="181"/>
        <v>FARMÁCIA INDIANA LJ 1 (10126)</v>
      </c>
      <c r="H524" t="s">
        <v>167</v>
      </c>
      <c r="I524" t="str">
        <f t="shared" si="187"/>
        <v>17/12/2025</v>
      </c>
      <c r="J524" t="str">
        <f t="shared" si="188"/>
        <v>09/12/2025</v>
      </c>
      <c r="K524">
        <v>46008</v>
      </c>
      <c r="N524">
        <v>303</v>
      </c>
      <c r="O524" t="s">
        <v>30</v>
      </c>
      <c r="Q524">
        <v>67.819999999999993</v>
      </c>
      <c r="R524" t="str">
        <f>"FARMÁCIA INDIANA LJ 143 (10067)"</f>
        <v>FARMÁCIA INDIANA LJ 143 (10067)</v>
      </c>
      <c r="S524" t="s">
        <v>31</v>
      </c>
      <c r="T524">
        <v>3568</v>
      </c>
      <c r="U524">
        <v>3030</v>
      </c>
      <c r="V524" t="s">
        <v>22</v>
      </c>
    </row>
    <row r="525" spans="1:22">
      <c r="A525" t="str">
        <f t="shared" si="182"/>
        <v>17/12/2025</v>
      </c>
      <c r="B525" t="str">
        <f t="shared" si="183"/>
        <v>ENTRADA</v>
      </c>
      <c r="C525" t="str">
        <f t="shared" si="184"/>
        <v>NFSE</v>
      </c>
      <c r="D525" t="str">
        <f t="shared" si="180"/>
        <v>4018</v>
      </c>
      <c r="E525" t="str">
        <f t="shared" si="185"/>
        <v>1</v>
      </c>
      <c r="F525" t="str">
        <f t="shared" si="186"/>
        <v>COM</v>
      </c>
      <c r="G525" t="str">
        <f t="shared" si="181"/>
        <v>FARMÁCIA INDIANA LJ 1 (10126)</v>
      </c>
      <c r="H525" t="s">
        <v>167</v>
      </c>
      <c r="I525" t="str">
        <f t="shared" si="187"/>
        <v>17/12/2025</v>
      </c>
      <c r="J525" t="str">
        <f t="shared" si="188"/>
        <v>09/12/2025</v>
      </c>
      <c r="K525">
        <v>46008</v>
      </c>
      <c r="N525">
        <v>303</v>
      </c>
      <c r="O525" t="s">
        <v>30</v>
      </c>
      <c r="Q525">
        <v>364.86</v>
      </c>
      <c r="R525" t="str">
        <f>"FARMÁCIA INDIANA LJ 152 (10069)"</f>
        <v>FARMÁCIA INDIANA LJ 152 (10069)</v>
      </c>
      <c r="S525" t="s">
        <v>31</v>
      </c>
      <c r="T525">
        <v>3568</v>
      </c>
      <c r="U525">
        <v>3030</v>
      </c>
      <c r="V525" t="s">
        <v>22</v>
      </c>
    </row>
    <row r="526" spans="1:22">
      <c r="A526" t="str">
        <f t="shared" si="182"/>
        <v>17/12/2025</v>
      </c>
      <c r="B526" t="str">
        <f t="shared" si="183"/>
        <v>ENTRADA</v>
      </c>
      <c r="C526" t="str">
        <f t="shared" si="184"/>
        <v>NFSE</v>
      </c>
      <c r="D526" t="str">
        <f t="shared" si="180"/>
        <v>4018</v>
      </c>
      <c r="E526" t="str">
        <f t="shared" si="185"/>
        <v>1</v>
      </c>
      <c r="F526" t="str">
        <f t="shared" si="186"/>
        <v>COM</v>
      </c>
      <c r="G526" t="str">
        <f t="shared" si="181"/>
        <v>FARMÁCIA INDIANA LJ 1 (10126)</v>
      </c>
      <c r="H526" t="s">
        <v>167</v>
      </c>
      <c r="I526" t="str">
        <f t="shared" si="187"/>
        <v>17/12/2025</v>
      </c>
      <c r="J526" t="str">
        <f t="shared" si="188"/>
        <v>09/12/2025</v>
      </c>
      <c r="K526">
        <v>46008</v>
      </c>
      <c r="N526">
        <v>303</v>
      </c>
      <c r="O526" t="s">
        <v>30</v>
      </c>
      <c r="Q526">
        <v>27.13</v>
      </c>
      <c r="R526" t="str">
        <f>"FARMÁCIA INDIANA LJ 154 (10070)"</f>
        <v>FARMÁCIA INDIANA LJ 154 (10070)</v>
      </c>
      <c r="S526" t="s">
        <v>31</v>
      </c>
      <c r="T526">
        <v>3568</v>
      </c>
      <c r="U526">
        <v>3030</v>
      </c>
      <c r="V526" t="s">
        <v>22</v>
      </c>
    </row>
    <row r="527" spans="1:22">
      <c r="A527" t="str">
        <f t="shared" si="182"/>
        <v>17/12/2025</v>
      </c>
      <c r="B527" t="str">
        <f t="shared" si="183"/>
        <v>ENTRADA</v>
      </c>
      <c r="C527" t="str">
        <f t="shared" si="184"/>
        <v>NFSE</v>
      </c>
      <c r="D527" t="str">
        <f t="shared" si="180"/>
        <v>4018</v>
      </c>
      <c r="E527" t="str">
        <f t="shared" si="185"/>
        <v>1</v>
      </c>
      <c r="F527" t="str">
        <f t="shared" si="186"/>
        <v>COM</v>
      </c>
      <c r="G527" t="str">
        <f t="shared" si="181"/>
        <v>FARMÁCIA INDIANA LJ 1 (10126)</v>
      </c>
      <c r="H527" t="s">
        <v>167</v>
      </c>
      <c r="I527" t="str">
        <f t="shared" si="187"/>
        <v>17/12/2025</v>
      </c>
      <c r="J527" t="str">
        <f t="shared" si="188"/>
        <v>09/12/2025</v>
      </c>
      <c r="K527">
        <v>46008</v>
      </c>
      <c r="N527">
        <v>303</v>
      </c>
      <c r="O527" t="s">
        <v>30</v>
      </c>
      <c r="Q527">
        <v>214.31</v>
      </c>
      <c r="R527" t="str">
        <f>"FARMÁCIA INDIANA LJ 171 (10074)"</f>
        <v>FARMÁCIA INDIANA LJ 171 (10074)</v>
      </c>
      <c r="S527" t="s">
        <v>31</v>
      </c>
      <c r="T527">
        <v>3568</v>
      </c>
      <c r="U527">
        <v>3030</v>
      </c>
      <c r="V527" t="s">
        <v>22</v>
      </c>
    </row>
    <row r="528" spans="1:22">
      <c r="A528" t="str">
        <f t="shared" si="182"/>
        <v>17/12/2025</v>
      </c>
      <c r="B528" t="str">
        <f t="shared" si="183"/>
        <v>ENTRADA</v>
      </c>
      <c r="C528" t="str">
        <f t="shared" si="184"/>
        <v>NFSE</v>
      </c>
      <c r="D528" t="str">
        <f t="shared" si="180"/>
        <v>4018</v>
      </c>
      <c r="E528" t="str">
        <f t="shared" si="185"/>
        <v>1</v>
      </c>
      <c r="F528" t="str">
        <f t="shared" si="186"/>
        <v>COM</v>
      </c>
      <c r="G528" t="str">
        <f t="shared" si="181"/>
        <v>FARMÁCIA INDIANA LJ 1 (10126)</v>
      </c>
      <c r="H528" t="s">
        <v>167</v>
      </c>
      <c r="I528" t="str">
        <f t="shared" si="187"/>
        <v>17/12/2025</v>
      </c>
      <c r="J528" t="str">
        <f t="shared" si="188"/>
        <v>09/12/2025</v>
      </c>
      <c r="K528">
        <v>46008</v>
      </c>
      <c r="N528">
        <v>303</v>
      </c>
      <c r="O528" t="s">
        <v>30</v>
      </c>
      <c r="Q528">
        <v>82.74</v>
      </c>
      <c r="R528" t="str">
        <f>"FARMÁCIA INDIANA LJ 175 (10076)"</f>
        <v>FARMÁCIA INDIANA LJ 175 (10076)</v>
      </c>
      <c r="S528" t="s">
        <v>31</v>
      </c>
      <c r="T528">
        <v>3568</v>
      </c>
      <c r="U528">
        <v>3030</v>
      </c>
      <c r="V528" t="s">
        <v>22</v>
      </c>
    </row>
    <row r="529" spans="1:22">
      <c r="A529" t="str">
        <f t="shared" si="182"/>
        <v>17/12/2025</v>
      </c>
      <c r="B529" t="str">
        <f t="shared" si="183"/>
        <v>ENTRADA</v>
      </c>
      <c r="C529" t="str">
        <f t="shared" si="184"/>
        <v>NFSE</v>
      </c>
      <c r="D529" t="str">
        <f t="shared" ref="D529:D546" si="189">"4018"</f>
        <v>4018</v>
      </c>
      <c r="E529" t="str">
        <f t="shared" si="185"/>
        <v>1</v>
      </c>
      <c r="F529" t="str">
        <f t="shared" si="186"/>
        <v>COM</v>
      </c>
      <c r="G529" t="str">
        <f t="shared" ref="G529:G546" si="190">"FARMÁCIA INDIANA LJ 1 (10126)"</f>
        <v>FARMÁCIA INDIANA LJ 1 (10126)</v>
      </c>
      <c r="H529" t="s">
        <v>167</v>
      </c>
      <c r="I529" t="str">
        <f t="shared" si="187"/>
        <v>17/12/2025</v>
      </c>
      <c r="J529" t="str">
        <f t="shared" si="188"/>
        <v>09/12/2025</v>
      </c>
      <c r="K529">
        <v>46008</v>
      </c>
      <c r="N529">
        <v>303</v>
      </c>
      <c r="O529" t="s">
        <v>30</v>
      </c>
      <c r="Q529">
        <v>128.85</v>
      </c>
      <c r="R529" t="str">
        <f>"FARMÁCIA INDIANA LJ 178 (10077)"</f>
        <v>FARMÁCIA INDIANA LJ 178 (10077)</v>
      </c>
      <c r="S529" t="s">
        <v>31</v>
      </c>
      <c r="T529">
        <v>3568</v>
      </c>
      <c r="U529">
        <v>3030</v>
      </c>
      <c r="V529" t="s">
        <v>22</v>
      </c>
    </row>
    <row r="530" spans="1:22">
      <c r="A530" t="str">
        <f t="shared" si="182"/>
        <v>17/12/2025</v>
      </c>
      <c r="B530" t="str">
        <f t="shared" si="183"/>
        <v>ENTRADA</v>
      </c>
      <c r="C530" t="str">
        <f t="shared" si="184"/>
        <v>NFSE</v>
      </c>
      <c r="D530" t="str">
        <f t="shared" si="189"/>
        <v>4018</v>
      </c>
      <c r="E530" t="str">
        <f t="shared" si="185"/>
        <v>1</v>
      </c>
      <c r="F530" t="str">
        <f t="shared" si="186"/>
        <v>COM</v>
      </c>
      <c r="G530" t="str">
        <f t="shared" si="190"/>
        <v>FARMÁCIA INDIANA LJ 1 (10126)</v>
      </c>
      <c r="H530" t="s">
        <v>167</v>
      </c>
      <c r="I530" t="str">
        <f t="shared" si="187"/>
        <v>17/12/2025</v>
      </c>
      <c r="J530" t="str">
        <f t="shared" si="188"/>
        <v>09/12/2025</v>
      </c>
      <c r="K530">
        <v>46008</v>
      </c>
      <c r="N530">
        <v>303</v>
      </c>
      <c r="O530" t="s">
        <v>30</v>
      </c>
      <c r="Q530">
        <v>50.19</v>
      </c>
      <c r="R530" t="str">
        <f>"FARMÁCIA INDIANA LJ 182 (10079)"</f>
        <v>FARMÁCIA INDIANA LJ 182 (10079)</v>
      </c>
      <c r="S530" t="s">
        <v>31</v>
      </c>
      <c r="T530">
        <v>3568</v>
      </c>
      <c r="U530">
        <v>3030</v>
      </c>
      <c r="V530" t="s">
        <v>22</v>
      </c>
    </row>
    <row r="531" spans="1:22">
      <c r="A531" t="str">
        <f t="shared" si="182"/>
        <v>17/12/2025</v>
      </c>
      <c r="B531" t="str">
        <f t="shared" si="183"/>
        <v>ENTRADA</v>
      </c>
      <c r="C531" t="str">
        <f t="shared" si="184"/>
        <v>NFSE</v>
      </c>
      <c r="D531" t="str">
        <f t="shared" si="189"/>
        <v>4018</v>
      </c>
      <c r="E531" t="str">
        <f t="shared" si="185"/>
        <v>1</v>
      </c>
      <c r="F531" t="str">
        <f t="shared" si="186"/>
        <v>COM</v>
      </c>
      <c r="G531" t="str">
        <f t="shared" si="190"/>
        <v>FARMÁCIA INDIANA LJ 1 (10126)</v>
      </c>
      <c r="H531" t="s">
        <v>167</v>
      </c>
      <c r="I531" t="str">
        <f t="shared" si="187"/>
        <v>17/12/2025</v>
      </c>
      <c r="J531" t="str">
        <f t="shared" si="188"/>
        <v>09/12/2025</v>
      </c>
      <c r="K531">
        <v>46008</v>
      </c>
      <c r="N531">
        <v>303</v>
      </c>
      <c r="O531" t="s">
        <v>30</v>
      </c>
      <c r="Q531">
        <v>39.33</v>
      </c>
      <c r="R531" t="str">
        <f>"FARMÁCIA INDIANA LJ 184 (10080)"</f>
        <v>FARMÁCIA INDIANA LJ 184 (10080)</v>
      </c>
      <c r="S531" t="s">
        <v>31</v>
      </c>
      <c r="T531">
        <v>3568</v>
      </c>
      <c r="U531">
        <v>3030</v>
      </c>
      <c r="V531" t="s">
        <v>22</v>
      </c>
    </row>
    <row r="532" spans="1:22">
      <c r="A532" t="str">
        <f t="shared" si="182"/>
        <v>17/12/2025</v>
      </c>
      <c r="B532" t="str">
        <f t="shared" si="183"/>
        <v>ENTRADA</v>
      </c>
      <c r="C532" t="str">
        <f t="shared" si="184"/>
        <v>NFSE</v>
      </c>
      <c r="D532" t="str">
        <f t="shared" si="189"/>
        <v>4018</v>
      </c>
      <c r="E532" t="str">
        <f t="shared" si="185"/>
        <v>1</v>
      </c>
      <c r="F532" t="str">
        <f t="shared" si="186"/>
        <v>COM</v>
      </c>
      <c r="G532" t="str">
        <f t="shared" si="190"/>
        <v>FARMÁCIA INDIANA LJ 1 (10126)</v>
      </c>
      <c r="H532" t="s">
        <v>167</v>
      </c>
      <c r="I532" t="str">
        <f t="shared" si="187"/>
        <v>17/12/2025</v>
      </c>
      <c r="J532" t="str">
        <f t="shared" si="188"/>
        <v>09/12/2025</v>
      </c>
      <c r="K532">
        <v>46008</v>
      </c>
      <c r="N532">
        <v>303</v>
      </c>
      <c r="O532" t="s">
        <v>30</v>
      </c>
      <c r="Q532">
        <v>50.19</v>
      </c>
      <c r="R532" t="str">
        <f>"FARMÁCIA INDIANA LJ 186 (10081)"</f>
        <v>FARMÁCIA INDIANA LJ 186 (10081)</v>
      </c>
      <c r="S532" t="s">
        <v>31</v>
      </c>
      <c r="T532">
        <v>3568</v>
      </c>
      <c r="U532">
        <v>3030</v>
      </c>
      <c r="V532" t="s">
        <v>22</v>
      </c>
    </row>
    <row r="533" spans="1:22">
      <c r="A533" t="str">
        <f t="shared" si="182"/>
        <v>17/12/2025</v>
      </c>
      <c r="B533" t="str">
        <f t="shared" si="183"/>
        <v>ENTRADA</v>
      </c>
      <c r="C533" t="str">
        <f t="shared" si="184"/>
        <v>NFSE</v>
      </c>
      <c r="D533" t="str">
        <f t="shared" si="189"/>
        <v>4018</v>
      </c>
      <c r="E533" t="str">
        <f t="shared" si="185"/>
        <v>1</v>
      </c>
      <c r="F533" t="str">
        <f t="shared" si="186"/>
        <v>COM</v>
      </c>
      <c r="G533" t="str">
        <f t="shared" si="190"/>
        <v>FARMÁCIA INDIANA LJ 1 (10126)</v>
      </c>
      <c r="H533" t="s">
        <v>167</v>
      </c>
      <c r="I533" t="str">
        <f t="shared" si="187"/>
        <v>17/12/2025</v>
      </c>
      <c r="J533" t="str">
        <f t="shared" si="188"/>
        <v>09/12/2025</v>
      </c>
      <c r="K533">
        <v>46008</v>
      </c>
      <c r="N533">
        <v>303</v>
      </c>
      <c r="O533" t="s">
        <v>30</v>
      </c>
      <c r="Q533">
        <v>96.3</v>
      </c>
      <c r="R533" t="str">
        <f>"FARMÁCIA INDIANA LJ 192 (10082)"</f>
        <v>FARMÁCIA INDIANA LJ 192 (10082)</v>
      </c>
      <c r="S533" t="s">
        <v>31</v>
      </c>
      <c r="T533">
        <v>3568</v>
      </c>
      <c r="U533">
        <v>3030</v>
      </c>
      <c r="V533" t="s">
        <v>22</v>
      </c>
    </row>
    <row r="534" spans="1:22">
      <c r="A534" t="str">
        <f t="shared" si="182"/>
        <v>17/12/2025</v>
      </c>
      <c r="B534" t="str">
        <f t="shared" si="183"/>
        <v>ENTRADA</v>
      </c>
      <c r="C534" t="str">
        <f t="shared" si="184"/>
        <v>NFSE</v>
      </c>
      <c r="D534" t="str">
        <f t="shared" si="189"/>
        <v>4018</v>
      </c>
      <c r="E534" t="str">
        <f t="shared" si="185"/>
        <v>1</v>
      </c>
      <c r="F534" t="str">
        <f t="shared" si="186"/>
        <v>COM</v>
      </c>
      <c r="G534" t="str">
        <f t="shared" si="190"/>
        <v>FARMÁCIA INDIANA LJ 1 (10126)</v>
      </c>
      <c r="H534" t="s">
        <v>167</v>
      </c>
      <c r="I534" t="str">
        <f t="shared" si="187"/>
        <v>17/12/2025</v>
      </c>
      <c r="J534" t="str">
        <f t="shared" si="188"/>
        <v>09/12/2025</v>
      </c>
      <c r="K534">
        <v>46008</v>
      </c>
      <c r="N534">
        <v>303</v>
      </c>
      <c r="O534" t="s">
        <v>30</v>
      </c>
      <c r="Q534">
        <v>39.33</v>
      </c>
      <c r="R534" t="str">
        <f>"FARMÁCIA INDIANA LJ 195 (10083)"</f>
        <v>FARMÁCIA INDIANA LJ 195 (10083)</v>
      </c>
      <c r="S534" t="s">
        <v>31</v>
      </c>
      <c r="T534">
        <v>3568</v>
      </c>
      <c r="U534">
        <v>3030</v>
      </c>
      <c r="V534" t="s">
        <v>22</v>
      </c>
    </row>
    <row r="535" spans="1:22">
      <c r="A535" t="str">
        <f t="shared" si="182"/>
        <v>17/12/2025</v>
      </c>
      <c r="B535" t="str">
        <f t="shared" si="183"/>
        <v>ENTRADA</v>
      </c>
      <c r="C535" t="str">
        <f t="shared" si="184"/>
        <v>NFSE</v>
      </c>
      <c r="D535" t="str">
        <f t="shared" si="189"/>
        <v>4018</v>
      </c>
      <c r="E535" t="str">
        <f t="shared" si="185"/>
        <v>1</v>
      </c>
      <c r="F535" t="str">
        <f t="shared" si="186"/>
        <v>COM</v>
      </c>
      <c r="G535" t="str">
        <f t="shared" si="190"/>
        <v>FARMÁCIA INDIANA LJ 1 (10126)</v>
      </c>
      <c r="H535" t="s">
        <v>167</v>
      </c>
      <c r="I535" t="str">
        <f t="shared" si="187"/>
        <v>17/12/2025</v>
      </c>
      <c r="J535" t="str">
        <f t="shared" si="188"/>
        <v>09/12/2025</v>
      </c>
      <c r="K535">
        <v>46008</v>
      </c>
      <c r="N535">
        <v>303</v>
      </c>
      <c r="O535" t="s">
        <v>30</v>
      </c>
      <c r="Q535">
        <v>99.01</v>
      </c>
      <c r="R535" t="str">
        <f>"FARMÁCIA INDIANA LJ 202 (10085)"</f>
        <v>FARMÁCIA INDIANA LJ 202 (10085)</v>
      </c>
      <c r="S535" t="s">
        <v>31</v>
      </c>
      <c r="T535">
        <v>3568</v>
      </c>
      <c r="U535">
        <v>3030</v>
      </c>
      <c r="V535" t="s">
        <v>22</v>
      </c>
    </row>
    <row r="536" spans="1:22">
      <c r="A536" t="str">
        <f t="shared" si="182"/>
        <v>17/12/2025</v>
      </c>
      <c r="B536" t="str">
        <f t="shared" si="183"/>
        <v>ENTRADA</v>
      </c>
      <c r="C536" t="str">
        <f t="shared" si="184"/>
        <v>NFSE</v>
      </c>
      <c r="D536" t="str">
        <f t="shared" si="189"/>
        <v>4018</v>
      </c>
      <c r="E536" t="str">
        <f t="shared" si="185"/>
        <v>1</v>
      </c>
      <c r="F536" t="str">
        <f t="shared" si="186"/>
        <v>COM</v>
      </c>
      <c r="G536" t="str">
        <f t="shared" si="190"/>
        <v>FARMÁCIA INDIANA LJ 1 (10126)</v>
      </c>
      <c r="H536" t="s">
        <v>167</v>
      </c>
      <c r="I536" t="str">
        <f t="shared" si="187"/>
        <v>17/12/2025</v>
      </c>
      <c r="J536" t="str">
        <f t="shared" si="188"/>
        <v>09/12/2025</v>
      </c>
      <c r="K536">
        <v>46008</v>
      </c>
      <c r="N536">
        <v>303</v>
      </c>
      <c r="O536" t="s">
        <v>30</v>
      </c>
      <c r="Q536">
        <v>80.03</v>
      </c>
      <c r="R536" t="str">
        <f>"FARMÁCIA INDIANA LJ 204 (10087)"</f>
        <v>FARMÁCIA INDIANA LJ 204 (10087)</v>
      </c>
      <c r="S536" t="s">
        <v>31</v>
      </c>
      <c r="T536">
        <v>3568</v>
      </c>
      <c r="U536">
        <v>3030</v>
      </c>
      <c r="V536" t="s">
        <v>22</v>
      </c>
    </row>
    <row r="537" spans="1:22">
      <c r="A537" t="str">
        <f t="shared" si="182"/>
        <v>17/12/2025</v>
      </c>
      <c r="B537" t="str">
        <f t="shared" si="183"/>
        <v>ENTRADA</v>
      </c>
      <c r="C537" t="str">
        <f t="shared" si="184"/>
        <v>NFSE</v>
      </c>
      <c r="D537" t="str">
        <f t="shared" si="189"/>
        <v>4018</v>
      </c>
      <c r="E537" t="str">
        <f t="shared" si="185"/>
        <v>1</v>
      </c>
      <c r="F537" t="str">
        <f t="shared" si="186"/>
        <v>COM</v>
      </c>
      <c r="G537" t="str">
        <f t="shared" si="190"/>
        <v>FARMÁCIA INDIANA LJ 1 (10126)</v>
      </c>
      <c r="H537" t="s">
        <v>167</v>
      </c>
      <c r="I537" t="str">
        <f t="shared" si="187"/>
        <v>17/12/2025</v>
      </c>
      <c r="J537" t="str">
        <f t="shared" si="188"/>
        <v>09/12/2025</v>
      </c>
      <c r="K537">
        <v>46008</v>
      </c>
      <c r="N537">
        <v>303</v>
      </c>
      <c r="O537" t="s">
        <v>30</v>
      </c>
      <c r="Q537">
        <v>146.49</v>
      </c>
      <c r="R537" t="str">
        <f>"FARMÁCIA INDIANA LJ 207 (10088)"</f>
        <v>FARMÁCIA INDIANA LJ 207 (10088)</v>
      </c>
      <c r="S537" t="s">
        <v>31</v>
      </c>
      <c r="T537">
        <v>3568</v>
      </c>
      <c r="U537">
        <v>3030</v>
      </c>
      <c r="V537" t="s">
        <v>22</v>
      </c>
    </row>
    <row r="538" spans="1:22">
      <c r="A538" t="str">
        <f t="shared" si="182"/>
        <v>17/12/2025</v>
      </c>
      <c r="B538" t="str">
        <f t="shared" si="183"/>
        <v>ENTRADA</v>
      </c>
      <c r="C538" t="str">
        <f t="shared" si="184"/>
        <v>NFSE</v>
      </c>
      <c r="D538" t="str">
        <f t="shared" si="189"/>
        <v>4018</v>
      </c>
      <c r="E538" t="str">
        <f t="shared" si="185"/>
        <v>1</v>
      </c>
      <c r="F538" t="str">
        <f t="shared" si="186"/>
        <v>COM</v>
      </c>
      <c r="G538" t="str">
        <f t="shared" si="190"/>
        <v>FARMÁCIA INDIANA LJ 1 (10126)</v>
      </c>
      <c r="H538" t="s">
        <v>167</v>
      </c>
      <c r="I538" t="str">
        <f t="shared" si="187"/>
        <v>17/12/2025</v>
      </c>
      <c r="J538" t="str">
        <f t="shared" si="188"/>
        <v>09/12/2025</v>
      </c>
      <c r="K538">
        <v>46008</v>
      </c>
      <c r="N538">
        <v>303</v>
      </c>
      <c r="O538" t="s">
        <v>30</v>
      </c>
      <c r="Q538">
        <v>124.79</v>
      </c>
      <c r="R538" t="str">
        <f>"FARMÁCIA INDIANA LJ 209 (10089)"</f>
        <v>FARMÁCIA INDIANA LJ 209 (10089)</v>
      </c>
      <c r="S538" t="s">
        <v>31</v>
      </c>
      <c r="T538">
        <v>3568</v>
      </c>
      <c r="U538">
        <v>3030</v>
      </c>
      <c r="V538" t="s">
        <v>22</v>
      </c>
    </row>
    <row r="539" spans="1:22">
      <c r="A539" t="str">
        <f t="shared" si="182"/>
        <v>17/12/2025</v>
      </c>
      <c r="B539" t="str">
        <f t="shared" si="183"/>
        <v>ENTRADA</v>
      </c>
      <c r="C539" t="str">
        <f t="shared" si="184"/>
        <v>NFSE</v>
      </c>
      <c r="D539" t="str">
        <f t="shared" si="189"/>
        <v>4018</v>
      </c>
      <c r="E539" t="str">
        <f t="shared" si="185"/>
        <v>1</v>
      </c>
      <c r="F539" t="str">
        <f t="shared" si="186"/>
        <v>COM</v>
      </c>
      <c r="G539" t="str">
        <f t="shared" si="190"/>
        <v>FARMÁCIA INDIANA LJ 1 (10126)</v>
      </c>
      <c r="H539" t="s">
        <v>167</v>
      </c>
      <c r="I539" t="str">
        <f t="shared" si="187"/>
        <v>17/12/2025</v>
      </c>
      <c r="J539" t="str">
        <f t="shared" si="188"/>
        <v>09/12/2025</v>
      </c>
      <c r="K539">
        <v>46008</v>
      </c>
      <c r="N539">
        <v>303</v>
      </c>
      <c r="O539" t="s">
        <v>30</v>
      </c>
      <c r="Q539">
        <v>217.02</v>
      </c>
      <c r="R539" t="str">
        <f>"FARMÁCIA INDIANA LJ 219 (10091)"</f>
        <v>FARMÁCIA INDIANA LJ 219 (10091)</v>
      </c>
      <c r="S539" t="s">
        <v>31</v>
      </c>
      <c r="T539">
        <v>3568</v>
      </c>
      <c r="U539">
        <v>3030</v>
      </c>
      <c r="V539" t="s">
        <v>22</v>
      </c>
    </row>
    <row r="540" spans="1:22">
      <c r="A540" t="str">
        <f t="shared" si="182"/>
        <v>17/12/2025</v>
      </c>
      <c r="B540" t="str">
        <f t="shared" si="183"/>
        <v>ENTRADA</v>
      </c>
      <c r="C540" t="str">
        <f t="shared" si="184"/>
        <v>NFSE</v>
      </c>
      <c r="D540" t="str">
        <f t="shared" si="189"/>
        <v>4018</v>
      </c>
      <c r="E540" t="str">
        <f t="shared" si="185"/>
        <v>1</v>
      </c>
      <c r="F540" t="str">
        <f t="shared" si="186"/>
        <v>COM</v>
      </c>
      <c r="G540" t="str">
        <f t="shared" si="190"/>
        <v>FARMÁCIA INDIANA LJ 1 (10126)</v>
      </c>
      <c r="H540" t="s">
        <v>167</v>
      </c>
      <c r="I540" t="str">
        <f t="shared" si="187"/>
        <v>17/12/2025</v>
      </c>
      <c r="J540" t="str">
        <f t="shared" si="188"/>
        <v>09/12/2025</v>
      </c>
      <c r="K540">
        <v>46008</v>
      </c>
      <c r="N540">
        <v>303</v>
      </c>
      <c r="O540" t="s">
        <v>30</v>
      </c>
      <c r="Q540">
        <v>303.83</v>
      </c>
      <c r="R540" t="str">
        <f>"FARMÁCIA INDIANA LJ 220 (10092)"</f>
        <v>FARMÁCIA INDIANA LJ 220 (10092)</v>
      </c>
      <c r="S540" t="s">
        <v>31</v>
      </c>
      <c r="T540">
        <v>3568</v>
      </c>
      <c r="U540">
        <v>3030</v>
      </c>
      <c r="V540" t="s">
        <v>22</v>
      </c>
    </row>
    <row r="541" spans="1:22">
      <c r="A541" t="str">
        <f t="shared" si="182"/>
        <v>17/12/2025</v>
      </c>
      <c r="B541" t="str">
        <f t="shared" si="183"/>
        <v>ENTRADA</v>
      </c>
      <c r="C541" t="str">
        <f t="shared" si="184"/>
        <v>NFSE</v>
      </c>
      <c r="D541" t="str">
        <f t="shared" si="189"/>
        <v>4018</v>
      </c>
      <c r="E541" t="str">
        <f t="shared" si="185"/>
        <v>1</v>
      </c>
      <c r="F541" t="str">
        <f t="shared" si="186"/>
        <v>COM</v>
      </c>
      <c r="G541" t="str">
        <f t="shared" si="190"/>
        <v>FARMÁCIA INDIANA LJ 1 (10126)</v>
      </c>
      <c r="H541" t="s">
        <v>167</v>
      </c>
      <c r="I541" t="str">
        <f t="shared" si="187"/>
        <v>17/12/2025</v>
      </c>
      <c r="J541" t="str">
        <f t="shared" si="188"/>
        <v>09/12/2025</v>
      </c>
      <c r="K541">
        <v>46008</v>
      </c>
      <c r="N541">
        <v>303</v>
      </c>
      <c r="O541" t="s">
        <v>30</v>
      </c>
      <c r="Q541">
        <v>113.93</v>
      </c>
      <c r="R541" t="str">
        <f>"FARMÁCIA INDIANA LJ 185 (10141)"</f>
        <v>FARMÁCIA INDIANA LJ 185 (10141)</v>
      </c>
      <c r="S541" t="s">
        <v>31</v>
      </c>
      <c r="T541">
        <v>3568</v>
      </c>
      <c r="U541">
        <v>3030</v>
      </c>
      <c r="V541" t="s">
        <v>22</v>
      </c>
    </row>
    <row r="542" spans="1:22">
      <c r="A542" t="str">
        <f t="shared" si="182"/>
        <v>17/12/2025</v>
      </c>
      <c r="B542" t="str">
        <f t="shared" si="183"/>
        <v>ENTRADA</v>
      </c>
      <c r="C542" t="str">
        <f t="shared" si="184"/>
        <v>NFSE</v>
      </c>
      <c r="D542" t="str">
        <f t="shared" si="189"/>
        <v>4018</v>
      </c>
      <c r="E542" t="str">
        <f t="shared" si="185"/>
        <v>1</v>
      </c>
      <c r="F542" t="str">
        <f t="shared" si="186"/>
        <v>COM</v>
      </c>
      <c r="G542" t="str">
        <f t="shared" si="190"/>
        <v>FARMÁCIA INDIANA LJ 1 (10126)</v>
      </c>
      <c r="H542" t="s">
        <v>167</v>
      </c>
      <c r="I542" t="str">
        <f t="shared" si="187"/>
        <v>17/12/2025</v>
      </c>
      <c r="J542" t="str">
        <f t="shared" si="188"/>
        <v>09/12/2025</v>
      </c>
      <c r="K542">
        <v>46008</v>
      </c>
      <c r="N542">
        <v>303</v>
      </c>
      <c r="O542" t="s">
        <v>30</v>
      </c>
      <c r="Q542">
        <v>107.15</v>
      </c>
      <c r="R542" t="str">
        <f>"FARMÁCIA INDIANA LJ 205 (10150)"</f>
        <v>FARMÁCIA INDIANA LJ 205 (10150)</v>
      </c>
      <c r="S542" t="s">
        <v>31</v>
      </c>
      <c r="T542">
        <v>3568</v>
      </c>
      <c r="U542">
        <v>3030</v>
      </c>
      <c r="V542" t="s">
        <v>22</v>
      </c>
    </row>
    <row r="543" spans="1:22">
      <c r="A543" t="str">
        <f t="shared" si="182"/>
        <v>17/12/2025</v>
      </c>
      <c r="B543" t="str">
        <f t="shared" si="183"/>
        <v>ENTRADA</v>
      </c>
      <c r="C543" t="str">
        <f t="shared" si="184"/>
        <v>NFSE</v>
      </c>
      <c r="D543" t="str">
        <f t="shared" si="189"/>
        <v>4018</v>
      </c>
      <c r="E543" t="str">
        <f t="shared" si="185"/>
        <v>1</v>
      </c>
      <c r="F543" t="str">
        <f t="shared" si="186"/>
        <v>COM</v>
      </c>
      <c r="G543" t="str">
        <f t="shared" si="190"/>
        <v>FARMÁCIA INDIANA LJ 1 (10126)</v>
      </c>
      <c r="H543" t="s">
        <v>167</v>
      </c>
      <c r="I543" t="str">
        <f t="shared" si="187"/>
        <v>17/12/2025</v>
      </c>
      <c r="J543" t="str">
        <f t="shared" si="188"/>
        <v>09/12/2025</v>
      </c>
      <c r="K543">
        <v>46008</v>
      </c>
      <c r="N543">
        <v>303</v>
      </c>
      <c r="O543" t="s">
        <v>30</v>
      </c>
      <c r="Q543">
        <v>569.66999999999996</v>
      </c>
      <c r="R543" t="str">
        <f>"FARMÁCIA INDIANA LJ 172 (10161)"</f>
        <v>FARMÁCIA INDIANA LJ 172 (10161)</v>
      </c>
      <c r="S543" t="s">
        <v>31</v>
      </c>
      <c r="T543">
        <v>3568</v>
      </c>
      <c r="U543">
        <v>3030</v>
      </c>
      <c r="V543" t="s">
        <v>22</v>
      </c>
    </row>
    <row r="544" spans="1:22">
      <c r="A544" t="str">
        <f t="shared" si="182"/>
        <v>17/12/2025</v>
      </c>
      <c r="B544" t="str">
        <f t="shared" si="183"/>
        <v>ENTRADA</v>
      </c>
      <c r="C544" t="str">
        <f t="shared" si="184"/>
        <v>NFSE</v>
      </c>
      <c r="D544" t="str">
        <f t="shared" si="189"/>
        <v>4018</v>
      </c>
      <c r="E544" t="str">
        <f t="shared" si="185"/>
        <v>1</v>
      </c>
      <c r="F544" t="str">
        <f t="shared" si="186"/>
        <v>COM</v>
      </c>
      <c r="G544" t="str">
        <f t="shared" si="190"/>
        <v>FARMÁCIA INDIANA LJ 1 (10126)</v>
      </c>
      <c r="H544" t="s">
        <v>167</v>
      </c>
      <c r="I544" t="str">
        <f t="shared" si="187"/>
        <v>17/12/2025</v>
      </c>
      <c r="J544" t="str">
        <f t="shared" si="188"/>
        <v>09/12/2025</v>
      </c>
      <c r="K544">
        <v>46008</v>
      </c>
      <c r="N544">
        <v>303</v>
      </c>
      <c r="O544" t="s">
        <v>30</v>
      </c>
      <c r="Q544">
        <v>80.03</v>
      </c>
      <c r="R544" t="str">
        <f>"FARMÁCIA INDIANA LJ 266 (10186)"</f>
        <v>FARMÁCIA INDIANA LJ 266 (10186)</v>
      </c>
      <c r="S544" t="s">
        <v>31</v>
      </c>
      <c r="T544">
        <v>3568</v>
      </c>
      <c r="U544">
        <v>3030</v>
      </c>
      <c r="V544" t="s">
        <v>22</v>
      </c>
    </row>
    <row r="545" spans="1:22">
      <c r="A545" t="str">
        <f t="shared" si="182"/>
        <v>17/12/2025</v>
      </c>
      <c r="B545" t="str">
        <f t="shared" si="183"/>
        <v>ENTRADA</v>
      </c>
      <c r="C545" t="str">
        <f t="shared" si="184"/>
        <v>NFSE</v>
      </c>
      <c r="D545" t="str">
        <f t="shared" si="189"/>
        <v>4018</v>
      </c>
      <c r="E545" t="str">
        <f t="shared" si="185"/>
        <v>1</v>
      </c>
      <c r="F545" t="str">
        <f t="shared" si="186"/>
        <v>COM</v>
      </c>
      <c r="G545" t="str">
        <f t="shared" si="190"/>
        <v>FARMÁCIA INDIANA LJ 1 (10126)</v>
      </c>
      <c r="H545" t="s">
        <v>167</v>
      </c>
      <c r="I545" t="str">
        <f t="shared" si="187"/>
        <v>17/12/2025</v>
      </c>
      <c r="J545" t="str">
        <f t="shared" si="188"/>
        <v>09/12/2025</v>
      </c>
      <c r="K545">
        <v>46008</v>
      </c>
      <c r="N545">
        <v>303</v>
      </c>
      <c r="O545" t="s">
        <v>30</v>
      </c>
      <c r="Q545">
        <v>8.14</v>
      </c>
      <c r="R545" t="str">
        <f>"FARMÁCIA INDIANA LJ 257 (10267)"</f>
        <v>FARMÁCIA INDIANA LJ 257 (10267)</v>
      </c>
      <c r="S545" t="s">
        <v>31</v>
      </c>
      <c r="T545">
        <v>3568</v>
      </c>
      <c r="U545">
        <v>3030</v>
      </c>
      <c r="V545" t="s">
        <v>22</v>
      </c>
    </row>
    <row r="546" spans="1:22">
      <c r="A546" t="str">
        <f t="shared" si="182"/>
        <v>17/12/2025</v>
      </c>
      <c r="B546" t="str">
        <f t="shared" si="183"/>
        <v>ENTRADA</v>
      </c>
      <c r="C546" t="str">
        <f t="shared" si="184"/>
        <v>NFSE</v>
      </c>
      <c r="D546" t="str">
        <f t="shared" si="189"/>
        <v>4018</v>
      </c>
      <c r="E546" t="str">
        <f t="shared" si="185"/>
        <v>1</v>
      </c>
      <c r="F546" t="str">
        <f t="shared" si="186"/>
        <v>COM</v>
      </c>
      <c r="G546" t="str">
        <f t="shared" si="190"/>
        <v>FARMÁCIA INDIANA LJ 1 (10126)</v>
      </c>
      <c r="H546" t="s">
        <v>167</v>
      </c>
      <c r="I546" t="str">
        <f t="shared" si="187"/>
        <v>17/12/2025</v>
      </c>
      <c r="J546" t="str">
        <f t="shared" si="188"/>
        <v>09/12/2025</v>
      </c>
      <c r="K546">
        <v>46008</v>
      </c>
      <c r="N546">
        <v>303</v>
      </c>
      <c r="O546" t="s">
        <v>30</v>
      </c>
      <c r="Q546">
        <v>99.01</v>
      </c>
      <c r="R546" t="str">
        <f>"FARMÁCIA INDIANA LJ 134 (10271)"</f>
        <v>FARMÁCIA INDIANA LJ 134 (10271)</v>
      </c>
      <c r="S546" t="s">
        <v>31</v>
      </c>
      <c r="T546">
        <v>3568</v>
      </c>
      <c r="U546">
        <v>3030</v>
      </c>
      <c r="V546" t="s">
        <v>22</v>
      </c>
    </row>
    <row r="547" spans="1:22">
      <c r="A547" t="str">
        <f t="shared" si="182"/>
        <v>17/12/2025</v>
      </c>
      <c r="B547" t="str">
        <f t="shared" si="183"/>
        <v>ENTRADA</v>
      </c>
      <c r="C547" t="str">
        <f t="shared" si="184"/>
        <v>NFSE</v>
      </c>
      <c r="D547" t="str">
        <f t="shared" ref="D547:D563" si="191">"4019"</f>
        <v>4019</v>
      </c>
      <c r="E547" t="str">
        <f t="shared" si="185"/>
        <v>1</v>
      </c>
      <c r="F547" t="str">
        <f t="shared" si="186"/>
        <v>COM</v>
      </c>
      <c r="G547" t="str">
        <f t="shared" ref="G547:G563" si="192">"FARMÁCIA INDIANA LJ 30 (10127)"</f>
        <v>FARMÁCIA INDIANA LJ 30 (10127)</v>
      </c>
      <c r="H547" t="str">
        <f>"Serv.Prest. 01/12/2025 a 07/12/2025 - RPS: 1781 - NFSe: 4019"</f>
        <v>Serv.Prest. 01/12/2025 a 07/12/2025 - RPS: 1781 - NFSe: 4019</v>
      </c>
      <c r="I547" t="str">
        <f t="shared" si="187"/>
        <v>17/12/2025</v>
      </c>
      <c r="J547" t="str">
        <f t="shared" si="188"/>
        <v>09/12/2025</v>
      </c>
      <c r="K547" t="str">
        <f>("17/12/2025")</f>
        <v>17/12/2025</v>
      </c>
      <c r="L547">
        <v>3172.77</v>
      </c>
      <c r="M547">
        <v>3172.77</v>
      </c>
      <c r="N547">
        <v>303</v>
      </c>
      <c r="O547" t="str">
        <f>"RECEITAS COM ENTREGAS"</f>
        <v>RECEITAS COM ENTREGAS</v>
      </c>
      <c r="P547">
        <v>3172.77</v>
      </c>
      <c r="S547" t="str">
        <f>"RECEITAS COM ENTREGAS (303)"</f>
        <v>RECEITAS COM ENTREGAS (303)</v>
      </c>
      <c r="T547">
        <v>3569</v>
      </c>
      <c r="U547">
        <v>3031</v>
      </c>
      <c r="V547" t="s">
        <v>22</v>
      </c>
    </row>
    <row r="548" spans="1:22">
      <c r="A548" t="str">
        <f t="shared" si="182"/>
        <v>17/12/2025</v>
      </c>
      <c r="B548" t="str">
        <f t="shared" si="183"/>
        <v>ENTRADA</v>
      </c>
      <c r="C548" t="str">
        <f t="shared" si="184"/>
        <v>NFSE</v>
      </c>
      <c r="D548" t="str">
        <f t="shared" si="191"/>
        <v>4019</v>
      </c>
      <c r="E548" t="str">
        <f t="shared" si="185"/>
        <v>1</v>
      </c>
      <c r="F548" t="str">
        <f t="shared" si="186"/>
        <v>COM</v>
      </c>
      <c r="G548" t="str">
        <f t="shared" si="192"/>
        <v>FARMÁCIA INDIANA LJ 30 (10127)</v>
      </c>
      <c r="H548" t="s">
        <v>168</v>
      </c>
      <c r="I548" t="str">
        <f t="shared" si="187"/>
        <v>17/12/2025</v>
      </c>
      <c r="J548" t="str">
        <f t="shared" si="188"/>
        <v>09/12/2025</v>
      </c>
      <c r="K548">
        <v>46008</v>
      </c>
      <c r="N548">
        <v>303</v>
      </c>
      <c r="O548" t="s">
        <v>30</v>
      </c>
      <c r="Q548">
        <v>291.58999999999997</v>
      </c>
      <c r="R548" t="str">
        <f>"FARMÁCIA INDIANA LJ 34 (10014)"</f>
        <v>FARMÁCIA INDIANA LJ 34 (10014)</v>
      </c>
      <c r="S548" t="s">
        <v>31</v>
      </c>
      <c r="T548">
        <v>3569</v>
      </c>
      <c r="U548">
        <v>3031</v>
      </c>
      <c r="V548" t="s">
        <v>22</v>
      </c>
    </row>
    <row r="549" spans="1:22">
      <c r="A549" t="str">
        <f t="shared" ref="A549:A578" si="193">("17/12/2025")</f>
        <v>17/12/2025</v>
      </c>
      <c r="B549" t="str">
        <f t="shared" si="183"/>
        <v>ENTRADA</v>
      </c>
      <c r="C549" t="str">
        <f t="shared" si="184"/>
        <v>NFSE</v>
      </c>
      <c r="D549" t="str">
        <f t="shared" si="191"/>
        <v>4019</v>
      </c>
      <c r="E549" t="str">
        <f t="shared" si="185"/>
        <v>1</v>
      </c>
      <c r="F549" t="str">
        <f t="shared" si="186"/>
        <v>COM</v>
      </c>
      <c r="G549" t="str">
        <f t="shared" si="192"/>
        <v>FARMÁCIA INDIANA LJ 30 (10127)</v>
      </c>
      <c r="H549" t="s">
        <v>168</v>
      </c>
      <c r="I549" t="str">
        <f t="shared" si="187"/>
        <v>17/12/2025</v>
      </c>
      <c r="J549" t="str">
        <f t="shared" si="188"/>
        <v>09/12/2025</v>
      </c>
      <c r="K549">
        <v>46008</v>
      </c>
      <c r="N549">
        <v>303</v>
      </c>
      <c r="O549" t="s">
        <v>30</v>
      </c>
      <c r="Q549">
        <v>168.16</v>
      </c>
      <c r="R549" t="str">
        <f>"FARMÁCIA INDIANA LJ 35 (10015)"</f>
        <v>FARMÁCIA INDIANA LJ 35 (10015)</v>
      </c>
      <c r="S549" t="s">
        <v>31</v>
      </c>
      <c r="T549">
        <v>3569</v>
      </c>
      <c r="U549">
        <v>3031</v>
      </c>
      <c r="V549" t="s">
        <v>22</v>
      </c>
    </row>
    <row r="550" spans="1:22">
      <c r="A550" t="str">
        <f t="shared" si="193"/>
        <v>17/12/2025</v>
      </c>
      <c r="B550" t="str">
        <f t="shared" ref="B550:B573" si="194">"ENTRADA"</f>
        <v>ENTRADA</v>
      </c>
      <c r="C550" t="str">
        <f t="shared" ref="C550:C573" si="195">"NFSE"</f>
        <v>NFSE</v>
      </c>
      <c r="D550" t="str">
        <f t="shared" si="191"/>
        <v>4019</v>
      </c>
      <c r="E550" t="str">
        <f t="shared" ref="E550:E573" si="196">"1"</f>
        <v>1</v>
      </c>
      <c r="F550" t="str">
        <f t="shared" ref="F550:F573" si="197">"COM"</f>
        <v>COM</v>
      </c>
      <c r="G550" t="str">
        <f t="shared" si="192"/>
        <v>FARMÁCIA INDIANA LJ 30 (10127)</v>
      </c>
      <c r="H550" t="s">
        <v>168</v>
      </c>
      <c r="I550" t="str">
        <f t="shared" ref="I550:I563" si="198">("17/12/2025")</f>
        <v>17/12/2025</v>
      </c>
      <c r="J550" t="str">
        <f t="shared" ref="J550:J563" si="199">("09/12/2025")</f>
        <v>09/12/2025</v>
      </c>
      <c r="K550">
        <v>46008</v>
      </c>
      <c r="N550">
        <v>303</v>
      </c>
      <c r="O550" t="s">
        <v>30</v>
      </c>
      <c r="Q550">
        <v>291.58</v>
      </c>
      <c r="R550" t="str">
        <f>"FARMÁCIA INDIANA LJ 48 (10018)"</f>
        <v>FARMÁCIA INDIANA LJ 48 (10018)</v>
      </c>
      <c r="S550" t="s">
        <v>31</v>
      </c>
      <c r="T550">
        <v>3569</v>
      </c>
      <c r="U550">
        <v>3031</v>
      </c>
      <c r="V550" t="s">
        <v>22</v>
      </c>
    </row>
    <row r="551" spans="1:22">
      <c r="A551" t="str">
        <f t="shared" si="193"/>
        <v>17/12/2025</v>
      </c>
      <c r="B551" t="str">
        <f t="shared" si="194"/>
        <v>ENTRADA</v>
      </c>
      <c r="C551" t="str">
        <f t="shared" si="195"/>
        <v>NFSE</v>
      </c>
      <c r="D551" t="str">
        <f t="shared" si="191"/>
        <v>4019</v>
      </c>
      <c r="E551" t="str">
        <f t="shared" si="196"/>
        <v>1</v>
      </c>
      <c r="F551" t="str">
        <f t="shared" si="197"/>
        <v>COM</v>
      </c>
      <c r="G551" t="str">
        <f t="shared" si="192"/>
        <v>FARMÁCIA INDIANA LJ 30 (10127)</v>
      </c>
      <c r="H551" t="s">
        <v>168</v>
      </c>
      <c r="I551" t="str">
        <f t="shared" si="198"/>
        <v>17/12/2025</v>
      </c>
      <c r="J551" t="str">
        <f t="shared" si="199"/>
        <v>09/12/2025</v>
      </c>
      <c r="K551">
        <v>46008</v>
      </c>
      <c r="N551">
        <v>303</v>
      </c>
      <c r="O551" t="s">
        <v>30</v>
      </c>
      <c r="Q551">
        <v>348.69</v>
      </c>
      <c r="R551" t="str">
        <f>"FARMÁCIA INDIANA LJ 65 (10030)"</f>
        <v>FARMÁCIA INDIANA LJ 65 (10030)</v>
      </c>
      <c r="S551" t="s">
        <v>31</v>
      </c>
      <c r="T551">
        <v>3569</v>
      </c>
      <c r="U551">
        <v>3031</v>
      </c>
      <c r="V551" t="s">
        <v>22</v>
      </c>
    </row>
    <row r="552" spans="1:22">
      <c r="A552" t="str">
        <f t="shared" si="193"/>
        <v>17/12/2025</v>
      </c>
      <c r="B552" t="str">
        <f t="shared" si="194"/>
        <v>ENTRADA</v>
      </c>
      <c r="C552" t="str">
        <f t="shared" si="195"/>
        <v>NFSE</v>
      </c>
      <c r="D552" t="str">
        <f t="shared" si="191"/>
        <v>4019</v>
      </c>
      <c r="E552" t="str">
        <f t="shared" si="196"/>
        <v>1</v>
      </c>
      <c r="F552" t="str">
        <f t="shared" si="197"/>
        <v>COM</v>
      </c>
      <c r="G552" t="str">
        <f t="shared" si="192"/>
        <v>FARMÁCIA INDIANA LJ 30 (10127)</v>
      </c>
      <c r="H552" t="s">
        <v>168</v>
      </c>
      <c r="I552" t="str">
        <f t="shared" si="198"/>
        <v>17/12/2025</v>
      </c>
      <c r="J552" t="str">
        <f t="shared" si="199"/>
        <v>09/12/2025</v>
      </c>
      <c r="K552">
        <v>46008</v>
      </c>
      <c r="N552">
        <v>303</v>
      </c>
      <c r="O552" t="s">
        <v>30</v>
      </c>
      <c r="Q552">
        <v>85.66</v>
      </c>
      <c r="R552" t="str">
        <f>"FARMÁCIA INDIANA LJ 77 (10034)"</f>
        <v>FARMÁCIA INDIANA LJ 77 (10034)</v>
      </c>
      <c r="S552" t="s">
        <v>31</v>
      </c>
      <c r="T552">
        <v>3569</v>
      </c>
      <c r="U552">
        <v>3031</v>
      </c>
      <c r="V552" t="s">
        <v>22</v>
      </c>
    </row>
    <row r="553" spans="1:22">
      <c r="A553" t="str">
        <f t="shared" si="193"/>
        <v>17/12/2025</v>
      </c>
      <c r="B553" t="str">
        <f t="shared" si="194"/>
        <v>ENTRADA</v>
      </c>
      <c r="C553" t="str">
        <f t="shared" si="195"/>
        <v>NFSE</v>
      </c>
      <c r="D553" t="str">
        <f t="shared" si="191"/>
        <v>4019</v>
      </c>
      <c r="E553" t="str">
        <f t="shared" si="196"/>
        <v>1</v>
      </c>
      <c r="F553" t="str">
        <f t="shared" si="197"/>
        <v>COM</v>
      </c>
      <c r="G553" t="str">
        <f t="shared" si="192"/>
        <v>FARMÁCIA INDIANA LJ 30 (10127)</v>
      </c>
      <c r="H553" t="s">
        <v>168</v>
      </c>
      <c r="I553" t="str">
        <f t="shared" si="198"/>
        <v>17/12/2025</v>
      </c>
      <c r="J553" t="str">
        <f t="shared" si="199"/>
        <v>09/12/2025</v>
      </c>
      <c r="K553">
        <v>46008</v>
      </c>
      <c r="N553">
        <v>303</v>
      </c>
      <c r="O553" t="s">
        <v>30</v>
      </c>
      <c r="Q553">
        <v>572.04999999999995</v>
      </c>
      <c r="R553" t="str">
        <f>"FARMÁCIA INDIANA LJ 91 (10037)"</f>
        <v>FARMÁCIA INDIANA LJ 91 (10037)</v>
      </c>
      <c r="S553" t="s">
        <v>31</v>
      </c>
      <c r="T553">
        <v>3569</v>
      </c>
      <c r="U553">
        <v>3031</v>
      </c>
      <c r="V553" t="s">
        <v>22</v>
      </c>
    </row>
    <row r="554" spans="1:22">
      <c r="A554" t="str">
        <f t="shared" si="193"/>
        <v>17/12/2025</v>
      </c>
      <c r="B554" t="str">
        <f t="shared" si="194"/>
        <v>ENTRADA</v>
      </c>
      <c r="C554" t="str">
        <f t="shared" si="195"/>
        <v>NFSE</v>
      </c>
      <c r="D554" t="str">
        <f t="shared" si="191"/>
        <v>4019</v>
      </c>
      <c r="E554" t="str">
        <f t="shared" si="196"/>
        <v>1</v>
      </c>
      <c r="F554" t="str">
        <f t="shared" si="197"/>
        <v>COM</v>
      </c>
      <c r="G554" t="str">
        <f t="shared" si="192"/>
        <v>FARMÁCIA INDIANA LJ 30 (10127)</v>
      </c>
      <c r="H554" t="s">
        <v>168</v>
      </c>
      <c r="I554" t="str">
        <f t="shared" si="198"/>
        <v>17/12/2025</v>
      </c>
      <c r="J554" t="str">
        <f t="shared" si="199"/>
        <v>09/12/2025</v>
      </c>
      <c r="K554">
        <v>46008</v>
      </c>
      <c r="N554">
        <v>303</v>
      </c>
      <c r="O554" t="s">
        <v>30</v>
      </c>
      <c r="Q554">
        <v>195.44</v>
      </c>
      <c r="R554" t="str">
        <f>"FARMÁCIA INDIANA LJ 95 (10039)"</f>
        <v>FARMÁCIA INDIANA LJ 95 (10039)</v>
      </c>
      <c r="S554" t="s">
        <v>31</v>
      </c>
      <c r="T554">
        <v>3569</v>
      </c>
      <c r="U554">
        <v>3031</v>
      </c>
      <c r="V554" t="s">
        <v>22</v>
      </c>
    </row>
    <row r="555" spans="1:22">
      <c r="A555" t="str">
        <f t="shared" si="193"/>
        <v>17/12/2025</v>
      </c>
      <c r="B555" t="str">
        <f t="shared" si="194"/>
        <v>ENTRADA</v>
      </c>
      <c r="C555" t="str">
        <f t="shared" si="195"/>
        <v>NFSE</v>
      </c>
      <c r="D555" t="str">
        <f t="shared" si="191"/>
        <v>4019</v>
      </c>
      <c r="E555" t="str">
        <f t="shared" si="196"/>
        <v>1</v>
      </c>
      <c r="F555" t="str">
        <f t="shared" si="197"/>
        <v>COM</v>
      </c>
      <c r="G555" t="str">
        <f t="shared" si="192"/>
        <v>FARMÁCIA INDIANA LJ 30 (10127)</v>
      </c>
      <c r="H555" t="s">
        <v>168</v>
      </c>
      <c r="I555" t="str">
        <f t="shared" si="198"/>
        <v>17/12/2025</v>
      </c>
      <c r="J555" t="str">
        <f t="shared" si="199"/>
        <v>09/12/2025</v>
      </c>
      <c r="K555">
        <v>46008</v>
      </c>
      <c r="N555">
        <v>303</v>
      </c>
      <c r="O555" t="s">
        <v>30</v>
      </c>
      <c r="Q555">
        <v>140.87</v>
      </c>
      <c r="R555" t="str">
        <f>"FARMÁCIA INDIANA LJ 145 (10068)"</f>
        <v>FARMÁCIA INDIANA LJ 145 (10068)</v>
      </c>
      <c r="S555" t="s">
        <v>31</v>
      </c>
      <c r="T555">
        <v>3569</v>
      </c>
      <c r="U555">
        <v>3031</v>
      </c>
      <c r="V555" t="s">
        <v>22</v>
      </c>
    </row>
    <row r="556" spans="1:22">
      <c r="A556" t="str">
        <f t="shared" si="193"/>
        <v>17/12/2025</v>
      </c>
      <c r="B556" t="str">
        <f t="shared" si="194"/>
        <v>ENTRADA</v>
      </c>
      <c r="C556" t="str">
        <f t="shared" si="195"/>
        <v>NFSE</v>
      </c>
      <c r="D556" t="str">
        <f t="shared" si="191"/>
        <v>4019</v>
      </c>
      <c r="E556" t="str">
        <f t="shared" si="196"/>
        <v>1</v>
      </c>
      <c r="F556" t="str">
        <f t="shared" si="197"/>
        <v>COM</v>
      </c>
      <c r="G556" t="str">
        <f t="shared" si="192"/>
        <v>FARMÁCIA INDIANA LJ 30 (10127)</v>
      </c>
      <c r="H556" t="s">
        <v>168</v>
      </c>
      <c r="I556" t="str">
        <f t="shared" si="198"/>
        <v>17/12/2025</v>
      </c>
      <c r="J556" t="str">
        <f t="shared" si="199"/>
        <v>09/12/2025</v>
      </c>
      <c r="K556">
        <v>46008</v>
      </c>
      <c r="N556">
        <v>303</v>
      </c>
      <c r="O556" t="s">
        <v>30</v>
      </c>
      <c r="Q556">
        <v>129.44999999999999</v>
      </c>
      <c r="R556" t="str">
        <f>"FARMÁCIA INDIANA LJ 169 (10073)"</f>
        <v>FARMÁCIA INDIANA LJ 169 (10073)</v>
      </c>
      <c r="S556" t="s">
        <v>31</v>
      </c>
      <c r="T556">
        <v>3569</v>
      </c>
      <c r="U556">
        <v>3031</v>
      </c>
      <c r="V556" t="s">
        <v>22</v>
      </c>
    </row>
    <row r="557" spans="1:22">
      <c r="A557" t="str">
        <f t="shared" si="193"/>
        <v>17/12/2025</v>
      </c>
      <c r="B557" t="str">
        <f t="shared" si="194"/>
        <v>ENTRADA</v>
      </c>
      <c r="C557" t="str">
        <f t="shared" si="195"/>
        <v>NFSE</v>
      </c>
      <c r="D557" t="str">
        <f t="shared" si="191"/>
        <v>4019</v>
      </c>
      <c r="E557" t="str">
        <f t="shared" si="196"/>
        <v>1</v>
      </c>
      <c r="F557" t="str">
        <f t="shared" si="197"/>
        <v>COM</v>
      </c>
      <c r="G557" t="str">
        <f t="shared" si="192"/>
        <v>FARMÁCIA INDIANA LJ 30 (10127)</v>
      </c>
      <c r="H557" t="s">
        <v>168</v>
      </c>
      <c r="I557" t="str">
        <f t="shared" si="198"/>
        <v>17/12/2025</v>
      </c>
      <c r="J557" t="str">
        <f t="shared" si="199"/>
        <v>09/12/2025</v>
      </c>
      <c r="K557">
        <v>46008</v>
      </c>
      <c r="N557">
        <v>303</v>
      </c>
      <c r="O557" t="s">
        <v>30</v>
      </c>
      <c r="Q557">
        <v>174.5</v>
      </c>
      <c r="R557" t="str">
        <f>"FARMÁCIA INDIANA LJ 173 (10075)"</f>
        <v>FARMÁCIA INDIANA LJ 173 (10075)</v>
      </c>
      <c r="S557" t="s">
        <v>31</v>
      </c>
      <c r="T557">
        <v>3569</v>
      </c>
      <c r="U557">
        <v>3031</v>
      </c>
      <c r="V557" t="s">
        <v>22</v>
      </c>
    </row>
    <row r="558" spans="1:22">
      <c r="A558" t="str">
        <f t="shared" si="193"/>
        <v>17/12/2025</v>
      </c>
      <c r="B558" t="str">
        <f t="shared" si="194"/>
        <v>ENTRADA</v>
      </c>
      <c r="C558" t="str">
        <f t="shared" si="195"/>
        <v>NFSE</v>
      </c>
      <c r="D558" t="str">
        <f t="shared" si="191"/>
        <v>4019</v>
      </c>
      <c r="E558" t="str">
        <f t="shared" si="196"/>
        <v>1</v>
      </c>
      <c r="F558" t="str">
        <f t="shared" si="197"/>
        <v>COM</v>
      </c>
      <c r="G558" t="str">
        <f t="shared" si="192"/>
        <v>FARMÁCIA INDIANA LJ 30 (10127)</v>
      </c>
      <c r="H558" t="s">
        <v>168</v>
      </c>
      <c r="I558" t="str">
        <f t="shared" si="198"/>
        <v>17/12/2025</v>
      </c>
      <c r="J558" t="str">
        <f t="shared" si="199"/>
        <v>09/12/2025</v>
      </c>
      <c r="K558">
        <v>46008</v>
      </c>
      <c r="N558">
        <v>303</v>
      </c>
      <c r="O558" t="s">
        <v>30</v>
      </c>
      <c r="Q558">
        <v>79.95</v>
      </c>
      <c r="R558" t="str">
        <f>"FARMÁCIA INDIANA LJ 213 (10090)"</f>
        <v>FARMÁCIA INDIANA LJ 213 (10090)</v>
      </c>
      <c r="S558" t="s">
        <v>31</v>
      </c>
      <c r="T558">
        <v>3569</v>
      </c>
      <c r="U558">
        <v>3031</v>
      </c>
      <c r="V558" t="s">
        <v>22</v>
      </c>
    </row>
    <row r="559" spans="1:22">
      <c r="A559" t="str">
        <f t="shared" si="193"/>
        <v>17/12/2025</v>
      </c>
      <c r="B559" t="str">
        <f t="shared" si="194"/>
        <v>ENTRADA</v>
      </c>
      <c r="C559" t="str">
        <f t="shared" si="195"/>
        <v>NFSE</v>
      </c>
      <c r="D559" t="str">
        <f t="shared" si="191"/>
        <v>4019</v>
      </c>
      <c r="E559" t="str">
        <f t="shared" si="196"/>
        <v>1</v>
      </c>
      <c r="F559" t="str">
        <f t="shared" si="197"/>
        <v>COM</v>
      </c>
      <c r="G559" t="str">
        <f t="shared" si="192"/>
        <v>FARMÁCIA INDIANA LJ 30 (10127)</v>
      </c>
      <c r="H559" t="s">
        <v>168</v>
      </c>
      <c r="I559" t="str">
        <f t="shared" si="198"/>
        <v>17/12/2025</v>
      </c>
      <c r="J559" t="str">
        <f t="shared" si="199"/>
        <v>09/12/2025</v>
      </c>
      <c r="K559">
        <v>46008</v>
      </c>
      <c r="N559">
        <v>303</v>
      </c>
      <c r="O559" t="s">
        <v>30</v>
      </c>
      <c r="Q559">
        <v>135.79</v>
      </c>
      <c r="R559" t="str">
        <f>"FARMÁCIA INDIANA LJ 200 (10155)"</f>
        <v>FARMÁCIA INDIANA LJ 200 (10155)</v>
      </c>
      <c r="S559" t="s">
        <v>31</v>
      </c>
      <c r="T559">
        <v>3569</v>
      </c>
      <c r="U559">
        <v>3031</v>
      </c>
      <c r="V559" t="s">
        <v>22</v>
      </c>
    </row>
    <row r="560" spans="1:22">
      <c r="A560" t="str">
        <f t="shared" si="193"/>
        <v>17/12/2025</v>
      </c>
      <c r="B560" t="str">
        <f t="shared" si="194"/>
        <v>ENTRADA</v>
      </c>
      <c r="C560" t="str">
        <f t="shared" si="195"/>
        <v>NFSE</v>
      </c>
      <c r="D560" t="str">
        <f t="shared" si="191"/>
        <v>4019</v>
      </c>
      <c r="E560" t="str">
        <f t="shared" si="196"/>
        <v>1</v>
      </c>
      <c r="F560" t="str">
        <f t="shared" si="197"/>
        <v>COM</v>
      </c>
      <c r="G560" t="str">
        <f t="shared" si="192"/>
        <v>FARMÁCIA INDIANA LJ 30 (10127)</v>
      </c>
      <c r="H560" t="s">
        <v>168</v>
      </c>
      <c r="I560" t="str">
        <f t="shared" si="198"/>
        <v>17/12/2025</v>
      </c>
      <c r="J560" t="str">
        <f t="shared" si="199"/>
        <v>09/12/2025</v>
      </c>
      <c r="K560">
        <v>46008</v>
      </c>
      <c r="N560">
        <v>303</v>
      </c>
      <c r="O560" t="s">
        <v>30</v>
      </c>
      <c r="Q560">
        <v>247.79</v>
      </c>
      <c r="R560" t="str">
        <f>"FARMÁCIA INDIANA LJ 33 (10187)"</f>
        <v>FARMÁCIA INDIANA LJ 33 (10187)</v>
      </c>
      <c r="S560" t="s">
        <v>31</v>
      </c>
      <c r="T560">
        <v>3569</v>
      </c>
      <c r="U560">
        <v>3031</v>
      </c>
      <c r="V560" t="s">
        <v>22</v>
      </c>
    </row>
    <row r="561" spans="1:22">
      <c r="A561" t="str">
        <f t="shared" si="193"/>
        <v>17/12/2025</v>
      </c>
      <c r="B561" t="str">
        <f t="shared" si="194"/>
        <v>ENTRADA</v>
      </c>
      <c r="C561" t="str">
        <f t="shared" si="195"/>
        <v>NFSE</v>
      </c>
      <c r="D561" t="str">
        <f t="shared" si="191"/>
        <v>4019</v>
      </c>
      <c r="E561" t="str">
        <f t="shared" si="196"/>
        <v>1</v>
      </c>
      <c r="F561" t="str">
        <f t="shared" si="197"/>
        <v>COM</v>
      </c>
      <c r="G561" t="str">
        <f t="shared" si="192"/>
        <v>FARMÁCIA INDIANA LJ 30 (10127)</v>
      </c>
      <c r="H561" t="s">
        <v>168</v>
      </c>
      <c r="I561" t="str">
        <f t="shared" si="198"/>
        <v>17/12/2025</v>
      </c>
      <c r="J561" t="str">
        <f t="shared" si="199"/>
        <v>09/12/2025</v>
      </c>
      <c r="K561">
        <v>46008</v>
      </c>
      <c r="N561">
        <v>303</v>
      </c>
      <c r="O561" t="s">
        <v>30</v>
      </c>
      <c r="Q561">
        <v>71.39</v>
      </c>
      <c r="R561" t="str">
        <f>"FARMÁCIA INDIANA LJ 271 (10260)"</f>
        <v>FARMÁCIA INDIANA LJ 271 (10260)</v>
      </c>
      <c r="S561" t="s">
        <v>31</v>
      </c>
      <c r="T561">
        <v>3569</v>
      </c>
      <c r="U561">
        <v>3031</v>
      </c>
      <c r="V561" t="s">
        <v>22</v>
      </c>
    </row>
    <row r="562" spans="1:22">
      <c r="A562" t="str">
        <f t="shared" si="193"/>
        <v>17/12/2025</v>
      </c>
      <c r="B562" t="str">
        <f t="shared" si="194"/>
        <v>ENTRADA</v>
      </c>
      <c r="C562" t="str">
        <f t="shared" si="195"/>
        <v>NFSE</v>
      </c>
      <c r="D562" t="str">
        <f t="shared" si="191"/>
        <v>4019</v>
      </c>
      <c r="E562" t="str">
        <f t="shared" si="196"/>
        <v>1</v>
      </c>
      <c r="F562" t="str">
        <f t="shared" si="197"/>
        <v>COM</v>
      </c>
      <c r="G562" t="str">
        <f t="shared" si="192"/>
        <v>FARMÁCIA INDIANA LJ 30 (10127)</v>
      </c>
      <c r="H562" t="s">
        <v>168</v>
      </c>
      <c r="I562" t="str">
        <f t="shared" si="198"/>
        <v>17/12/2025</v>
      </c>
      <c r="J562" t="str">
        <f t="shared" si="199"/>
        <v>09/12/2025</v>
      </c>
      <c r="K562">
        <v>46008</v>
      </c>
      <c r="N562">
        <v>303</v>
      </c>
      <c r="O562" t="s">
        <v>30</v>
      </c>
      <c r="Q562">
        <v>99.94</v>
      </c>
      <c r="R562" t="str">
        <f>"FARMÁCIA INDIANA LJ 283 (10268)"</f>
        <v>FARMÁCIA INDIANA LJ 283 (10268)</v>
      </c>
      <c r="S562" t="s">
        <v>31</v>
      </c>
      <c r="T562">
        <v>3569</v>
      </c>
      <c r="U562">
        <v>3031</v>
      </c>
      <c r="V562" t="s">
        <v>22</v>
      </c>
    </row>
    <row r="563" spans="1:22">
      <c r="A563" t="str">
        <f t="shared" si="193"/>
        <v>17/12/2025</v>
      </c>
      <c r="B563" t="str">
        <f t="shared" si="194"/>
        <v>ENTRADA</v>
      </c>
      <c r="C563" t="str">
        <f t="shared" si="195"/>
        <v>NFSE</v>
      </c>
      <c r="D563" t="str">
        <f t="shared" si="191"/>
        <v>4019</v>
      </c>
      <c r="E563" t="str">
        <f t="shared" si="196"/>
        <v>1</v>
      </c>
      <c r="F563" t="str">
        <f t="shared" si="197"/>
        <v>COM</v>
      </c>
      <c r="G563" t="str">
        <f t="shared" si="192"/>
        <v>FARMÁCIA INDIANA LJ 30 (10127)</v>
      </c>
      <c r="H563" t="s">
        <v>168</v>
      </c>
      <c r="I563" t="str">
        <f t="shared" si="198"/>
        <v>17/12/2025</v>
      </c>
      <c r="J563" t="str">
        <f t="shared" si="199"/>
        <v>09/12/2025</v>
      </c>
      <c r="K563">
        <v>46008</v>
      </c>
      <c r="N563">
        <v>303</v>
      </c>
      <c r="O563" t="s">
        <v>30</v>
      </c>
      <c r="Q563">
        <v>139.91999999999999</v>
      </c>
      <c r="R563" t="str">
        <f>"FARMÁCIA INDIANA LJ 155 (10273)"</f>
        <v>FARMÁCIA INDIANA LJ 155 (10273)</v>
      </c>
      <c r="S563" t="s">
        <v>31</v>
      </c>
      <c r="T563">
        <v>3569</v>
      </c>
      <c r="U563">
        <v>3031</v>
      </c>
      <c r="V563" t="s">
        <v>22</v>
      </c>
    </row>
    <row r="564" spans="1:22">
      <c r="A564" t="str">
        <f t="shared" si="193"/>
        <v>17/12/2025</v>
      </c>
      <c r="B564" t="str">
        <f t="shared" si="194"/>
        <v>ENTRADA</v>
      </c>
      <c r="C564" t="str">
        <f t="shared" si="195"/>
        <v>NFSE</v>
      </c>
      <c r="D564" t="str">
        <f>"3963"</f>
        <v>3963</v>
      </c>
      <c r="E564" t="str">
        <f t="shared" si="196"/>
        <v>1</v>
      </c>
      <c r="F564" t="str">
        <f t="shared" si="197"/>
        <v>COM</v>
      </c>
      <c r="G564" t="str">
        <f>"PAGMENOS - LJ 768 (10266)"</f>
        <v>PAGMENOS - LJ 768 (10266)</v>
      </c>
      <c r="H564" t="str">
        <f>"Serv.Prest. 24/11/2025 a 30/11/2025 - RPS: 1725 - NFSe: 3963"</f>
        <v>Serv.Prest. 24/11/2025 a 30/11/2025 - RPS: 1725 - NFSe: 3963</v>
      </c>
      <c r="I564" t="str">
        <f t="shared" ref="I564:I573" si="200">("12/12/2025")</f>
        <v>12/12/2025</v>
      </c>
      <c r="J564" t="str">
        <f t="shared" ref="J564:J573" si="201">("02/12/2025")</f>
        <v>02/12/2025</v>
      </c>
      <c r="K564" t="str">
        <f>("17/12/2025")</f>
        <v>17/12/2025</v>
      </c>
      <c r="L564">
        <v>263.62</v>
      </c>
      <c r="M564">
        <v>263.62</v>
      </c>
      <c r="N564">
        <v>303</v>
      </c>
      <c r="O564" t="str">
        <f>"RECEITAS COM ENTREGAS"</f>
        <v>RECEITAS COM ENTREGAS</v>
      </c>
      <c r="P564">
        <v>263.62</v>
      </c>
      <c r="S564" t="str">
        <f>"RECEITAS COM ENTREGAS (303)"</f>
        <v>RECEITAS COM ENTREGAS (303)</v>
      </c>
      <c r="T564">
        <v>3570</v>
      </c>
      <c r="U564">
        <v>2877</v>
      </c>
      <c r="V564" t="s">
        <v>22</v>
      </c>
    </row>
    <row r="565" spans="1:22">
      <c r="A565" t="str">
        <f t="shared" si="193"/>
        <v>17/12/2025</v>
      </c>
      <c r="B565" t="str">
        <f t="shared" si="194"/>
        <v>ENTRADA</v>
      </c>
      <c r="C565" t="str">
        <f t="shared" si="195"/>
        <v>NFSE</v>
      </c>
      <c r="D565" t="str">
        <f>"3963"</f>
        <v>3963</v>
      </c>
      <c r="E565" t="str">
        <f t="shared" si="196"/>
        <v>1</v>
      </c>
      <c r="F565" t="str">
        <f t="shared" si="197"/>
        <v>COM</v>
      </c>
      <c r="G565" t="str">
        <f>"PAGMENOS - LJ 768 (10266)"</f>
        <v>PAGMENOS - LJ 768 (10266)</v>
      </c>
      <c r="H565" t="s">
        <v>169</v>
      </c>
      <c r="I565" t="str">
        <f t="shared" si="200"/>
        <v>12/12/2025</v>
      </c>
      <c r="J565" t="str">
        <f t="shared" si="201"/>
        <v>02/12/2025</v>
      </c>
      <c r="K565">
        <v>46008</v>
      </c>
      <c r="N565">
        <v>303</v>
      </c>
      <c r="O565" t="s">
        <v>30</v>
      </c>
      <c r="Q565">
        <v>263.62</v>
      </c>
      <c r="R565" t="str">
        <f>"PAGMENOS - LJ 768 (10266)"</f>
        <v>PAGMENOS - LJ 768 (10266)</v>
      </c>
      <c r="S565" t="s">
        <v>31</v>
      </c>
      <c r="T565">
        <v>3570</v>
      </c>
      <c r="U565">
        <v>2877</v>
      </c>
      <c r="V565" t="s">
        <v>22</v>
      </c>
    </row>
    <row r="566" spans="1:22">
      <c r="A566" t="str">
        <f t="shared" si="193"/>
        <v>17/12/2025</v>
      </c>
      <c r="B566" t="str">
        <f t="shared" si="194"/>
        <v>ENTRADA</v>
      </c>
      <c r="C566" t="str">
        <f t="shared" si="195"/>
        <v>NFSE</v>
      </c>
      <c r="D566" t="str">
        <f>"3962"</f>
        <v>3962</v>
      </c>
      <c r="E566" t="str">
        <f t="shared" si="196"/>
        <v>1</v>
      </c>
      <c r="F566" t="str">
        <f t="shared" si="197"/>
        <v>COM</v>
      </c>
      <c r="G566" t="str">
        <f>"PAGMENOS - LJ 657 (10136)"</f>
        <v>PAGMENOS - LJ 657 (10136)</v>
      </c>
      <c r="H566" t="str">
        <f>"Serv.Prest. 24/11/2025 a 30/11/2025 - RPS: 1724 - NFSe: 3962"</f>
        <v>Serv.Prest. 24/11/2025 a 30/11/2025 - RPS: 1724 - NFSe: 3962</v>
      </c>
      <c r="I566" t="str">
        <f t="shared" si="200"/>
        <v>12/12/2025</v>
      </c>
      <c r="J566" t="str">
        <f t="shared" si="201"/>
        <v>02/12/2025</v>
      </c>
      <c r="K566" t="str">
        <f>("17/12/2025")</f>
        <v>17/12/2025</v>
      </c>
      <c r="L566">
        <v>550.62</v>
      </c>
      <c r="M566">
        <v>550.62</v>
      </c>
      <c r="N566">
        <v>303</v>
      </c>
      <c r="O566" t="str">
        <f>"RECEITAS COM ENTREGAS"</f>
        <v>RECEITAS COM ENTREGAS</v>
      </c>
      <c r="P566">
        <v>550.62</v>
      </c>
      <c r="S566" t="str">
        <f>"RECEITAS COM ENTREGAS (303)"</f>
        <v>RECEITAS COM ENTREGAS (303)</v>
      </c>
      <c r="T566">
        <v>3571</v>
      </c>
      <c r="U566">
        <v>2876</v>
      </c>
      <c r="V566" t="s">
        <v>22</v>
      </c>
    </row>
    <row r="567" spans="1:22">
      <c r="A567" t="str">
        <f t="shared" si="193"/>
        <v>17/12/2025</v>
      </c>
      <c r="B567" t="str">
        <f t="shared" si="194"/>
        <v>ENTRADA</v>
      </c>
      <c r="C567" t="str">
        <f t="shared" si="195"/>
        <v>NFSE</v>
      </c>
      <c r="D567" t="str">
        <f>"3962"</f>
        <v>3962</v>
      </c>
      <c r="E567" t="str">
        <f t="shared" si="196"/>
        <v>1</v>
      </c>
      <c r="F567" t="str">
        <f t="shared" si="197"/>
        <v>COM</v>
      </c>
      <c r="G567" t="str">
        <f>"PAGMENOS - LJ 657 (10136)"</f>
        <v>PAGMENOS - LJ 657 (10136)</v>
      </c>
      <c r="H567" t="s">
        <v>170</v>
      </c>
      <c r="I567" t="str">
        <f t="shared" si="200"/>
        <v>12/12/2025</v>
      </c>
      <c r="J567" t="str">
        <f t="shared" si="201"/>
        <v>02/12/2025</v>
      </c>
      <c r="K567">
        <v>46008</v>
      </c>
      <c r="N567">
        <v>303</v>
      </c>
      <c r="O567" t="s">
        <v>30</v>
      </c>
      <c r="Q567">
        <v>550.62</v>
      </c>
      <c r="R567" t="str">
        <f>"PAGMENOS - LJ 657 (10136)"</f>
        <v>PAGMENOS - LJ 657 (10136)</v>
      </c>
      <c r="S567" t="s">
        <v>31</v>
      </c>
      <c r="T567">
        <v>3571</v>
      </c>
      <c r="U567">
        <v>2876</v>
      </c>
      <c r="V567" t="s">
        <v>22</v>
      </c>
    </row>
    <row r="568" spans="1:22">
      <c r="A568" t="str">
        <f t="shared" si="193"/>
        <v>17/12/2025</v>
      </c>
      <c r="B568" t="str">
        <f t="shared" si="194"/>
        <v>ENTRADA</v>
      </c>
      <c r="C568" t="str">
        <f t="shared" si="195"/>
        <v>NFSE</v>
      </c>
      <c r="D568" t="str">
        <f>"3961"</f>
        <v>3961</v>
      </c>
      <c r="E568" t="str">
        <f t="shared" si="196"/>
        <v>1</v>
      </c>
      <c r="F568" t="str">
        <f t="shared" si="197"/>
        <v>COM</v>
      </c>
      <c r="G568" t="str">
        <f>"PAGMENOS - LJ 608 (10135)"</f>
        <v>PAGMENOS - LJ 608 (10135)</v>
      </c>
      <c r="H568" t="str">
        <f>"Serv.Prest. 24/11/2025 a 30/11/2025 - RPS: 1723 - NFSe: 3961"</f>
        <v>Serv.Prest. 24/11/2025 a 30/11/2025 - RPS: 1723 - NFSe: 3961</v>
      </c>
      <c r="I568" t="str">
        <f t="shared" si="200"/>
        <v>12/12/2025</v>
      </c>
      <c r="J568" t="str">
        <f t="shared" si="201"/>
        <v>02/12/2025</v>
      </c>
      <c r="K568" t="str">
        <f>("17/12/2025")</f>
        <v>17/12/2025</v>
      </c>
      <c r="L568">
        <v>220.25</v>
      </c>
      <c r="M568">
        <v>220.25</v>
      </c>
      <c r="N568">
        <v>303</v>
      </c>
      <c r="O568" t="str">
        <f>"RECEITAS COM ENTREGAS"</f>
        <v>RECEITAS COM ENTREGAS</v>
      </c>
      <c r="P568">
        <v>220.25</v>
      </c>
      <c r="S568" t="str">
        <f>"RECEITAS COM ENTREGAS (303)"</f>
        <v>RECEITAS COM ENTREGAS (303)</v>
      </c>
      <c r="T568">
        <v>3572</v>
      </c>
      <c r="U568">
        <v>2875</v>
      </c>
      <c r="V568" t="s">
        <v>22</v>
      </c>
    </row>
    <row r="569" spans="1:22">
      <c r="A569" t="str">
        <f t="shared" si="193"/>
        <v>17/12/2025</v>
      </c>
      <c r="B569" t="str">
        <f t="shared" si="194"/>
        <v>ENTRADA</v>
      </c>
      <c r="C569" t="str">
        <f t="shared" si="195"/>
        <v>NFSE</v>
      </c>
      <c r="D569" t="str">
        <f>"3961"</f>
        <v>3961</v>
      </c>
      <c r="E569" t="str">
        <f t="shared" si="196"/>
        <v>1</v>
      </c>
      <c r="F569" t="str">
        <f t="shared" si="197"/>
        <v>COM</v>
      </c>
      <c r="G569" t="str">
        <f>"PAGMENOS - LJ 608 (10135)"</f>
        <v>PAGMENOS - LJ 608 (10135)</v>
      </c>
      <c r="H569" t="s">
        <v>171</v>
      </c>
      <c r="I569" t="str">
        <f t="shared" si="200"/>
        <v>12/12/2025</v>
      </c>
      <c r="J569" t="str">
        <f t="shared" si="201"/>
        <v>02/12/2025</v>
      </c>
      <c r="K569">
        <v>46008</v>
      </c>
      <c r="N569">
        <v>303</v>
      </c>
      <c r="O569" t="s">
        <v>30</v>
      </c>
      <c r="Q569">
        <v>220.25</v>
      </c>
      <c r="R569" t="str">
        <f>"PAGMENOS - LJ 608 (10135)"</f>
        <v>PAGMENOS - LJ 608 (10135)</v>
      </c>
      <c r="S569" t="s">
        <v>31</v>
      </c>
      <c r="T569">
        <v>3572</v>
      </c>
      <c r="U569">
        <v>2875</v>
      </c>
      <c r="V569" t="s">
        <v>22</v>
      </c>
    </row>
    <row r="570" spans="1:22">
      <c r="A570" t="str">
        <f t="shared" si="193"/>
        <v>17/12/2025</v>
      </c>
      <c r="B570" t="str">
        <f t="shared" si="194"/>
        <v>ENTRADA</v>
      </c>
      <c r="C570" t="str">
        <f t="shared" si="195"/>
        <v>NFSE</v>
      </c>
      <c r="D570" t="str">
        <f>"3960"</f>
        <v>3960</v>
      </c>
      <c r="E570" t="str">
        <f t="shared" si="196"/>
        <v>1</v>
      </c>
      <c r="F570" t="str">
        <f t="shared" si="197"/>
        <v>COM</v>
      </c>
      <c r="G570" t="str">
        <f>"PAGMENOS - LJ 431 (10265)"</f>
        <v>PAGMENOS - LJ 431 (10265)</v>
      </c>
      <c r="H570" t="str">
        <f>"Serv.Prest. 24/11/2025 a 30/11/2025 - RPS: 1722 - NFSe: 3960"</f>
        <v>Serv.Prest. 24/11/2025 a 30/11/2025 - RPS: 1722 - NFSe: 3960</v>
      </c>
      <c r="I570" t="str">
        <f t="shared" si="200"/>
        <v>12/12/2025</v>
      </c>
      <c r="J570" t="str">
        <f t="shared" si="201"/>
        <v>02/12/2025</v>
      </c>
      <c r="K570" t="str">
        <f>("17/12/2025")</f>
        <v>17/12/2025</v>
      </c>
      <c r="L570">
        <v>287.85000000000002</v>
      </c>
      <c r="M570">
        <v>287.85000000000002</v>
      </c>
      <c r="N570">
        <v>303</v>
      </c>
      <c r="O570" t="str">
        <f>"RECEITAS COM ENTREGAS"</f>
        <v>RECEITAS COM ENTREGAS</v>
      </c>
      <c r="P570">
        <v>287.85000000000002</v>
      </c>
      <c r="S570" t="str">
        <f>"RECEITAS COM ENTREGAS (303)"</f>
        <v>RECEITAS COM ENTREGAS (303)</v>
      </c>
      <c r="T570">
        <v>3573</v>
      </c>
      <c r="U570">
        <v>2874</v>
      </c>
      <c r="V570" t="s">
        <v>22</v>
      </c>
    </row>
    <row r="571" spans="1:22">
      <c r="A571" t="str">
        <f t="shared" si="193"/>
        <v>17/12/2025</v>
      </c>
      <c r="B571" t="str">
        <f t="shared" si="194"/>
        <v>ENTRADA</v>
      </c>
      <c r="C571" t="str">
        <f t="shared" si="195"/>
        <v>NFSE</v>
      </c>
      <c r="D571" t="str">
        <f>"3960"</f>
        <v>3960</v>
      </c>
      <c r="E571" t="str">
        <f t="shared" si="196"/>
        <v>1</v>
      </c>
      <c r="F571" t="str">
        <f t="shared" si="197"/>
        <v>COM</v>
      </c>
      <c r="G571" t="str">
        <f>"PAGMENOS - LJ 431 (10265)"</f>
        <v>PAGMENOS - LJ 431 (10265)</v>
      </c>
      <c r="H571" t="s">
        <v>172</v>
      </c>
      <c r="I571" t="str">
        <f t="shared" si="200"/>
        <v>12/12/2025</v>
      </c>
      <c r="J571" t="str">
        <f t="shared" si="201"/>
        <v>02/12/2025</v>
      </c>
      <c r="K571">
        <v>46008</v>
      </c>
      <c r="N571">
        <v>303</v>
      </c>
      <c r="O571" t="s">
        <v>30</v>
      </c>
      <c r="Q571">
        <v>287.85000000000002</v>
      </c>
      <c r="R571" t="str">
        <f>"PAGMENOS - LJ 431 (10265)"</f>
        <v>PAGMENOS - LJ 431 (10265)</v>
      </c>
      <c r="S571" t="s">
        <v>31</v>
      </c>
      <c r="T571">
        <v>3573</v>
      </c>
      <c r="U571">
        <v>2874</v>
      </c>
      <c r="V571" t="s">
        <v>22</v>
      </c>
    </row>
    <row r="572" spans="1:22">
      <c r="A572" t="str">
        <f t="shared" si="193"/>
        <v>17/12/2025</v>
      </c>
      <c r="B572" t="str">
        <f t="shared" si="194"/>
        <v>ENTRADA</v>
      </c>
      <c r="C572" t="str">
        <f t="shared" si="195"/>
        <v>NFSE</v>
      </c>
      <c r="D572" t="str">
        <f>"3959"</f>
        <v>3959</v>
      </c>
      <c r="E572" t="str">
        <f t="shared" si="196"/>
        <v>1</v>
      </c>
      <c r="F572" t="str">
        <f t="shared" si="197"/>
        <v>COM</v>
      </c>
      <c r="G572" t="str">
        <f>"PAGMENOS - LJ 326 (10264)"</f>
        <v>PAGMENOS - LJ 326 (10264)</v>
      </c>
      <c r="H572" t="str">
        <f>"Serv.Prest. 24/11/2025 a 30/11/2025 - RPS: 1721 - NFSe: 3959"</f>
        <v>Serv.Prest. 24/11/2025 a 30/11/2025 - RPS: 1721 - NFSe: 3959</v>
      </c>
      <c r="I572" t="str">
        <f t="shared" si="200"/>
        <v>12/12/2025</v>
      </c>
      <c r="J572" t="str">
        <f t="shared" si="201"/>
        <v>02/12/2025</v>
      </c>
      <c r="K572" t="str">
        <f>("17/12/2025")</f>
        <v>17/12/2025</v>
      </c>
      <c r="L572">
        <v>23.83</v>
      </c>
      <c r="M572">
        <v>23.83</v>
      </c>
      <c r="N572">
        <v>303</v>
      </c>
      <c r="O572" t="str">
        <f>"RECEITAS COM ENTREGAS"</f>
        <v>RECEITAS COM ENTREGAS</v>
      </c>
      <c r="P572">
        <v>23.83</v>
      </c>
      <c r="S572" t="str">
        <f>"RECEITAS COM ENTREGAS (303)"</f>
        <v>RECEITAS COM ENTREGAS (303)</v>
      </c>
      <c r="T572">
        <v>3574</v>
      </c>
      <c r="U572">
        <v>2873</v>
      </c>
      <c r="V572" t="s">
        <v>22</v>
      </c>
    </row>
    <row r="573" spans="1:22">
      <c r="A573" t="str">
        <f t="shared" si="193"/>
        <v>17/12/2025</v>
      </c>
      <c r="B573" t="str">
        <f t="shared" si="194"/>
        <v>ENTRADA</v>
      </c>
      <c r="C573" t="str">
        <f t="shared" si="195"/>
        <v>NFSE</v>
      </c>
      <c r="D573" t="str">
        <f>"3959"</f>
        <v>3959</v>
      </c>
      <c r="E573" t="str">
        <f t="shared" si="196"/>
        <v>1</v>
      </c>
      <c r="F573" t="str">
        <f t="shared" si="197"/>
        <v>COM</v>
      </c>
      <c r="G573" t="str">
        <f>"PAGMENOS - LJ 326 (10264)"</f>
        <v>PAGMENOS - LJ 326 (10264)</v>
      </c>
      <c r="H573" t="s">
        <v>173</v>
      </c>
      <c r="I573" t="str">
        <f t="shared" si="200"/>
        <v>12/12/2025</v>
      </c>
      <c r="J573" t="str">
        <f t="shared" si="201"/>
        <v>02/12/2025</v>
      </c>
      <c r="K573">
        <v>46008</v>
      </c>
      <c r="N573">
        <v>303</v>
      </c>
      <c r="O573" t="s">
        <v>30</v>
      </c>
      <c r="Q573">
        <v>23.83</v>
      </c>
      <c r="R573" t="str">
        <f>"PAGMENOS - LJ 326 (10264)"</f>
        <v>PAGMENOS - LJ 326 (10264)</v>
      </c>
      <c r="S573" t="s">
        <v>31</v>
      </c>
      <c r="T573">
        <v>3574</v>
      </c>
      <c r="U573">
        <v>2873</v>
      </c>
      <c r="V573" t="s">
        <v>22</v>
      </c>
    </row>
    <row r="574" spans="1:22">
      <c r="A574" t="str">
        <f t="shared" si="193"/>
        <v>17/12/2025</v>
      </c>
      <c r="B574" t="str">
        <f>"SAÍDA"</f>
        <v>SAÍDA</v>
      </c>
      <c r="C574" t="str">
        <f>"JUROS"</f>
        <v>JUROS</v>
      </c>
      <c r="D574" t="str">
        <f>""</f>
        <v/>
      </c>
      <c r="F574" t="str">
        <f>"CXA"</f>
        <v>CXA</v>
      </c>
      <c r="G574" t="str">
        <f>""</f>
        <v/>
      </c>
      <c r="H574" t="str">
        <f>"TARIFA SERV.COBR.TITULOS"</f>
        <v>TARIFA SERV.COBR.TITULOS</v>
      </c>
      <c r="I574" t="str">
        <f>("17/12/2025")</f>
        <v>17/12/2025</v>
      </c>
      <c r="J574" t="str">
        <f>("17/12/2025")</f>
        <v>17/12/2025</v>
      </c>
      <c r="K574" t="str">
        <f>("17/12/2025")</f>
        <v>17/12/2025</v>
      </c>
      <c r="L574">
        <v>1.39</v>
      </c>
      <c r="M574">
        <v>1.39</v>
      </c>
      <c r="N574">
        <v>401</v>
      </c>
      <c r="O574" t="str">
        <f>"IOF/JUROS/DESP.FINANCEIRA"</f>
        <v>IOF/JUROS/DESP.FINANCEIRA</v>
      </c>
      <c r="P574">
        <v>1.39</v>
      </c>
      <c r="S574" t="str">
        <f>"BANCO SICREDI (131)"</f>
        <v>BANCO SICREDI (131)</v>
      </c>
      <c r="T574">
        <v>3750</v>
      </c>
      <c r="U574">
        <v>0</v>
      </c>
      <c r="V574" t="s">
        <v>53</v>
      </c>
    </row>
    <row r="575" spans="1:22">
      <c r="A575" t="str">
        <f t="shared" si="193"/>
        <v>17/12/2025</v>
      </c>
      <c r="B575" t="str">
        <f t="shared" ref="B575:B606" si="202">"ENTRADA"</f>
        <v>ENTRADA</v>
      </c>
      <c r="C575" t="str">
        <f t="shared" ref="C575:C606" si="203">"NFSE"</f>
        <v>NFSE</v>
      </c>
      <c r="D575" t="str">
        <f>"4054"</f>
        <v>4054</v>
      </c>
      <c r="E575" t="str">
        <f t="shared" ref="E575:E606" si="204">"1"</f>
        <v>1</v>
      </c>
      <c r="F575" t="str">
        <f t="shared" ref="F575:F606" si="205">"COM"</f>
        <v>COM</v>
      </c>
      <c r="G575" t="str">
        <f>"DROGARIA TOTAL JUNDIAI (10177)"</f>
        <v>DROGARIA TOTAL JUNDIAI (10177)</v>
      </c>
      <c r="H575" t="str">
        <f>"Serv.Prest. 08/12/2025 a 14/12/2025 - RPS: 1816 - NFSe: 4054"</f>
        <v>Serv.Prest. 08/12/2025 a 14/12/2025 - RPS: 1816 - NFSe: 4054</v>
      </c>
      <c r="I575" t="str">
        <f t="shared" ref="I575:I606" si="206">("17/12/2025")</f>
        <v>17/12/2025</v>
      </c>
      <c r="J575" t="str">
        <f>("15/12/2025")</f>
        <v>15/12/2025</v>
      </c>
      <c r="K575" t="str">
        <f>("17/12/2025")</f>
        <v>17/12/2025</v>
      </c>
      <c r="L575">
        <v>100.27</v>
      </c>
      <c r="M575">
        <v>100.27</v>
      </c>
      <c r="N575">
        <v>303</v>
      </c>
      <c r="O575" t="str">
        <f>"RECEITAS COM ENTREGAS"</f>
        <v>RECEITAS COM ENTREGAS</v>
      </c>
      <c r="P575">
        <v>100.27</v>
      </c>
      <c r="S575" t="str">
        <f>"RECEITAS COM ENTREGAS (303)"</f>
        <v>RECEITAS COM ENTREGAS (303)</v>
      </c>
      <c r="T575">
        <v>3872</v>
      </c>
      <c r="U575">
        <v>3069</v>
      </c>
      <c r="V575" t="s">
        <v>36</v>
      </c>
    </row>
    <row r="576" spans="1:22">
      <c r="A576" t="str">
        <f t="shared" si="193"/>
        <v>17/12/2025</v>
      </c>
      <c r="B576" t="str">
        <f t="shared" si="202"/>
        <v>ENTRADA</v>
      </c>
      <c r="C576" t="str">
        <f t="shared" si="203"/>
        <v>NFSE</v>
      </c>
      <c r="D576" t="str">
        <f>"4054"</f>
        <v>4054</v>
      </c>
      <c r="E576" t="str">
        <f t="shared" si="204"/>
        <v>1</v>
      </c>
      <c r="F576" t="str">
        <f t="shared" si="205"/>
        <v>COM</v>
      </c>
      <c r="G576" t="str">
        <f>"DROGARIA TOTAL JUNDIAI (10177)"</f>
        <v>DROGARIA TOTAL JUNDIAI (10177)</v>
      </c>
      <c r="H576" t="s">
        <v>174</v>
      </c>
      <c r="I576" t="str">
        <f t="shared" si="206"/>
        <v>17/12/2025</v>
      </c>
      <c r="J576" t="str">
        <f>("15/12/2025")</f>
        <v>15/12/2025</v>
      </c>
      <c r="K576">
        <v>46008</v>
      </c>
      <c r="N576">
        <v>303</v>
      </c>
      <c r="O576" t="s">
        <v>30</v>
      </c>
      <c r="Q576">
        <v>100.27</v>
      </c>
      <c r="R576" t="str">
        <f>"DROGARIA TOTAL JUNDIAI (10177)"</f>
        <v>DROGARIA TOTAL JUNDIAI (10177)</v>
      </c>
      <c r="S576" t="s">
        <v>31</v>
      </c>
      <c r="T576">
        <v>3872</v>
      </c>
      <c r="U576">
        <v>3069</v>
      </c>
      <c r="V576" t="s">
        <v>36</v>
      </c>
    </row>
    <row r="577" spans="1:22">
      <c r="A577" t="str">
        <f t="shared" si="193"/>
        <v>17/12/2025</v>
      </c>
      <c r="B577" t="str">
        <f t="shared" si="202"/>
        <v>ENTRADA</v>
      </c>
      <c r="C577" t="str">
        <f t="shared" si="203"/>
        <v>NFSE</v>
      </c>
      <c r="D577" t="str">
        <f>"4058"</f>
        <v>4058</v>
      </c>
      <c r="E577" t="str">
        <f t="shared" si="204"/>
        <v>1</v>
      </c>
      <c r="F577" t="str">
        <f t="shared" si="205"/>
        <v>COM</v>
      </c>
      <c r="G577" t="str">
        <f>"DROGARIA NIQUINHO (10257)"</f>
        <v>DROGARIA NIQUINHO (10257)</v>
      </c>
      <c r="H577" t="str">
        <f>"Serv.Prest. 08/12/2025 a 14/12/2025 - RPS: 1820 - NFSe: 4058"</f>
        <v>Serv.Prest. 08/12/2025 a 14/12/2025 - RPS: 1820 - NFSe: 4058</v>
      </c>
      <c r="I577" t="str">
        <f t="shared" si="206"/>
        <v>17/12/2025</v>
      </c>
      <c r="J577" t="str">
        <f>("15/12/2025")</f>
        <v>15/12/2025</v>
      </c>
      <c r="K577" t="str">
        <f>("17/12/2025")</f>
        <v>17/12/2025</v>
      </c>
      <c r="L577">
        <v>195.76</v>
      </c>
      <c r="M577">
        <v>195.76</v>
      </c>
      <c r="N577">
        <v>303</v>
      </c>
      <c r="O577" t="str">
        <f>"RECEITAS COM ENTREGAS"</f>
        <v>RECEITAS COM ENTREGAS</v>
      </c>
      <c r="P577">
        <v>195.76</v>
      </c>
      <c r="S577" t="str">
        <f>"RECEITAS COM ENTREGAS (303)"</f>
        <v>RECEITAS COM ENTREGAS (303)</v>
      </c>
      <c r="T577">
        <v>3873</v>
      </c>
      <c r="U577">
        <v>3073</v>
      </c>
      <c r="V577" t="s">
        <v>36</v>
      </c>
    </row>
    <row r="578" spans="1:22">
      <c r="A578" t="str">
        <f t="shared" si="193"/>
        <v>17/12/2025</v>
      </c>
      <c r="B578" t="str">
        <f t="shared" si="202"/>
        <v>ENTRADA</v>
      </c>
      <c r="C578" t="str">
        <f t="shared" si="203"/>
        <v>NFSE</v>
      </c>
      <c r="D578" t="str">
        <f>"4058"</f>
        <v>4058</v>
      </c>
      <c r="E578" t="str">
        <f t="shared" si="204"/>
        <v>1</v>
      </c>
      <c r="F578" t="str">
        <f t="shared" si="205"/>
        <v>COM</v>
      </c>
      <c r="G578" t="str">
        <f>"DROGARIA NIQUINHO (10257)"</f>
        <v>DROGARIA NIQUINHO (10257)</v>
      </c>
      <c r="H578" t="s">
        <v>175</v>
      </c>
      <c r="I578" t="str">
        <f t="shared" si="206"/>
        <v>17/12/2025</v>
      </c>
      <c r="J578" t="str">
        <f>("15/12/2025")</f>
        <v>15/12/2025</v>
      </c>
      <c r="K578">
        <v>46008</v>
      </c>
      <c r="N578">
        <v>303</v>
      </c>
      <c r="O578" t="s">
        <v>30</v>
      </c>
      <c r="Q578">
        <v>195.76</v>
      </c>
      <c r="R578" t="str">
        <f>"DROGARIA NIQUINHO (10257)"</f>
        <v>DROGARIA NIQUINHO (10257)</v>
      </c>
      <c r="S578" t="s">
        <v>31</v>
      </c>
      <c r="T578">
        <v>3873</v>
      </c>
      <c r="U578">
        <v>3073</v>
      </c>
      <c r="V578" t="s">
        <v>36</v>
      </c>
    </row>
    <row r="579" spans="1:22">
      <c r="A579" t="str">
        <f t="shared" ref="A579:A610" si="207">("18/12/2025")</f>
        <v>18/12/2025</v>
      </c>
      <c r="B579" t="str">
        <f t="shared" si="202"/>
        <v>ENTRADA</v>
      </c>
      <c r="C579" t="str">
        <f t="shared" si="203"/>
        <v>NFSE</v>
      </c>
      <c r="D579" t="str">
        <f>"4022"</f>
        <v>4022</v>
      </c>
      <c r="E579" t="str">
        <f t="shared" si="204"/>
        <v>1</v>
      </c>
      <c r="F579" t="str">
        <f t="shared" si="205"/>
        <v>COM</v>
      </c>
      <c r="G579" t="str">
        <f>"AC FARMA - CID.ALTA (10166)"</f>
        <v>AC FARMA - CID.ALTA (10166)</v>
      </c>
      <c r="H579" t="str">
        <f>"Serv.Prest. 01/12/2025 a 07/12/2025 - RPS: 1784 - NFSe: 4022"</f>
        <v>Serv.Prest. 01/12/2025 a 07/12/2025 - RPS: 1784 - NFSe: 4022</v>
      </c>
      <c r="I579" t="str">
        <f t="shared" si="206"/>
        <v>17/12/2025</v>
      </c>
      <c r="J579" t="str">
        <f t="shared" ref="J579:J586" si="208">("10/12/2025")</f>
        <v>10/12/2025</v>
      </c>
      <c r="K579" t="str">
        <f>("18/12/2025")</f>
        <v>18/12/2025</v>
      </c>
      <c r="L579">
        <v>970.65</v>
      </c>
      <c r="M579">
        <v>970.65</v>
      </c>
      <c r="N579">
        <v>303</v>
      </c>
      <c r="O579" t="str">
        <f>"RECEITAS COM ENTREGAS"</f>
        <v>RECEITAS COM ENTREGAS</v>
      </c>
      <c r="P579">
        <v>970.65</v>
      </c>
      <c r="S579" t="str">
        <f>"RECEITAS COM ENTREGAS (303)"</f>
        <v>RECEITAS COM ENTREGAS (303)</v>
      </c>
      <c r="T579">
        <v>3832</v>
      </c>
      <c r="U579">
        <v>3034</v>
      </c>
      <c r="V579" t="s">
        <v>36</v>
      </c>
    </row>
    <row r="580" spans="1:22">
      <c r="A580" t="str">
        <f t="shared" si="207"/>
        <v>18/12/2025</v>
      </c>
      <c r="B580" t="str">
        <f t="shared" si="202"/>
        <v>ENTRADA</v>
      </c>
      <c r="C580" t="str">
        <f t="shared" si="203"/>
        <v>NFSE</v>
      </c>
      <c r="D580" t="str">
        <f>"4022"</f>
        <v>4022</v>
      </c>
      <c r="E580" t="str">
        <f t="shared" si="204"/>
        <v>1</v>
      </c>
      <c r="F580" t="str">
        <f t="shared" si="205"/>
        <v>COM</v>
      </c>
      <c r="G580" t="str">
        <f>"AC FARMA - CID.ALTA (10166)"</f>
        <v>AC FARMA - CID.ALTA (10166)</v>
      </c>
      <c r="H580" t="s">
        <v>176</v>
      </c>
      <c r="I580" t="str">
        <f t="shared" si="206"/>
        <v>17/12/2025</v>
      </c>
      <c r="J580" t="str">
        <f t="shared" si="208"/>
        <v>10/12/2025</v>
      </c>
      <c r="K580">
        <v>46009</v>
      </c>
      <c r="N580">
        <v>303</v>
      </c>
      <c r="O580" t="s">
        <v>30</v>
      </c>
      <c r="Q580">
        <v>970.65</v>
      </c>
      <c r="R580" t="str">
        <f>"AC FARMA - CID.ALTA (10166)"</f>
        <v>AC FARMA - CID.ALTA (10166)</v>
      </c>
      <c r="S580" t="s">
        <v>31</v>
      </c>
      <c r="T580">
        <v>3832</v>
      </c>
      <c r="U580">
        <v>3034</v>
      </c>
      <c r="V580" t="s">
        <v>36</v>
      </c>
    </row>
    <row r="581" spans="1:22">
      <c r="A581" t="str">
        <f t="shared" si="207"/>
        <v>18/12/2025</v>
      </c>
      <c r="B581" t="str">
        <f t="shared" si="202"/>
        <v>ENTRADA</v>
      </c>
      <c r="C581" t="str">
        <f t="shared" si="203"/>
        <v>NFSE</v>
      </c>
      <c r="D581" t="str">
        <f>"4023"</f>
        <v>4023</v>
      </c>
      <c r="E581" t="str">
        <f t="shared" si="204"/>
        <v>1</v>
      </c>
      <c r="F581" t="str">
        <f t="shared" si="205"/>
        <v>COM</v>
      </c>
      <c r="G581" t="str">
        <f>"AC FARMA - FLEMINFARMA (10160)"</f>
        <v>AC FARMA - FLEMINFARMA (10160)</v>
      </c>
      <c r="H581" t="str">
        <f>"Serv.Prest. 01/12/2025 a 07/12/2025 - RPS: 1785 - NFSe: 4023"</f>
        <v>Serv.Prest. 01/12/2025 a 07/12/2025 - RPS: 1785 - NFSe: 4023</v>
      </c>
      <c r="I581" t="str">
        <f t="shared" si="206"/>
        <v>17/12/2025</v>
      </c>
      <c r="J581" t="str">
        <f t="shared" si="208"/>
        <v>10/12/2025</v>
      </c>
      <c r="K581" t="str">
        <f>("18/12/2025")</f>
        <v>18/12/2025</v>
      </c>
      <c r="L581">
        <v>189</v>
      </c>
      <c r="M581">
        <v>189</v>
      </c>
      <c r="N581">
        <v>303</v>
      </c>
      <c r="O581" t="str">
        <f>"RECEITAS COM ENTREGAS"</f>
        <v>RECEITAS COM ENTREGAS</v>
      </c>
      <c r="P581">
        <v>189</v>
      </c>
      <c r="S581" t="str">
        <f>"RECEITAS COM ENTREGAS (303)"</f>
        <v>RECEITAS COM ENTREGAS (303)</v>
      </c>
      <c r="T581">
        <v>3833</v>
      </c>
      <c r="U581">
        <v>3035</v>
      </c>
      <c r="V581" t="s">
        <v>36</v>
      </c>
    </row>
    <row r="582" spans="1:22">
      <c r="A582" t="str">
        <f t="shared" si="207"/>
        <v>18/12/2025</v>
      </c>
      <c r="B582" t="str">
        <f t="shared" si="202"/>
        <v>ENTRADA</v>
      </c>
      <c r="C582" t="str">
        <f t="shared" si="203"/>
        <v>NFSE</v>
      </c>
      <c r="D582" t="str">
        <f>"4023"</f>
        <v>4023</v>
      </c>
      <c r="E582" t="str">
        <f t="shared" si="204"/>
        <v>1</v>
      </c>
      <c r="F582" t="str">
        <f t="shared" si="205"/>
        <v>COM</v>
      </c>
      <c r="G582" t="str">
        <f>"AC FARMA - FLEMINFARMA (10160)"</f>
        <v>AC FARMA - FLEMINFARMA (10160)</v>
      </c>
      <c r="H582" t="s">
        <v>177</v>
      </c>
      <c r="I582" t="str">
        <f t="shared" si="206"/>
        <v>17/12/2025</v>
      </c>
      <c r="J582" t="str">
        <f t="shared" si="208"/>
        <v>10/12/2025</v>
      </c>
      <c r="K582">
        <v>46009</v>
      </c>
      <c r="N582">
        <v>303</v>
      </c>
      <c r="O582" t="s">
        <v>30</v>
      </c>
      <c r="Q582">
        <v>184.96</v>
      </c>
      <c r="R582" t="str">
        <f>"AC FARMA -  FLEMINFARMA (10159)"</f>
        <v>AC FARMA -  FLEMINFARMA (10159)</v>
      </c>
      <c r="S582" t="s">
        <v>31</v>
      </c>
      <c r="T582">
        <v>3833</v>
      </c>
      <c r="U582">
        <v>3035</v>
      </c>
      <c r="V582" t="s">
        <v>36</v>
      </c>
    </row>
    <row r="583" spans="1:22">
      <c r="A583" t="str">
        <f t="shared" si="207"/>
        <v>18/12/2025</v>
      </c>
      <c r="B583" t="str">
        <f t="shared" si="202"/>
        <v>ENTRADA</v>
      </c>
      <c r="C583" t="str">
        <f t="shared" si="203"/>
        <v>NFSE</v>
      </c>
      <c r="D583" t="str">
        <f>"4023"</f>
        <v>4023</v>
      </c>
      <c r="E583" t="str">
        <f t="shared" si="204"/>
        <v>1</v>
      </c>
      <c r="F583" t="str">
        <f t="shared" si="205"/>
        <v>COM</v>
      </c>
      <c r="G583" t="str">
        <f>"AC FARMA - FLEMINFARMA (10160)"</f>
        <v>AC FARMA - FLEMINFARMA (10160)</v>
      </c>
      <c r="H583" t="s">
        <v>177</v>
      </c>
      <c r="I583" t="str">
        <f t="shared" si="206"/>
        <v>17/12/2025</v>
      </c>
      <c r="J583" t="str">
        <f t="shared" si="208"/>
        <v>10/12/2025</v>
      </c>
      <c r="K583">
        <v>46009</v>
      </c>
      <c r="N583">
        <v>303</v>
      </c>
      <c r="O583" t="s">
        <v>30</v>
      </c>
      <c r="Q583">
        <v>4.04</v>
      </c>
      <c r="R583" t="str">
        <f>"AC FARMA - FLEMINFARMA (10160)"</f>
        <v>AC FARMA - FLEMINFARMA (10160)</v>
      </c>
      <c r="S583" t="s">
        <v>31</v>
      </c>
      <c r="T583">
        <v>3833</v>
      </c>
      <c r="U583">
        <v>3035</v>
      </c>
      <c r="V583" t="s">
        <v>36</v>
      </c>
    </row>
    <row r="584" spans="1:22">
      <c r="A584" t="str">
        <f t="shared" si="207"/>
        <v>18/12/2025</v>
      </c>
      <c r="B584" t="str">
        <f t="shared" si="202"/>
        <v>ENTRADA</v>
      </c>
      <c r="C584" t="str">
        <f t="shared" si="203"/>
        <v>NFSE</v>
      </c>
      <c r="D584" t="str">
        <f>"4024"</f>
        <v>4024</v>
      </c>
      <c r="E584" t="str">
        <f t="shared" si="204"/>
        <v>1</v>
      </c>
      <c r="F584" t="str">
        <f t="shared" si="205"/>
        <v>COM</v>
      </c>
      <c r="G584" t="str">
        <f>"AC FARMA - FLEMINFARMA 5 (10183)"</f>
        <v>AC FARMA - FLEMINFARMA 5 (10183)</v>
      </c>
      <c r="H584" t="str">
        <f>"Serv.Prest. 01/12/2025 a 07/12/2025 - RPS: 1786 - NFSe: 4024"</f>
        <v>Serv.Prest. 01/12/2025 a 07/12/2025 - RPS: 1786 - NFSe: 4024</v>
      </c>
      <c r="I584" t="str">
        <f t="shared" si="206"/>
        <v>17/12/2025</v>
      </c>
      <c r="J584" t="str">
        <f t="shared" si="208"/>
        <v>10/12/2025</v>
      </c>
      <c r="K584" t="str">
        <f>("18/12/2025")</f>
        <v>18/12/2025</v>
      </c>
      <c r="L584">
        <v>139.05000000000001</v>
      </c>
      <c r="M584">
        <v>139.05000000000001</v>
      </c>
      <c r="N584">
        <v>303</v>
      </c>
      <c r="O584" t="str">
        <f>"RECEITAS COM ENTREGAS"</f>
        <v>RECEITAS COM ENTREGAS</v>
      </c>
      <c r="P584">
        <v>139.05000000000001</v>
      </c>
      <c r="S584" t="str">
        <f>"RECEITAS COM ENTREGAS (303)"</f>
        <v>RECEITAS COM ENTREGAS (303)</v>
      </c>
      <c r="T584">
        <v>3834</v>
      </c>
      <c r="U584">
        <v>3036</v>
      </c>
      <c r="V584" t="s">
        <v>36</v>
      </c>
    </row>
    <row r="585" spans="1:22">
      <c r="A585" t="str">
        <f t="shared" si="207"/>
        <v>18/12/2025</v>
      </c>
      <c r="B585" t="str">
        <f t="shared" si="202"/>
        <v>ENTRADA</v>
      </c>
      <c r="C585" t="str">
        <f t="shared" si="203"/>
        <v>NFSE</v>
      </c>
      <c r="D585" t="str">
        <f>"4024"</f>
        <v>4024</v>
      </c>
      <c r="E585" t="str">
        <f t="shared" si="204"/>
        <v>1</v>
      </c>
      <c r="F585" t="str">
        <f t="shared" si="205"/>
        <v>COM</v>
      </c>
      <c r="G585" t="str">
        <f>"AC FARMA - FLEMINFARMA 5 (10183)"</f>
        <v>AC FARMA - FLEMINFARMA 5 (10183)</v>
      </c>
      <c r="H585" t="s">
        <v>178</v>
      </c>
      <c r="I585" t="str">
        <f t="shared" si="206"/>
        <v>17/12/2025</v>
      </c>
      <c r="J585" t="str">
        <f t="shared" si="208"/>
        <v>10/12/2025</v>
      </c>
      <c r="K585">
        <v>46009</v>
      </c>
      <c r="N585">
        <v>303</v>
      </c>
      <c r="O585" t="s">
        <v>30</v>
      </c>
      <c r="Q585">
        <v>129.59</v>
      </c>
      <c r="R585" t="str">
        <f>"AC FARMA - FLEMINFARMA 5 (10183)"</f>
        <v>AC FARMA - FLEMINFARMA 5 (10183)</v>
      </c>
      <c r="S585" t="s">
        <v>31</v>
      </c>
      <c r="T585">
        <v>3834</v>
      </c>
      <c r="U585">
        <v>3036</v>
      </c>
      <c r="V585" t="s">
        <v>36</v>
      </c>
    </row>
    <row r="586" spans="1:22">
      <c r="A586" t="str">
        <f t="shared" si="207"/>
        <v>18/12/2025</v>
      </c>
      <c r="B586" t="str">
        <f t="shared" si="202"/>
        <v>ENTRADA</v>
      </c>
      <c r="C586" t="str">
        <f t="shared" si="203"/>
        <v>NFSE</v>
      </c>
      <c r="D586" t="str">
        <f>"4024"</f>
        <v>4024</v>
      </c>
      <c r="E586" t="str">
        <f t="shared" si="204"/>
        <v>1</v>
      </c>
      <c r="F586" t="str">
        <f t="shared" si="205"/>
        <v>COM</v>
      </c>
      <c r="G586" t="str">
        <f>"AC FARMA - FLEMINFARMA 5 (10183)"</f>
        <v>AC FARMA - FLEMINFARMA 5 (10183)</v>
      </c>
      <c r="H586" t="s">
        <v>178</v>
      </c>
      <c r="I586" t="str">
        <f t="shared" si="206"/>
        <v>17/12/2025</v>
      </c>
      <c r="J586" t="str">
        <f t="shared" si="208"/>
        <v>10/12/2025</v>
      </c>
      <c r="K586">
        <v>46009</v>
      </c>
      <c r="N586">
        <v>303</v>
      </c>
      <c r="O586" t="s">
        <v>30</v>
      </c>
      <c r="Q586">
        <v>9.4600000000000009</v>
      </c>
      <c r="R586" t="str">
        <f>"AC FARMA - FLEMINFARMA 6 (10184)"</f>
        <v>AC FARMA - FLEMINFARMA 6 (10184)</v>
      </c>
      <c r="S586" t="s">
        <v>31</v>
      </c>
      <c r="T586">
        <v>3834</v>
      </c>
      <c r="U586">
        <v>3036</v>
      </c>
      <c r="V586" t="s">
        <v>36</v>
      </c>
    </row>
    <row r="587" spans="1:22">
      <c r="A587" t="str">
        <f t="shared" si="207"/>
        <v>18/12/2025</v>
      </c>
      <c r="B587" t="str">
        <f t="shared" si="202"/>
        <v>ENTRADA</v>
      </c>
      <c r="C587" t="str">
        <f t="shared" si="203"/>
        <v>NFSE</v>
      </c>
      <c r="D587" t="str">
        <f>"4025"</f>
        <v>4025</v>
      </c>
      <c r="E587" t="str">
        <f t="shared" si="204"/>
        <v>1</v>
      </c>
      <c r="F587" t="str">
        <f t="shared" si="205"/>
        <v>COM</v>
      </c>
      <c r="G587" t="str">
        <f>"FARMACIA ECONOMIZE (10103)"</f>
        <v>FARMACIA ECONOMIZE (10103)</v>
      </c>
      <c r="H587" t="str">
        <f>"Serv.Prest. 08/12/2025 a 14/12/2025 - RPS: 1787 - NFSe: 4025"</f>
        <v>Serv.Prest. 08/12/2025 a 14/12/2025 - RPS: 1787 - NFSe: 4025</v>
      </c>
      <c r="I587" t="str">
        <f t="shared" si="206"/>
        <v>17/12/2025</v>
      </c>
      <c r="J587" t="str">
        <f t="shared" ref="J587:J618" si="209">("15/12/2025")</f>
        <v>15/12/2025</v>
      </c>
      <c r="K587" t="str">
        <f>("18/12/2025")</f>
        <v>18/12/2025</v>
      </c>
      <c r="L587">
        <v>21.84</v>
      </c>
      <c r="M587">
        <v>21.84</v>
      </c>
      <c r="N587">
        <v>303</v>
      </c>
      <c r="O587" t="str">
        <f>"RECEITAS COM ENTREGAS"</f>
        <v>RECEITAS COM ENTREGAS</v>
      </c>
      <c r="P587">
        <v>21.84</v>
      </c>
      <c r="S587" t="str">
        <f>"RECEITAS COM ENTREGAS (303)"</f>
        <v>RECEITAS COM ENTREGAS (303)</v>
      </c>
      <c r="T587">
        <v>3835</v>
      </c>
      <c r="U587">
        <v>3040</v>
      </c>
      <c r="V587" t="s">
        <v>36</v>
      </c>
    </row>
    <row r="588" spans="1:22">
      <c r="A588" t="str">
        <f t="shared" si="207"/>
        <v>18/12/2025</v>
      </c>
      <c r="B588" t="str">
        <f t="shared" si="202"/>
        <v>ENTRADA</v>
      </c>
      <c r="C588" t="str">
        <f t="shared" si="203"/>
        <v>NFSE</v>
      </c>
      <c r="D588" t="str">
        <f>"4025"</f>
        <v>4025</v>
      </c>
      <c r="E588" t="str">
        <f t="shared" si="204"/>
        <v>1</v>
      </c>
      <c r="F588" t="str">
        <f t="shared" si="205"/>
        <v>COM</v>
      </c>
      <c r="G588" t="str">
        <f>"FARMACIA ECONOMIZE (10103)"</f>
        <v>FARMACIA ECONOMIZE (10103)</v>
      </c>
      <c r="H588" t="s">
        <v>179</v>
      </c>
      <c r="I588" t="str">
        <f t="shared" si="206"/>
        <v>17/12/2025</v>
      </c>
      <c r="J588" t="str">
        <f t="shared" si="209"/>
        <v>15/12/2025</v>
      </c>
      <c r="K588">
        <v>46009</v>
      </c>
      <c r="N588">
        <v>303</v>
      </c>
      <c r="O588" t="s">
        <v>30</v>
      </c>
      <c r="Q588">
        <v>21.84</v>
      </c>
      <c r="R588" t="str">
        <f>"FARMACIA ECONOMIZE (10103)"</f>
        <v>FARMACIA ECONOMIZE (10103)</v>
      </c>
      <c r="S588" t="s">
        <v>31</v>
      </c>
      <c r="T588">
        <v>3835</v>
      </c>
      <c r="U588">
        <v>3040</v>
      </c>
      <c r="V588" t="s">
        <v>36</v>
      </c>
    </row>
    <row r="589" spans="1:22">
      <c r="A589" t="str">
        <f t="shared" si="207"/>
        <v>18/12/2025</v>
      </c>
      <c r="B589" t="str">
        <f t="shared" si="202"/>
        <v>ENTRADA</v>
      </c>
      <c r="C589" t="str">
        <f t="shared" si="203"/>
        <v>NFSE</v>
      </c>
      <c r="D589" t="str">
        <f>"4026"</f>
        <v>4026</v>
      </c>
      <c r="E589" t="str">
        <f t="shared" si="204"/>
        <v>1</v>
      </c>
      <c r="F589" t="str">
        <f t="shared" si="205"/>
        <v>COM</v>
      </c>
      <c r="G589" t="str">
        <f>"PENSE FARMA 31 (10205)"</f>
        <v>PENSE FARMA 31 (10205)</v>
      </c>
      <c r="H589" t="str">
        <f>"Serv.Prest. 08/12/2025 a 14/12/2025 - RPS: 1788 - NFSe: 4026"</f>
        <v>Serv.Prest. 08/12/2025 a 14/12/2025 - RPS: 1788 - NFSe: 4026</v>
      </c>
      <c r="I589" t="str">
        <f t="shared" si="206"/>
        <v>17/12/2025</v>
      </c>
      <c r="J589" t="str">
        <f t="shared" si="209"/>
        <v>15/12/2025</v>
      </c>
      <c r="K589" t="str">
        <f>("18/12/2025")</f>
        <v>18/12/2025</v>
      </c>
      <c r="L589">
        <v>540.16999999999996</v>
      </c>
      <c r="M589">
        <v>540.16999999999996</v>
      </c>
      <c r="N589">
        <v>303</v>
      </c>
      <c r="O589" t="str">
        <f>"RECEITAS COM ENTREGAS"</f>
        <v>RECEITAS COM ENTREGAS</v>
      </c>
      <c r="P589">
        <v>540.16999999999996</v>
      </c>
      <c r="S589" t="str">
        <f>"RECEITAS COM ENTREGAS (303)"</f>
        <v>RECEITAS COM ENTREGAS (303)</v>
      </c>
      <c r="T589">
        <v>3836</v>
      </c>
      <c r="U589">
        <v>3041</v>
      </c>
      <c r="V589" t="s">
        <v>36</v>
      </c>
    </row>
    <row r="590" spans="1:22">
      <c r="A590" t="str">
        <f t="shared" si="207"/>
        <v>18/12/2025</v>
      </c>
      <c r="B590" t="str">
        <f t="shared" si="202"/>
        <v>ENTRADA</v>
      </c>
      <c r="C590" t="str">
        <f t="shared" si="203"/>
        <v>NFSE</v>
      </c>
      <c r="D590" t="str">
        <f>"4026"</f>
        <v>4026</v>
      </c>
      <c r="E590" t="str">
        <f t="shared" si="204"/>
        <v>1</v>
      </c>
      <c r="F590" t="str">
        <f t="shared" si="205"/>
        <v>COM</v>
      </c>
      <c r="G590" t="str">
        <f>"PENSE FARMA 31 (10205)"</f>
        <v>PENSE FARMA 31 (10205)</v>
      </c>
      <c r="H590" t="s">
        <v>180</v>
      </c>
      <c r="I590" t="str">
        <f t="shared" si="206"/>
        <v>17/12/2025</v>
      </c>
      <c r="J590" t="str">
        <f t="shared" si="209"/>
        <v>15/12/2025</v>
      </c>
      <c r="K590">
        <v>46009</v>
      </c>
      <c r="N590">
        <v>303</v>
      </c>
      <c r="O590" t="s">
        <v>30</v>
      </c>
      <c r="Q590">
        <v>134.94</v>
      </c>
      <c r="R590" t="str">
        <f>"PENSE FARMA 31 (10205)"</f>
        <v>PENSE FARMA 31 (10205)</v>
      </c>
      <c r="S590" t="s">
        <v>31</v>
      </c>
      <c r="T590">
        <v>3836</v>
      </c>
      <c r="U590">
        <v>3041</v>
      </c>
      <c r="V590" t="s">
        <v>36</v>
      </c>
    </row>
    <row r="591" spans="1:22">
      <c r="A591" t="str">
        <f t="shared" si="207"/>
        <v>18/12/2025</v>
      </c>
      <c r="B591" t="str">
        <f t="shared" si="202"/>
        <v>ENTRADA</v>
      </c>
      <c r="C591" t="str">
        <f t="shared" si="203"/>
        <v>NFSE</v>
      </c>
      <c r="D591" t="str">
        <f>"4026"</f>
        <v>4026</v>
      </c>
      <c r="E591" t="str">
        <f t="shared" si="204"/>
        <v>1</v>
      </c>
      <c r="F591" t="str">
        <f t="shared" si="205"/>
        <v>COM</v>
      </c>
      <c r="G591" t="str">
        <f>"PENSE FARMA 31 (10205)"</f>
        <v>PENSE FARMA 31 (10205)</v>
      </c>
      <c r="H591" t="s">
        <v>180</v>
      </c>
      <c r="I591" t="str">
        <f t="shared" si="206"/>
        <v>17/12/2025</v>
      </c>
      <c r="J591" t="str">
        <f t="shared" si="209"/>
        <v>15/12/2025</v>
      </c>
      <c r="K591">
        <v>46009</v>
      </c>
      <c r="N591">
        <v>303</v>
      </c>
      <c r="O591" t="s">
        <v>30</v>
      </c>
      <c r="Q591">
        <v>134.93</v>
      </c>
      <c r="R591" t="str">
        <f>"PENSE FARMA 16 (10221)"</f>
        <v>PENSE FARMA 16 (10221)</v>
      </c>
      <c r="S591" t="s">
        <v>31</v>
      </c>
      <c r="T591">
        <v>3836</v>
      </c>
      <c r="U591">
        <v>3041</v>
      </c>
      <c r="V591" t="s">
        <v>36</v>
      </c>
    </row>
    <row r="592" spans="1:22">
      <c r="A592" t="str">
        <f t="shared" si="207"/>
        <v>18/12/2025</v>
      </c>
      <c r="B592" t="str">
        <f t="shared" si="202"/>
        <v>ENTRADA</v>
      </c>
      <c r="C592" t="str">
        <f t="shared" si="203"/>
        <v>NFSE</v>
      </c>
      <c r="D592" t="str">
        <f>"4026"</f>
        <v>4026</v>
      </c>
      <c r="E592" t="str">
        <f t="shared" si="204"/>
        <v>1</v>
      </c>
      <c r="F592" t="str">
        <f t="shared" si="205"/>
        <v>COM</v>
      </c>
      <c r="G592" t="str">
        <f>"PENSE FARMA 31 (10205)"</f>
        <v>PENSE FARMA 31 (10205)</v>
      </c>
      <c r="H592" t="s">
        <v>180</v>
      </c>
      <c r="I592" t="str">
        <f t="shared" si="206"/>
        <v>17/12/2025</v>
      </c>
      <c r="J592" t="str">
        <f t="shared" si="209"/>
        <v>15/12/2025</v>
      </c>
      <c r="K592">
        <v>46009</v>
      </c>
      <c r="N592">
        <v>303</v>
      </c>
      <c r="O592" t="s">
        <v>30</v>
      </c>
      <c r="Q592">
        <v>134.93</v>
      </c>
      <c r="R592" t="str">
        <f>"PENSE FARMA 17 (10222)"</f>
        <v>PENSE FARMA 17 (10222)</v>
      </c>
      <c r="S592" t="s">
        <v>31</v>
      </c>
      <c r="T592">
        <v>3836</v>
      </c>
      <c r="U592">
        <v>3041</v>
      </c>
      <c r="V592" t="s">
        <v>36</v>
      </c>
    </row>
    <row r="593" spans="1:22">
      <c r="A593" t="str">
        <f t="shared" si="207"/>
        <v>18/12/2025</v>
      </c>
      <c r="B593" t="str">
        <f t="shared" si="202"/>
        <v>ENTRADA</v>
      </c>
      <c r="C593" t="str">
        <f t="shared" si="203"/>
        <v>NFSE</v>
      </c>
      <c r="D593" t="str">
        <f>"4026"</f>
        <v>4026</v>
      </c>
      <c r="E593" t="str">
        <f t="shared" si="204"/>
        <v>1</v>
      </c>
      <c r="F593" t="str">
        <f t="shared" si="205"/>
        <v>COM</v>
      </c>
      <c r="G593" t="str">
        <f>"PENSE FARMA 31 (10205)"</f>
        <v>PENSE FARMA 31 (10205)</v>
      </c>
      <c r="H593" t="s">
        <v>180</v>
      </c>
      <c r="I593" t="str">
        <f t="shared" si="206"/>
        <v>17/12/2025</v>
      </c>
      <c r="J593" t="str">
        <f t="shared" si="209"/>
        <v>15/12/2025</v>
      </c>
      <c r="K593">
        <v>46009</v>
      </c>
      <c r="N593">
        <v>303</v>
      </c>
      <c r="O593" t="s">
        <v>30</v>
      </c>
      <c r="Q593">
        <v>135.37</v>
      </c>
      <c r="R593" t="str">
        <f>"PENSE FARMA 62 (10274)"</f>
        <v>PENSE FARMA 62 (10274)</v>
      </c>
      <c r="S593" t="s">
        <v>31</v>
      </c>
      <c r="T593">
        <v>3836</v>
      </c>
      <c r="U593">
        <v>3041</v>
      </c>
      <c r="V593" t="s">
        <v>36</v>
      </c>
    </row>
    <row r="594" spans="1:22">
      <c r="A594" t="str">
        <f t="shared" si="207"/>
        <v>18/12/2025</v>
      </c>
      <c r="B594" t="str">
        <f t="shared" si="202"/>
        <v>ENTRADA</v>
      </c>
      <c r="C594" t="str">
        <f t="shared" si="203"/>
        <v>NFSE</v>
      </c>
      <c r="D594" t="str">
        <f>"4027"</f>
        <v>4027</v>
      </c>
      <c r="E594" t="str">
        <f t="shared" si="204"/>
        <v>1</v>
      </c>
      <c r="F594" t="str">
        <f t="shared" si="205"/>
        <v>COM</v>
      </c>
      <c r="G594" t="str">
        <f>"PENSE FARMA 44 (10231)"</f>
        <v>PENSE FARMA 44 (10231)</v>
      </c>
      <c r="H594" t="str">
        <f>"Serv.Prest. 08/12/2025 a 14/12/2025 - RPS: 1789 - NFSe: 4027"</f>
        <v>Serv.Prest. 08/12/2025 a 14/12/2025 - RPS: 1789 - NFSe: 4027</v>
      </c>
      <c r="I594" t="str">
        <f t="shared" si="206"/>
        <v>17/12/2025</v>
      </c>
      <c r="J594" t="str">
        <f t="shared" si="209"/>
        <v>15/12/2025</v>
      </c>
      <c r="K594" t="str">
        <f>("18/12/2025")</f>
        <v>18/12/2025</v>
      </c>
      <c r="L594">
        <v>630.80999999999995</v>
      </c>
      <c r="M594">
        <v>630.80999999999995</v>
      </c>
      <c r="N594">
        <v>303</v>
      </c>
      <c r="O594" t="str">
        <f>"RECEITAS COM ENTREGAS"</f>
        <v>RECEITAS COM ENTREGAS</v>
      </c>
      <c r="P594">
        <v>630.80999999999995</v>
      </c>
      <c r="S594" t="str">
        <f>"RECEITAS COM ENTREGAS (303)"</f>
        <v>RECEITAS COM ENTREGAS (303)</v>
      </c>
      <c r="T594">
        <v>3837</v>
      </c>
      <c r="U594">
        <v>3042</v>
      </c>
      <c r="V594" t="s">
        <v>36</v>
      </c>
    </row>
    <row r="595" spans="1:22">
      <c r="A595" t="str">
        <f t="shared" si="207"/>
        <v>18/12/2025</v>
      </c>
      <c r="B595" t="str">
        <f t="shared" si="202"/>
        <v>ENTRADA</v>
      </c>
      <c r="C595" t="str">
        <f t="shared" si="203"/>
        <v>NFSE</v>
      </c>
      <c r="D595" t="str">
        <f>"4027"</f>
        <v>4027</v>
      </c>
      <c r="E595" t="str">
        <f t="shared" si="204"/>
        <v>1</v>
      </c>
      <c r="F595" t="str">
        <f t="shared" si="205"/>
        <v>COM</v>
      </c>
      <c r="G595" t="str">
        <f>"PENSE FARMA 44 (10231)"</f>
        <v>PENSE FARMA 44 (10231)</v>
      </c>
      <c r="H595" t="s">
        <v>181</v>
      </c>
      <c r="I595" t="str">
        <f t="shared" si="206"/>
        <v>17/12/2025</v>
      </c>
      <c r="J595" t="str">
        <f t="shared" si="209"/>
        <v>15/12/2025</v>
      </c>
      <c r="K595">
        <v>46009</v>
      </c>
      <c r="N595">
        <v>303</v>
      </c>
      <c r="O595" t="s">
        <v>30</v>
      </c>
      <c r="Q595">
        <v>314.89999999999998</v>
      </c>
      <c r="R595" t="str">
        <f>"PENSE FARMA 44 (10231)"</f>
        <v>PENSE FARMA 44 (10231)</v>
      </c>
      <c r="S595" t="s">
        <v>31</v>
      </c>
      <c r="T595">
        <v>3837</v>
      </c>
      <c r="U595">
        <v>3042</v>
      </c>
      <c r="V595" t="s">
        <v>36</v>
      </c>
    </row>
    <row r="596" spans="1:22">
      <c r="A596" t="str">
        <f t="shared" si="207"/>
        <v>18/12/2025</v>
      </c>
      <c r="B596" t="str">
        <f t="shared" si="202"/>
        <v>ENTRADA</v>
      </c>
      <c r="C596" t="str">
        <f t="shared" si="203"/>
        <v>NFSE</v>
      </c>
      <c r="D596" t="str">
        <f>"4027"</f>
        <v>4027</v>
      </c>
      <c r="E596" t="str">
        <f t="shared" si="204"/>
        <v>1</v>
      </c>
      <c r="F596" t="str">
        <f t="shared" si="205"/>
        <v>COM</v>
      </c>
      <c r="G596" t="str">
        <f>"PENSE FARMA 44 (10231)"</f>
        <v>PENSE FARMA 44 (10231)</v>
      </c>
      <c r="H596" t="s">
        <v>181</v>
      </c>
      <c r="I596" t="str">
        <f t="shared" si="206"/>
        <v>17/12/2025</v>
      </c>
      <c r="J596" t="str">
        <f t="shared" si="209"/>
        <v>15/12/2025</v>
      </c>
      <c r="K596">
        <v>46009</v>
      </c>
      <c r="N596">
        <v>303</v>
      </c>
      <c r="O596" t="s">
        <v>30</v>
      </c>
      <c r="Q596">
        <v>315.91000000000003</v>
      </c>
      <c r="R596" t="str">
        <f>"PENSE FARMA 48 (10233)"</f>
        <v>PENSE FARMA 48 (10233)</v>
      </c>
      <c r="S596" t="s">
        <v>31</v>
      </c>
      <c r="T596">
        <v>3837</v>
      </c>
      <c r="U596">
        <v>3042</v>
      </c>
      <c r="V596" t="s">
        <v>36</v>
      </c>
    </row>
    <row r="597" spans="1:22">
      <c r="A597" t="str">
        <f t="shared" si="207"/>
        <v>18/12/2025</v>
      </c>
      <c r="B597" t="str">
        <f t="shared" si="202"/>
        <v>ENTRADA</v>
      </c>
      <c r="C597" t="str">
        <f t="shared" si="203"/>
        <v>NFSE</v>
      </c>
      <c r="D597" t="str">
        <f>"4028"</f>
        <v>4028</v>
      </c>
      <c r="E597" t="str">
        <f t="shared" si="204"/>
        <v>1</v>
      </c>
      <c r="F597" t="str">
        <f t="shared" si="205"/>
        <v>COM</v>
      </c>
      <c r="G597" t="str">
        <f>"PENSE FARMA 19 (10223)"</f>
        <v>PENSE FARMA 19 (10223)</v>
      </c>
      <c r="H597" t="str">
        <f>"Serv.Prest. 08/12/2025 a 14/12/2025 - RPS: 1790 - NFSe: 4028"</f>
        <v>Serv.Prest. 08/12/2025 a 14/12/2025 - RPS: 1790 - NFSe: 4028</v>
      </c>
      <c r="I597" t="str">
        <f t="shared" si="206"/>
        <v>17/12/2025</v>
      </c>
      <c r="J597" t="str">
        <f t="shared" si="209"/>
        <v>15/12/2025</v>
      </c>
      <c r="K597" t="str">
        <f>("18/12/2025")</f>
        <v>18/12/2025</v>
      </c>
      <c r="L597">
        <v>507.65</v>
      </c>
      <c r="M597">
        <v>507.65</v>
      </c>
      <c r="N597">
        <v>303</v>
      </c>
      <c r="O597" t="str">
        <f>"RECEITAS COM ENTREGAS"</f>
        <v>RECEITAS COM ENTREGAS</v>
      </c>
      <c r="P597">
        <v>507.65</v>
      </c>
      <c r="S597" t="str">
        <f>"RECEITAS COM ENTREGAS (303)"</f>
        <v>RECEITAS COM ENTREGAS (303)</v>
      </c>
      <c r="T597">
        <v>3838</v>
      </c>
      <c r="U597">
        <v>3043</v>
      </c>
      <c r="V597" t="s">
        <v>36</v>
      </c>
    </row>
    <row r="598" spans="1:22">
      <c r="A598" t="str">
        <f t="shared" si="207"/>
        <v>18/12/2025</v>
      </c>
      <c r="B598" t="str">
        <f t="shared" si="202"/>
        <v>ENTRADA</v>
      </c>
      <c r="C598" t="str">
        <f t="shared" si="203"/>
        <v>NFSE</v>
      </c>
      <c r="D598" t="str">
        <f>"4028"</f>
        <v>4028</v>
      </c>
      <c r="E598" t="str">
        <f t="shared" si="204"/>
        <v>1</v>
      </c>
      <c r="F598" t="str">
        <f t="shared" si="205"/>
        <v>COM</v>
      </c>
      <c r="G598" t="str">
        <f>"PENSE FARMA 19 (10223)"</f>
        <v>PENSE FARMA 19 (10223)</v>
      </c>
      <c r="H598" t="s">
        <v>182</v>
      </c>
      <c r="I598" t="str">
        <f t="shared" si="206"/>
        <v>17/12/2025</v>
      </c>
      <c r="J598" t="str">
        <f t="shared" si="209"/>
        <v>15/12/2025</v>
      </c>
      <c r="K598">
        <v>46009</v>
      </c>
      <c r="N598">
        <v>303</v>
      </c>
      <c r="O598" t="s">
        <v>30</v>
      </c>
      <c r="Q598">
        <v>507.65</v>
      </c>
      <c r="R598" t="str">
        <f>"PENSE FARMA 19 (10223)"</f>
        <v>PENSE FARMA 19 (10223)</v>
      </c>
      <c r="S598" t="s">
        <v>31</v>
      </c>
      <c r="T598">
        <v>3838</v>
      </c>
      <c r="U598">
        <v>3043</v>
      </c>
      <c r="V598" t="s">
        <v>36</v>
      </c>
    </row>
    <row r="599" spans="1:22">
      <c r="A599" t="str">
        <f t="shared" si="207"/>
        <v>18/12/2025</v>
      </c>
      <c r="B599" t="str">
        <f t="shared" si="202"/>
        <v>ENTRADA</v>
      </c>
      <c r="C599" t="str">
        <f t="shared" si="203"/>
        <v>NFSE</v>
      </c>
      <c r="D599" t="str">
        <f>"4029"</f>
        <v>4029</v>
      </c>
      <c r="E599" t="str">
        <f t="shared" si="204"/>
        <v>1</v>
      </c>
      <c r="F599" t="str">
        <f t="shared" si="205"/>
        <v>COM</v>
      </c>
      <c r="G599" t="str">
        <f>"PENSE FARMA 49 (10234)"</f>
        <v>PENSE FARMA 49 (10234)</v>
      </c>
      <c r="H599" t="str">
        <f>"Serv.Prest. 08/12/2025 a 14/12/2025 - RPS: 1791 - NFSe: 4029"</f>
        <v>Serv.Prest. 08/12/2025 a 14/12/2025 - RPS: 1791 - NFSe: 4029</v>
      </c>
      <c r="I599" t="str">
        <f t="shared" si="206"/>
        <v>17/12/2025</v>
      </c>
      <c r="J599" t="str">
        <f t="shared" si="209"/>
        <v>15/12/2025</v>
      </c>
      <c r="K599" t="str">
        <f>("18/12/2025")</f>
        <v>18/12/2025</v>
      </c>
      <c r="L599">
        <v>213.43</v>
      </c>
      <c r="M599">
        <v>213.43</v>
      </c>
      <c r="N599">
        <v>303</v>
      </c>
      <c r="O599" t="str">
        <f>"RECEITAS COM ENTREGAS"</f>
        <v>RECEITAS COM ENTREGAS</v>
      </c>
      <c r="P599">
        <v>213.43</v>
      </c>
      <c r="S599" t="str">
        <f>"RECEITAS COM ENTREGAS (303)"</f>
        <v>RECEITAS COM ENTREGAS (303)</v>
      </c>
      <c r="T599">
        <v>3839</v>
      </c>
      <c r="U599">
        <v>3044</v>
      </c>
      <c r="V599" t="s">
        <v>36</v>
      </c>
    </row>
    <row r="600" spans="1:22">
      <c r="A600" t="str">
        <f t="shared" si="207"/>
        <v>18/12/2025</v>
      </c>
      <c r="B600" t="str">
        <f t="shared" si="202"/>
        <v>ENTRADA</v>
      </c>
      <c r="C600" t="str">
        <f t="shared" si="203"/>
        <v>NFSE</v>
      </c>
      <c r="D600" t="str">
        <f>"4029"</f>
        <v>4029</v>
      </c>
      <c r="E600" t="str">
        <f t="shared" si="204"/>
        <v>1</v>
      </c>
      <c r="F600" t="str">
        <f t="shared" si="205"/>
        <v>COM</v>
      </c>
      <c r="G600" t="str">
        <f>"PENSE FARMA 49 (10234)"</f>
        <v>PENSE FARMA 49 (10234)</v>
      </c>
      <c r="H600" t="s">
        <v>183</v>
      </c>
      <c r="I600" t="str">
        <f t="shared" si="206"/>
        <v>17/12/2025</v>
      </c>
      <c r="J600" t="str">
        <f t="shared" si="209"/>
        <v>15/12/2025</v>
      </c>
      <c r="K600">
        <v>46009</v>
      </c>
      <c r="N600">
        <v>303</v>
      </c>
      <c r="O600" t="s">
        <v>30</v>
      </c>
      <c r="Q600">
        <v>213.43</v>
      </c>
      <c r="R600" t="str">
        <f>"PENSE FARMA 49 (10234)"</f>
        <v>PENSE FARMA 49 (10234)</v>
      </c>
      <c r="S600" t="s">
        <v>31</v>
      </c>
      <c r="T600">
        <v>3839</v>
      </c>
      <c r="U600">
        <v>3044</v>
      </c>
      <c r="V600" t="s">
        <v>36</v>
      </c>
    </row>
    <row r="601" spans="1:22">
      <c r="A601" t="str">
        <f t="shared" si="207"/>
        <v>18/12/2025</v>
      </c>
      <c r="B601" t="str">
        <f t="shared" si="202"/>
        <v>ENTRADA</v>
      </c>
      <c r="C601" t="str">
        <f t="shared" si="203"/>
        <v>NFSE</v>
      </c>
      <c r="D601" t="str">
        <f>"4030"</f>
        <v>4030</v>
      </c>
      <c r="E601" t="str">
        <f t="shared" si="204"/>
        <v>1</v>
      </c>
      <c r="F601" t="str">
        <f t="shared" si="205"/>
        <v>COM</v>
      </c>
      <c r="G601" t="str">
        <f>"PENSE FARMA 39 (10228)"</f>
        <v>PENSE FARMA 39 (10228)</v>
      </c>
      <c r="H601" t="str">
        <f>"Serv.Prest. 08/12/2025 a 14/12/2025 - RPS: 1792 - NFSe: 4030"</f>
        <v>Serv.Prest. 08/12/2025 a 14/12/2025 - RPS: 1792 - NFSe: 4030</v>
      </c>
      <c r="I601" t="str">
        <f t="shared" si="206"/>
        <v>17/12/2025</v>
      </c>
      <c r="J601" t="str">
        <f t="shared" si="209"/>
        <v>15/12/2025</v>
      </c>
      <c r="K601" t="str">
        <f>("18/12/2025")</f>
        <v>18/12/2025</v>
      </c>
      <c r="L601">
        <v>599.98</v>
      </c>
      <c r="M601">
        <v>599.98</v>
      </c>
      <c r="N601">
        <v>303</v>
      </c>
      <c r="O601" t="str">
        <f>"RECEITAS COM ENTREGAS"</f>
        <v>RECEITAS COM ENTREGAS</v>
      </c>
      <c r="P601">
        <v>599.98</v>
      </c>
      <c r="S601" t="str">
        <f>"RECEITAS COM ENTREGAS (303)"</f>
        <v>RECEITAS COM ENTREGAS (303)</v>
      </c>
      <c r="T601">
        <v>3840</v>
      </c>
      <c r="U601">
        <v>3045</v>
      </c>
      <c r="V601" t="s">
        <v>36</v>
      </c>
    </row>
    <row r="602" spans="1:22">
      <c r="A602" t="str">
        <f t="shared" si="207"/>
        <v>18/12/2025</v>
      </c>
      <c r="B602" t="str">
        <f t="shared" si="202"/>
        <v>ENTRADA</v>
      </c>
      <c r="C602" t="str">
        <f t="shared" si="203"/>
        <v>NFSE</v>
      </c>
      <c r="D602" t="str">
        <f>"4030"</f>
        <v>4030</v>
      </c>
      <c r="E602" t="str">
        <f t="shared" si="204"/>
        <v>1</v>
      </c>
      <c r="F602" t="str">
        <f t="shared" si="205"/>
        <v>COM</v>
      </c>
      <c r="G602" t="str">
        <f>"PENSE FARMA 39 (10228)"</f>
        <v>PENSE FARMA 39 (10228)</v>
      </c>
      <c r="H602" t="s">
        <v>184</v>
      </c>
      <c r="I602" t="str">
        <f t="shared" si="206"/>
        <v>17/12/2025</v>
      </c>
      <c r="J602" t="str">
        <f t="shared" si="209"/>
        <v>15/12/2025</v>
      </c>
      <c r="K602">
        <v>46009</v>
      </c>
      <c r="N602">
        <v>303</v>
      </c>
      <c r="O602" t="s">
        <v>30</v>
      </c>
      <c r="Q602">
        <v>148.85</v>
      </c>
      <c r="R602" t="str">
        <f>"PENSE FARMA 02 (10199)"</f>
        <v>PENSE FARMA 02 (10199)</v>
      </c>
      <c r="S602" t="s">
        <v>31</v>
      </c>
      <c r="T602">
        <v>3840</v>
      </c>
      <c r="U602">
        <v>3045</v>
      </c>
      <c r="V602" t="s">
        <v>36</v>
      </c>
    </row>
    <row r="603" spans="1:22">
      <c r="A603" t="str">
        <f t="shared" si="207"/>
        <v>18/12/2025</v>
      </c>
      <c r="B603" t="str">
        <f t="shared" si="202"/>
        <v>ENTRADA</v>
      </c>
      <c r="C603" t="str">
        <f t="shared" si="203"/>
        <v>NFSE</v>
      </c>
      <c r="D603" t="str">
        <f>"4030"</f>
        <v>4030</v>
      </c>
      <c r="E603" t="str">
        <f t="shared" si="204"/>
        <v>1</v>
      </c>
      <c r="F603" t="str">
        <f t="shared" si="205"/>
        <v>COM</v>
      </c>
      <c r="G603" t="str">
        <f>"PENSE FARMA 39 (10228)"</f>
        <v>PENSE FARMA 39 (10228)</v>
      </c>
      <c r="H603" t="s">
        <v>184</v>
      </c>
      <c r="I603" t="str">
        <f t="shared" si="206"/>
        <v>17/12/2025</v>
      </c>
      <c r="J603" t="str">
        <f t="shared" si="209"/>
        <v>15/12/2025</v>
      </c>
      <c r="K603">
        <v>46009</v>
      </c>
      <c r="N603">
        <v>303</v>
      </c>
      <c r="O603" t="s">
        <v>30</v>
      </c>
      <c r="Q603">
        <v>148.86000000000001</v>
      </c>
      <c r="R603" t="str">
        <f>"PENSE FARMA 01 (10215)"</f>
        <v>PENSE FARMA 01 (10215)</v>
      </c>
      <c r="S603" t="s">
        <v>31</v>
      </c>
      <c r="T603">
        <v>3840</v>
      </c>
      <c r="U603">
        <v>3045</v>
      </c>
      <c r="V603" t="s">
        <v>36</v>
      </c>
    </row>
    <row r="604" spans="1:22">
      <c r="A604" t="str">
        <f t="shared" si="207"/>
        <v>18/12/2025</v>
      </c>
      <c r="B604" t="str">
        <f t="shared" si="202"/>
        <v>ENTRADA</v>
      </c>
      <c r="C604" t="str">
        <f t="shared" si="203"/>
        <v>NFSE</v>
      </c>
      <c r="D604" t="str">
        <f>"4030"</f>
        <v>4030</v>
      </c>
      <c r="E604" t="str">
        <f t="shared" si="204"/>
        <v>1</v>
      </c>
      <c r="F604" t="str">
        <f t="shared" si="205"/>
        <v>COM</v>
      </c>
      <c r="G604" t="str">
        <f>"PENSE FARMA 39 (10228)"</f>
        <v>PENSE FARMA 39 (10228)</v>
      </c>
      <c r="H604" t="s">
        <v>184</v>
      </c>
      <c r="I604" t="str">
        <f t="shared" si="206"/>
        <v>17/12/2025</v>
      </c>
      <c r="J604" t="str">
        <f t="shared" si="209"/>
        <v>15/12/2025</v>
      </c>
      <c r="K604">
        <v>46009</v>
      </c>
      <c r="N604">
        <v>303</v>
      </c>
      <c r="O604" t="s">
        <v>30</v>
      </c>
      <c r="Q604">
        <v>148.86000000000001</v>
      </c>
      <c r="R604" t="str">
        <f>"PENSE FARMA 03 (10216)"</f>
        <v>PENSE FARMA 03 (10216)</v>
      </c>
      <c r="S604" t="s">
        <v>31</v>
      </c>
      <c r="T604">
        <v>3840</v>
      </c>
      <c r="U604">
        <v>3045</v>
      </c>
      <c r="V604" t="s">
        <v>36</v>
      </c>
    </row>
    <row r="605" spans="1:22">
      <c r="A605" t="str">
        <f t="shared" si="207"/>
        <v>18/12/2025</v>
      </c>
      <c r="B605" t="str">
        <f t="shared" si="202"/>
        <v>ENTRADA</v>
      </c>
      <c r="C605" t="str">
        <f t="shared" si="203"/>
        <v>NFSE</v>
      </c>
      <c r="D605" t="str">
        <f>"4030"</f>
        <v>4030</v>
      </c>
      <c r="E605" t="str">
        <f t="shared" si="204"/>
        <v>1</v>
      </c>
      <c r="F605" t="str">
        <f t="shared" si="205"/>
        <v>COM</v>
      </c>
      <c r="G605" t="str">
        <f>"PENSE FARMA 39 (10228)"</f>
        <v>PENSE FARMA 39 (10228)</v>
      </c>
      <c r="H605" t="s">
        <v>184</v>
      </c>
      <c r="I605" t="str">
        <f t="shared" si="206"/>
        <v>17/12/2025</v>
      </c>
      <c r="J605" t="str">
        <f t="shared" si="209"/>
        <v>15/12/2025</v>
      </c>
      <c r="K605">
        <v>46009</v>
      </c>
      <c r="N605">
        <v>303</v>
      </c>
      <c r="O605" t="s">
        <v>30</v>
      </c>
      <c r="Q605">
        <v>153.41</v>
      </c>
      <c r="R605" t="str">
        <f>"PENSE FARMA 39 (10228)"</f>
        <v>PENSE FARMA 39 (10228)</v>
      </c>
      <c r="S605" t="s">
        <v>31</v>
      </c>
      <c r="T605">
        <v>3840</v>
      </c>
      <c r="U605">
        <v>3045</v>
      </c>
      <c r="V605" t="s">
        <v>36</v>
      </c>
    </row>
    <row r="606" spans="1:22">
      <c r="A606" t="str">
        <f t="shared" si="207"/>
        <v>18/12/2025</v>
      </c>
      <c r="B606" t="str">
        <f t="shared" si="202"/>
        <v>ENTRADA</v>
      </c>
      <c r="C606" t="str">
        <f t="shared" si="203"/>
        <v>NFSE</v>
      </c>
      <c r="D606" t="str">
        <f>"4031"</f>
        <v>4031</v>
      </c>
      <c r="E606" t="str">
        <f t="shared" si="204"/>
        <v>1</v>
      </c>
      <c r="F606" t="str">
        <f t="shared" si="205"/>
        <v>COM</v>
      </c>
      <c r="G606" t="str">
        <f>"PENSE FARMA 47 (10232)"</f>
        <v>PENSE FARMA 47 (10232)</v>
      </c>
      <c r="H606" t="str">
        <f>"Serv.Prest. 08/12/2025 a 14/12/2025 - RPS: 1793 - NFSe: 4031"</f>
        <v>Serv.Prest. 08/12/2025 a 14/12/2025 - RPS: 1793 - NFSe: 4031</v>
      </c>
      <c r="I606" t="str">
        <f t="shared" si="206"/>
        <v>17/12/2025</v>
      </c>
      <c r="J606" t="str">
        <f t="shared" si="209"/>
        <v>15/12/2025</v>
      </c>
      <c r="K606" t="str">
        <f>("18/12/2025")</f>
        <v>18/12/2025</v>
      </c>
      <c r="L606">
        <v>320.23</v>
      </c>
      <c r="M606">
        <v>320.23</v>
      </c>
      <c r="N606">
        <v>303</v>
      </c>
      <c r="O606" t="str">
        <f>"RECEITAS COM ENTREGAS"</f>
        <v>RECEITAS COM ENTREGAS</v>
      </c>
      <c r="P606">
        <v>320.23</v>
      </c>
      <c r="S606" t="str">
        <f>"RECEITAS COM ENTREGAS (303)"</f>
        <v>RECEITAS COM ENTREGAS (303)</v>
      </c>
      <c r="T606">
        <v>3841</v>
      </c>
      <c r="U606">
        <v>3046</v>
      </c>
      <c r="V606" t="s">
        <v>36</v>
      </c>
    </row>
    <row r="607" spans="1:22">
      <c r="A607" t="str">
        <f t="shared" si="207"/>
        <v>18/12/2025</v>
      </c>
      <c r="B607" t="str">
        <f t="shared" ref="B607:B638" si="210">"ENTRADA"</f>
        <v>ENTRADA</v>
      </c>
      <c r="C607" t="str">
        <f t="shared" ref="C607:C638" si="211">"NFSE"</f>
        <v>NFSE</v>
      </c>
      <c r="D607" t="str">
        <f>"4031"</f>
        <v>4031</v>
      </c>
      <c r="E607" t="str">
        <f t="shared" ref="E607:E638" si="212">"1"</f>
        <v>1</v>
      </c>
      <c r="F607" t="str">
        <f t="shared" ref="F607:F638" si="213">"COM"</f>
        <v>COM</v>
      </c>
      <c r="G607" t="str">
        <f>"PENSE FARMA 47 (10232)"</f>
        <v>PENSE FARMA 47 (10232)</v>
      </c>
      <c r="H607" t="s">
        <v>185</v>
      </c>
      <c r="I607" t="str">
        <f t="shared" ref="I607:I638" si="214">("17/12/2025")</f>
        <v>17/12/2025</v>
      </c>
      <c r="J607" t="str">
        <f t="shared" si="209"/>
        <v>15/12/2025</v>
      </c>
      <c r="K607">
        <v>46009</v>
      </c>
      <c r="N607">
        <v>303</v>
      </c>
      <c r="O607" t="s">
        <v>30</v>
      </c>
      <c r="Q607">
        <v>320.23</v>
      </c>
      <c r="R607" t="str">
        <f>"PENSE FARMA 47 (10232)"</f>
        <v>PENSE FARMA 47 (10232)</v>
      </c>
      <c r="S607" t="s">
        <v>31</v>
      </c>
      <c r="T607">
        <v>3841</v>
      </c>
      <c r="U607">
        <v>3046</v>
      </c>
      <c r="V607" t="s">
        <v>36</v>
      </c>
    </row>
    <row r="608" spans="1:22">
      <c r="A608" t="str">
        <f t="shared" si="207"/>
        <v>18/12/2025</v>
      </c>
      <c r="B608" t="str">
        <f t="shared" si="210"/>
        <v>ENTRADA</v>
      </c>
      <c r="C608" t="str">
        <f t="shared" si="211"/>
        <v>NFSE</v>
      </c>
      <c r="D608" t="str">
        <f>"4032"</f>
        <v>4032</v>
      </c>
      <c r="E608" t="str">
        <f t="shared" si="212"/>
        <v>1</v>
      </c>
      <c r="F608" t="str">
        <f t="shared" si="213"/>
        <v>COM</v>
      </c>
      <c r="G608" t="str">
        <f>"PENSE FARMA 25 (10224)"</f>
        <v>PENSE FARMA 25 (10224)</v>
      </c>
      <c r="H608" t="str">
        <f>"Serv.Prest. 08/12/2025 a 14/12/2025 - RPS: 1794 - NFSe: 4032"</f>
        <v>Serv.Prest. 08/12/2025 a 14/12/2025 - RPS: 1794 - NFSe: 4032</v>
      </c>
      <c r="I608" t="str">
        <f t="shared" si="214"/>
        <v>17/12/2025</v>
      </c>
      <c r="J608" t="str">
        <f t="shared" si="209"/>
        <v>15/12/2025</v>
      </c>
      <c r="K608" t="str">
        <f>("18/12/2025")</f>
        <v>18/12/2025</v>
      </c>
      <c r="L608">
        <v>320.5</v>
      </c>
      <c r="M608">
        <v>320.5</v>
      </c>
      <c r="N608">
        <v>303</v>
      </c>
      <c r="O608" t="str">
        <f>"RECEITAS COM ENTREGAS"</f>
        <v>RECEITAS COM ENTREGAS</v>
      </c>
      <c r="P608">
        <v>320.5</v>
      </c>
      <c r="S608" t="str">
        <f>"RECEITAS COM ENTREGAS (303)"</f>
        <v>RECEITAS COM ENTREGAS (303)</v>
      </c>
      <c r="T608">
        <v>3842</v>
      </c>
      <c r="U608">
        <v>3047</v>
      </c>
      <c r="V608" t="s">
        <v>36</v>
      </c>
    </row>
    <row r="609" spans="1:22">
      <c r="A609" t="str">
        <f t="shared" si="207"/>
        <v>18/12/2025</v>
      </c>
      <c r="B609" t="str">
        <f t="shared" si="210"/>
        <v>ENTRADA</v>
      </c>
      <c r="C609" t="str">
        <f t="shared" si="211"/>
        <v>NFSE</v>
      </c>
      <c r="D609" t="str">
        <f>"4032"</f>
        <v>4032</v>
      </c>
      <c r="E609" t="str">
        <f t="shared" si="212"/>
        <v>1</v>
      </c>
      <c r="F609" t="str">
        <f t="shared" si="213"/>
        <v>COM</v>
      </c>
      <c r="G609" t="str">
        <f>"PENSE FARMA 25 (10224)"</f>
        <v>PENSE FARMA 25 (10224)</v>
      </c>
      <c r="H609" t="s">
        <v>186</v>
      </c>
      <c r="I609" t="str">
        <f t="shared" si="214"/>
        <v>17/12/2025</v>
      </c>
      <c r="J609" t="str">
        <f t="shared" si="209"/>
        <v>15/12/2025</v>
      </c>
      <c r="K609">
        <v>46009</v>
      </c>
      <c r="N609">
        <v>303</v>
      </c>
      <c r="O609" t="s">
        <v>30</v>
      </c>
      <c r="Q609">
        <v>320.5</v>
      </c>
      <c r="R609" t="str">
        <f>"PENSE FARMA 25 (10224)"</f>
        <v>PENSE FARMA 25 (10224)</v>
      </c>
      <c r="S609" t="s">
        <v>31</v>
      </c>
      <c r="T609">
        <v>3842</v>
      </c>
      <c r="U609">
        <v>3047</v>
      </c>
      <c r="V609" t="s">
        <v>36</v>
      </c>
    </row>
    <row r="610" spans="1:22">
      <c r="A610" t="str">
        <f t="shared" si="207"/>
        <v>18/12/2025</v>
      </c>
      <c r="B610" t="str">
        <f t="shared" si="210"/>
        <v>ENTRADA</v>
      </c>
      <c r="C610" t="str">
        <f t="shared" si="211"/>
        <v>NFSE</v>
      </c>
      <c r="D610" t="str">
        <f>"4033"</f>
        <v>4033</v>
      </c>
      <c r="E610" t="str">
        <f t="shared" si="212"/>
        <v>1</v>
      </c>
      <c r="F610" t="str">
        <f t="shared" si="213"/>
        <v>COM</v>
      </c>
      <c r="G610" t="str">
        <f>"PENSE FARMA 35 (10227)"</f>
        <v>PENSE FARMA 35 (10227)</v>
      </c>
      <c r="H610" t="str">
        <f>"Serv.Prest. 08/12/2025 a 14/12/2025 - RPS: 1795 - NFSe: 4033"</f>
        <v>Serv.Prest. 08/12/2025 a 14/12/2025 - RPS: 1795 - NFSe: 4033</v>
      </c>
      <c r="I610" t="str">
        <f t="shared" si="214"/>
        <v>17/12/2025</v>
      </c>
      <c r="J610" t="str">
        <f t="shared" si="209"/>
        <v>15/12/2025</v>
      </c>
      <c r="K610" t="str">
        <f>("18/12/2025")</f>
        <v>18/12/2025</v>
      </c>
      <c r="L610">
        <v>171.45</v>
      </c>
      <c r="M610">
        <v>171.45</v>
      </c>
      <c r="N610">
        <v>303</v>
      </c>
      <c r="O610" t="str">
        <f>"RECEITAS COM ENTREGAS"</f>
        <v>RECEITAS COM ENTREGAS</v>
      </c>
      <c r="P610">
        <v>171.45</v>
      </c>
      <c r="S610" t="str">
        <f>"RECEITAS COM ENTREGAS (303)"</f>
        <v>RECEITAS COM ENTREGAS (303)</v>
      </c>
      <c r="T610">
        <v>3843</v>
      </c>
      <c r="U610">
        <v>3048</v>
      </c>
      <c r="V610" t="s">
        <v>36</v>
      </c>
    </row>
    <row r="611" spans="1:22">
      <c r="A611" t="str">
        <f t="shared" ref="A611:A642" si="215">("18/12/2025")</f>
        <v>18/12/2025</v>
      </c>
      <c r="B611" t="str">
        <f t="shared" si="210"/>
        <v>ENTRADA</v>
      </c>
      <c r="C611" t="str">
        <f t="shared" si="211"/>
        <v>NFSE</v>
      </c>
      <c r="D611" t="str">
        <f>"4033"</f>
        <v>4033</v>
      </c>
      <c r="E611" t="str">
        <f t="shared" si="212"/>
        <v>1</v>
      </c>
      <c r="F611" t="str">
        <f t="shared" si="213"/>
        <v>COM</v>
      </c>
      <c r="G611" t="str">
        <f>"PENSE FARMA 35 (10227)"</f>
        <v>PENSE FARMA 35 (10227)</v>
      </c>
      <c r="H611" t="s">
        <v>187</v>
      </c>
      <c r="I611" t="str">
        <f t="shared" si="214"/>
        <v>17/12/2025</v>
      </c>
      <c r="J611" t="str">
        <f t="shared" si="209"/>
        <v>15/12/2025</v>
      </c>
      <c r="K611">
        <v>46009</v>
      </c>
      <c r="N611">
        <v>303</v>
      </c>
      <c r="O611" t="s">
        <v>30</v>
      </c>
      <c r="Q611">
        <v>171.45</v>
      </c>
      <c r="R611" t="str">
        <f>"PENSE FARMA 35 (10227)"</f>
        <v>PENSE FARMA 35 (10227)</v>
      </c>
      <c r="S611" t="s">
        <v>31</v>
      </c>
      <c r="T611">
        <v>3843</v>
      </c>
      <c r="U611">
        <v>3048</v>
      </c>
      <c r="V611" t="s">
        <v>36</v>
      </c>
    </row>
    <row r="612" spans="1:22">
      <c r="A612" t="str">
        <f t="shared" si="215"/>
        <v>18/12/2025</v>
      </c>
      <c r="B612" t="str">
        <f t="shared" si="210"/>
        <v>ENTRADA</v>
      </c>
      <c r="C612" t="str">
        <f t="shared" si="211"/>
        <v>NFSE</v>
      </c>
      <c r="D612" t="str">
        <f>"4034"</f>
        <v>4034</v>
      </c>
      <c r="E612" t="str">
        <f t="shared" si="212"/>
        <v>1</v>
      </c>
      <c r="F612" t="str">
        <f t="shared" si="213"/>
        <v>COM</v>
      </c>
      <c r="G612" t="str">
        <f>"PENSE FARMA 08 (10217)"</f>
        <v>PENSE FARMA 08 (10217)</v>
      </c>
      <c r="H612" t="str">
        <f>"Serv.Prest. 08/12/2025 a 14/12/2025 - RPS: 1796 - NFSe: 4034"</f>
        <v>Serv.Prest. 08/12/2025 a 14/12/2025 - RPS: 1796 - NFSe: 4034</v>
      </c>
      <c r="I612" t="str">
        <f t="shared" si="214"/>
        <v>17/12/2025</v>
      </c>
      <c r="J612" t="str">
        <f t="shared" si="209"/>
        <v>15/12/2025</v>
      </c>
      <c r="K612" t="str">
        <f>("18/12/2025")</f>
        <v>18/12/2025</v>
      </c>
      <c r="L612">
        <v>589.5</v>
      </c>
      <c r="M612">
        <v>589.5</v>
      </c>
      <c r="N612">
        <v>303</v>
      </c>
      <c r="O612" t="str">
        <f>"RECEITAS COM ENTREGAS"</f>
        <v>RECEITAS COM ENTREGAS</v>
      </c>
      <c r="P612">
        <v>589.5</v>
      </c>
      <c r="S612" t="str">
        <f>"RECEITAS COM ENTREGAS (303)"</f>
        <v>RECEITAS COM ENTREGAS (303)</v>
      </c>
      <c r="T612">
        <v>3844</v>
      </c>
      <c r="U612">
        <v>3049</v>
      </c>
      <c r="V612" t="s">
        <v>36</v>
      </c>
    </row>
    <row r="613" spans="1:22">
      <c r="A613" t="str">
        <f t="shared" si="215"/>
        <v>18/12/2025</v>
      </c>
      <c r="B613" t="str">
        <f t="shared" si="210"/>
        <v>ENTRADA</v>
      </c>
      <c r="C613" t="str">
        <f t="shared" si="211"/>
        <v>NFSE</v>
      </c>
      <c r="D613" t="str">
        <f>"4034"</f>
        <v>4034</v>
      </c>
      <c r="E613" t="str">
        <f t="shared" si="212"/>
        <v>1</v>
      </c>
      <c r="F613" t="str">
        <f t="shared" si="213"/>
        <v>COM</v>
      </c>
      <c r="G613" t="str">
        <f>"PENSE FARMA 08 (10217)"</f>
        <v>PENSE FARMA 08 (10217)</v>
      </c>
      <c r="H613" t="s">
        <v>188</v>
      </c>
      <c r="I613" t="str">
        <f t="shared" si="214"/>
        <v>17/12/2025</v>
      </c>
      <c r="J613" t="str">
        <f t="shared" si="209"/>
        <v>15/12/2025</v>
      </c>
      <c r="K613">
        <v>46009</v>
      </c>
      <c r="N613">
        <v>303</v>
      </c>
      <c r="O613" t="s">
        <v>30</v>
      </c>
      <c r="Q613">
        <v>146.72</v>
      </c>
      <c r="R613" t="str">
        <f>"PENSE FARMA 08 (10217)"</f>
        <v>PENSE FARMA 08 (10217)</v>
      </c>
      <c r="S613" t="s">
        <v>31</v>
      </c>
      <c r="T613">
        <v>3844</v>
      </c>
      <c r="U613">
        <v>3049</v>
      </c>
      <c r="V613" t="s">
        <v>36</v>
      </c>
    </row>
    <row r="614" spans="1:22">
      <c r="A614" t="str">
        <f t="shared" si="215"/>
        <v>18/12/2025</v>
      </c>
      <c r="B614" t="str">
        <f t="shared" si="210"/>
        <v>ENTRADA</v>
      </c>
      <c r="C614" t="str">
        <f t="shared" si="211"/>
        <v>NFSE</v>
      </c>
      <c r="D614" t="str">
        <f>"4034"</f>
        <v>4034</v>
      </c>
      <c r="E614" t="str">
        <f t="shared" si="212"/>
        <v>1</v>
      </c>
      <c r="F614" t="str">
        <f t="shared" si="213"/>
        <v>COM</v>
      </c>
      <c r="G614" t="str">
        <f>"PENSE FARMA 08 (10217)"</f>
        <v>PENSE FARMA 08 (10217)</v>
      </c>
      <c r="H614" t="s">
        <v>188</v>
      </c>
      <c r="I614" t="str">
        <f t="shared" si="214"/>
        <v>17/12/2025</v>
      </c>
      <c r="J614" t="str">
        <f t="shared" si="209"/>
        <v>15/12/2025</v>
      </c>
      <c r="K614">
        <v>46009</v>
      </c>
      <c r="N614">
        <v>303</v>
      </c>
      <c r="O614" t="s">
        <v>30</v>
      </c>
      <c r="Q614">
        <v>146.72999999999999</v>
      </c>
      <c r="R614" t="str">
        <f>"PENSE FARMA 41 (10229)"</f>
        <v>PENSE FARMA 41 (10229)</v>
      </c>
      <c r="S614" t="s">
        <v>31</v>
      </c>
      <c r="T614">
        <v>3844</v>
      </c>
      <c r="U614">
        <v>3049</v>
      </c>
      <c r="V614" t="s">
        <v>36</v>
      </c>
    </row>
    <row r="615" spans="1:22">
      <c r="A615" t="str">
        <f t="shared" si="215"/>
        <v>18/12/2025</v>
      </c>
      <c r="B615" t="str">
        <f t="shared" si="210"/>
        <v>ENTRADA</v>
      </c>
      <c r="C615" t="str">
        <f t="shared" si="211"/>
        <v>NFSE</v>
      </c>
      <c r="D615" t="str">
        <f>"4034"</f>
        <v>4034</v>
      </c>
      <c r="E615" t="str">
        <f t="shared" si="212"/>
        <v>1</v>
      </c>
      <c r="F615" t="str">
        <f t="shared" si="213"/>
        <v>COM</v>
      </c>
      <c r="G615" t="str">
        <f>"PENSE FARMA 08 (10217)"</f>
        <v>PENSE FARMA 08 (10217)</v>
      </c>
      <c r="H615" t="s">
        <v>188</v>
      </c>
      <c r="I615" t="str">
        <f t="shared" si="214"/>
        <v>17/12/2025</v>
      </c>
      <c r="J615" t="str">
        <f t="shared" si="209"/>
        <v>15/12/2025</v>
      </c>
      <c r="K615">
        <v>46009</v>
      </c>
      <c r="N615">
        <v>303</v>
      </c>
      <c r="O615" t="s">
        <v>30</v>
      </c>
      <c r="Q615">
        <v>146.72999999999999</v>
      </c>
      <c r="R615" t="str">
        <f>"PENSE FARMA 42 (10230)"</f>
        <v>PENSE FARMA 42 (10230)</v>
      </c>
      <c r="S615" t="s">
        <v>31</v>
      </c>
      <c r="T615">
        <v>3844</v>
      </c>
      <c r="U615">
        <v>3049</v>
      </c>
      <c r="V615" t="s">
        <v>36</v>
      </c>
    </row>
    <row r="616" spans="1:22">
      <c r="A616" t="str">
        <f t="shared" si="215"/>
        <v>18/12/2025</v>
      </c>
      <c r="B616" t="str">
        <f t="shared" si="210"/>
        <v>ENTRADA</v>
      </c>
      <c r="C616" t="str">
        <f t="shared" si="211"/>
        <v>NFSE</v>
      </c>
      <c r="D616" t="str">
        <f>"4034"</f>
        <v>4034</v>
      </c>
      <c r="E616" t="str">
        <f t="shared" si="212"/>
        <v>1</v>
      </c>
      <c r="F616" t="str">
        <f t="shared" si="213"/>
        <v>COM</v>
      </c>
      <c r="G616" t="str">
        <f>"PENSE FARMA 08 (10217)"</f>
        <v>PENSE FARMA 08 (10217)</v>
      </c>
      <c r="H616" t="s">
        <v>188</v>
      </c>
      <c r="I616" t="str">
        <f t="shared" si="214"/>
        <v>17/12/2025</v>
      </c>
      <c r="J616" t="str">
        <f t="shared" si="209"/>
        <v>15/12/2025</v>
      </c>
      <c r="K616">
        <v>46009</v>
      </c>
      <c r="N616">
        <v>303</v>
      </c>
      <c r="O616" t="s">
        <v>30</v>
      </c>
      <c r="Q616">
        <v>149.32</v>
      </c>
      <c r="R616" t="str">
        <f>"PENSE FARMA 52 (10236)"</f>
        <v>PENSE FARMA 52 (10236)</v>
      </c>
      <c r="S616" t="s">
        <v>31</v>
      </c>
      <c r="T616">
        <v>3844</v>
      </c>
      <c r="U616">
        <v>3049</v>
      </c>
      <c r="V616" t="s">
        <v>36</v>
      </c>
    </row>
    <row r="617" spans="1:22">
      <c r="A617" t="str">
        <f t="shared" si="215"/>
        <v>18/12/2025</v>
      </c>
      <c r="B617" t="str">
        <f t="shared" si="210"/>
        <v>ENTRADA</v>
      </c>
      <c r="C617" t="str">
        <f t="shared" si="211"/>
        <v>NFSE</v>
      </c>
      <c r="D617" t="str">
        <f>"4035"</f>
        <v>4035</v>
      </c>
      <c r="E617" t="str">
        <f t="shared" si="212"/>
        <v>1</v>
      </c>
      <c r="F617" t="str">
        <f t="shared" si="213"/>
        <v>COM</v>
      </c>
      <c r="G617" t="str">
        <f>"PENSE FARMA 09 (10218)"</f>
        <v>PENSE FARMA 09 (10218)</v>
      </c>
      <c r="H617" t="str">
        <f>"Serv.Prest. 08/12/2025 a 14/12/2025 - RPS: 1797 - NFSe: 4035"</f>
        <v>Serv.Prest. 08/12/2025 a 14/12/2025 - RPS: 1797 - NFSe: 4035</v>
      </c>
      <c r="I617" t="str">
        <f t="shared" si="214"/>
        <v>17/12/2025</v>
      </c>
      <c r="J617" t="str">
        <f t="shared" si="209"/>
        <v>15/12/2025</v>
      </c>
      <c r="K617" t="str">
        <f>("18/12/2025")</f>
        <v>18/12/2025</v>
      </c>
      <c r="L617">
        <v>336.54</v>
      </c>
      <c r="M617">
        <v>336.54</v>
      </c>
      <c r="N617">
        <v>303</v>
      </c>
      <c r="O617" t="str">
        <f>"RECEITAS COM ENTREGAS"</f>
        <v>RECEITAS COM ENTREGAS</v>
      </c>
      <c r="P617">
        <v>336.54</v>
      </c>
      <c r="S617" t="str">
        <f>"RECEITAS COM ENTREGAS (303)"</f>
        <v>RECEITAS COM ENTREGAS (303)</v>
      </c>
      <c r="T617">
        <v>3845</v>
      </c>
      <c r="U617">
        <v>3050</v>
      </c>
      <c r="V617" t="s">
        <v>36</v>
      </c>
    </row>
    <row r="618" spans="1:22">
      <c r="A618" t="str">
        <f t="shared" si="215"/>
        <v>18/12/2025</v>
      </c>
      <c r="B618" t="str">
        <f t="shared" si="210"/>
        <v>ENTRADA</v>
      </c>
      <c r="C618" t="str">
        <f t="shared" si="211"/>
        <v>NFSE</v>
      </c>
      <c r="D618" t="str">
        <f>"4035"</f>
        <v>4035</v>
      </c>
      <c r="E618" t="str">
        <f t="shared" si="212"/>
        <v>1</v>
      </c>
      <c r="F618" t="str">
        <f t="shared" si="213"/>
        <v>COM</v>
      </c>
      <c r="G618" t="str">
        <f>"PENSE FARMA 09 (10218)"</f>
        <v>PENSE FARMA 09 (10218)</v>
      </c>
      <c r="H618" t="s">
        <v>189</v>
      </c>
      <c r="I618" t="str">
        <f t="shared" si="214"/>
        <v>17/12/2025</v>
      </c>
      <c r="J618" t="str">
        <f t="shared" si="209"/>
        <v>15/12/2025</v>
      </c>
      <c r="K618">
        <v>46009</v>
      </c>
      <c r="N618">
        <v>303</v>
      </c>
      <c r="O618" t="s">
        <v>30</v>
      </c>
      <c r="Q618">
        <v>168.27</v>
      </c>
      <c r="R618" t="str">
        <f>"PENSE FARMA 09 (10218)"</f>
        <v>PENSE FARMA 09 (10218)</v>
      </c>
      <c r="S618" t="s">
        <v>31</v>
      </c>
      <c r="T618">
        <v>3845</v>
      </c>
      <c r="U618">
        <v>3050</v>
      </c>
      <c r="V618" t="s">
        <v>36</v>
      </c>
    </row>
    <row r="619" spans="1:22">
      <c r="A619" t="str">
        <f t="shared" si="215"/>
        <v>18/12/2025</v>
      </c>
      <c r="B619" t="str">
        <f t="shared" si="210"/>
        <v>ENTRADA</v>
      </c>
      <c r="C619" t="str">
        <f t="shared" si="211"/>
        <v>NFSE</v>
      </c>
      <c r="D619" t="str">
        <f>"4035"</f>
        <v>4035</v>
      </c>
      <c r="E619" t="str">
        <f t="shared" si="212"/>
        <v>1</v>
      </c>
      <c r="F619" t="str">
        <f t="shared" si="213"/>
        <v>COM</v>
      </c>
      <c r="G619" t="str">
        <f>"PENSE FARMA 09 (10218)"</f>
        <v>PENSE FARMA 09 (10218)</v>
      </c>
      <c r="H619" t="s">
        <v>189</v>
      </c>
      <c r="I619" t="str">
        <f t="shared" si="214"/>
        <v>17/12/2025</v>
      </c>
      <c r="J619" t="str">
        <f t="shared" ref="J619:J650" si="216">("15/12/2025")</f>
        <v>15/12/2025</v>
      </c>
      <c r="K619">
        <v>46009</v>
      </c>
      <c r="N619">
        <v>303</v>
      </c>
      <c r="O619" t="s">
        <v>30</v>
      </c>
      <c r="Q619">
        <v>168.27</v>
      </c>
      <c r="R619" t="str">
        <f>"PENSE FARMA 10 (10219)"</f>
        <v>PENSE FARMA 10 (10219)</v>
      </c>
      <c r="S619" t="s">
        <v>31</v>
      </c>
      <c r="T619">
        <v>3845</v>
      </c>
      <c r="U619">
        <v>3050</v>
      </c>
      <c r="V619" t="s">
        <v>36</v>
      </c>
    </row>
    <row r="620" spans="1:22">
      <c r="A620" t="str">
        <f t="shared" si="215"/>
        <v>18/12/2025</v>
      </c>
      <c r="B620" t="str">
        <f t="shared" si="210"/>
        <v>ENTRADA</v>
      </c>
      <c r="C620" t="str">
        <f t="shared" si="211"/>
        <v>NFSE</v>
      </c>
      <c r="D620" t="str">
        <f t="shared" ref="D620:D626" si="217">"4036"</f>
        <v>4036</v>
      </c>
      <c r="E620" t="str">
        <f t="shared" si="212"/>
        <v>1</v>
      </c>
      <c r="F620" t="str">
        <f t="shared" si="213"/>
        <v>COM</v>
      </c>
      <c r="G620" t="str">
        <f t="shared" ref="G620:G626" si="218">"PENSE FARMA 36 (10206)"</f>
        <v>PENSE FARMA 36 (10206)</v>
      </c>
      <c r="H620" t="str">
        <f>"Serv.Prest. 08/12/2025 a 14/12/2025 - RPS: 1798 - NFSe: 4036"</f>
        <v>Serv.Prest. 08/12/2025 a 14/12/2025 - RPS: 1798 - NFSe: 4036</v>
      </c>
      <c r="I620" t="str">
        <f t="shared" si="214"/>
        <v>17/12/2025</v>
      </c>
      <c r="J620" t="str">
        <f t="shared" si="216"/>
        <v>15/12/2025</v>
      </c>
      <c r="K620" t="str">
        <f>("18/12/2025")</f>
        <v>18/12/2025</v>
      </c>
      <c r="L620">
        <v>894.35</v>
      </c>
      <c r="M620">
        <v>894.35</v>
      </c>
      <c r="N620">
        <v>303</v>
      </c>
      <c r="O620" t="str">
        <f>"RECEITAS COM ENTREGAS"</f>
        <v>RECEITAS COM ENTREGAS</v>
      </c>
      <c r="P620">
        <v>894.35</v>
      </c>
      <c r="S620" t="str">
        <f>"RECEITAS COM ENTREGAS (303)"</f>
        <v>RECEITAS COM ENTREGAS (303)</v>
      </c>
      <c r="T620">
        <v>3846</v>
      </c>
      <c r="U620">
        <v>3051</v>
      </c>
      <c r="V620" t="s">
        <v>36</v>
      </c>
    </row>
    <row r="621" spans="1:22">
      <c r="A621" t="str">
        <f t="shared" si="215"/>
        <v>18/12/2025</v>
      </c>
      <c r="B621" t="str">
        <f t="shared" si="210"/>
        <v>ENTRADA</v>
      </c>
      <c r="C621" t="str">
        <f t="shared" si="211"/>
        <v>NFSE</v>
      </c>
      <c r="D621" t="str">
        <f t="shared" si="217"/>
        <v>4036</v>
      </c>
      <c r="E621" t="str">
        <f t="shared" si="212"/>
        <v>1</v>
      </c>
      <c r="F621" t="str">
        <f t="shared" si="213"/>
        <v>COM</v>
      </c>
      <c r="G621" t="str">
        <f t="shared" si="218"/>
        <v>PENSE FARMA 36 (10206)</v>
      </c>
      <c r="H621" t="s">
        <v>190</v>
      </c>
      <c r="I621" t="str">
        <f t="shared" si="214"/>
        <v>17/12/2025</v>
      </c>
      <c r="J621" t="str">
        <f t="shared" si="216"/>
        <v>15/12/2025</v>
      </c>
      <c r="K621">
        <v>46009</v>
      </c>
      <c r="N621">
        <v>303</v>
      </c>
      <c r="O621" t="s">
        <v>30</v>
      </c>
      <c r="Q621">
        <v>148.30000000000001</v>
      </c>
      <c r="R621" t="str">
        <f>"PENSE FARMA 20 (10203)"</f>
        <v>PENSE FARMA 20 (10203)</v>
      </c>
      <c r="S621" t="s">
        <v>31</v>
      </c>
      <c r="T621">
        <v>3846</v>
      </c>
      <c r="U621">
        <v>3051</v>
      </c>
      <c r="V621" t="s">
        <v>36</v>
      </c>
    </row>
    <row r="622" spans="1:22">
      <c r="A622" t="str">
        <f t="shared" si="215"/>
        <v>18/12/2025</v>
      </c>
      <c r="B622" t="str">
        <f t="shared" si="210"/>
        <v>ENTRADA</v>
      </c>
      <c r="C622" t="str">
        <f t="shared" si="211"/>
        <v>NFSE</v>
      </c>
      <c r="D622" t="str">
        <f t="shared" si="217"/>
        <v>4036</v>
      </c>
      <c r="E622" t="str">
        <f t="shared" si="212"/>
        <v>1</v>
      </c>
      <c r="F622" t="str">
        <f t="shared" si="213"/>
        <v>COM</v>
      </c>
      <c r="G622" t="str">
        <f t="shared" si="218"/>
        <v>PENSE FARMA 36 (10206)</v>
      </c>
      <c r="H622" t="s">
        <v>190</v>
      </c>
      <c r="I622" t="str">
        <f t="shared" si="214"/>
        <v>17/12/2025</v>
      </c>
      <c r="J622" t="str">
        <f t="shared" si="216"/>
        <v>15/12/2025</v>
      </c>
      <c r="K622">
        <v>46009</v>
      </c>
      <c r="N622">
        <v>303</v>
      </c>
      <c r="O622" t="s">
        <v>30</v>
      </c>
      <c r="Q622">
        <v>148.28</v>
      </c>
      <c r="R622" t="str">
        <f>"PENSE FARMA 36 (10206)"</f>
        <v>PENSE FARMA 36 (10206)</v>
      </c>
      <c r="S622" t="s">
        <v>31</v>
      </c>
      <c r="T622">
        <v>3846</v>
      </c>
      <c r="U622">
        <v>3051</v>
      </c>
      <c r="V622" t="s">
        <v>36</v>
      </c>
    </row>
    <row r="623" spans="1:22">
      <c r="A623" t="str">
        <f t="shared" si="215"/>
        <v>18/12/2025</v>
      </c>
      <c r="B623" t="str">
        <f t="shared" si="210"/>
        <v>ENTRADA</v>
      </c>
      <c r="C623" t="str">
        <f t="shared" si="211"/>
        <v>NFSE</v>
      </c>
      <c r="D623" t="str">
        <f t="shared" si="217"/>
        <v>4036</v>
      </c>
      <c r="E623" t="str">
        <f t="shared" si="212"/>
        <v>1</v>
      </c>
      <c r="F623" t="str">
        <f t="shared" si="213"/>
        <v>COM</v>
      </c>
      <c r="G623" t="str">
        <f t="shared" si="218"/>
        <v>PENSE FARMA 36 (10206)</v>
      </c>
      <c r="H623" t="s">
        <v>190</v>
      </c>
      <c r="I623" t="str">
        <f t="shared" si="214"/>
        <v>17/12/2025</v>
      </c>
      <c r="J623" t="str">
        <f t="shared" si="216"/>
        <v>15/12/2025</v>
      </c>
      <c r="K623">
        <v>46009</v>
      </c>
      <c r="N623">
        <v>303</v>
      </c>
      <c r="O623" t="s">
        <v>30</v>
      </c>
      <c r="Q623">
        <v>148.28</v>
      </c>
      <c r="R623" t="str">
        <f>"PENSE FARMA 40 (10207)"</f>
        <v>PENSE FARMA 40 (10207)</v>
      </c>
      <c r="S623" t="s">
        <v>31</v>
      </c>
      <c r="T623">
        <v>3846</v>
      </c>
      <c r="U623">
        <v>3051</v>
      </c>
      <c r="V623" t="s">
        <v>36</v>
      </c>
    </row>
    <row r="624" spans="1:22">
      <c r="A624" t="str">
        <f t="shared" si="215"/>
        <v>18/12/2025</v>
      </c>
      <c r="B624" t="str">
        <f t="shared" si="210"/>
        <v>ENTRADA</v>
      </c>
      <c r="C624" t="str">
        <f t="shared" si="211"/>
        <v>NFSE</v>
      </c>
      <c r="D624" t="str">
        <f t="shared" si="217"/>
        <v>4036</v>
      </c>
      <c r="E624" t="str">
        <f t="shared" si="212"/>
        <v>1</v>
      </c>
      <c r="F624" t="str">
        <f t="shared" si="213"/>
        <v>COM</v>
      </c>
      <c r="G624" t="str">
        <f t="shared" si="218"/>
        <v>PENSE FARMA 36 (10206)</v>
      </c>
      <c r="H624" t="s">
        <v>190</v>
      </c>
      <c r="I624" t="str">
        <f t="shared" si="214"/>
        <v>17/12/2025</v>
      </c>
      <c r="J624" t="str">
        <f t="shared" si="216"/>
        <v>15/12/2025</v>
      </c>
      <c r="K624">
        <v>46009</v>
      </c>
      <c r="N624">
        <v>303</v>
      </c>
      <c r="O624" t="s">
        <v>30</v>
      </c>
      <c r="Q624">
        <v>148.28</v>
      </c>
      <c r="R624" t="str">
        <f>"PENSE FARMA 43 (10208)"</f>
        <v>PENSE FARMA 43 (10208)</v>
      </c>
      <c r="S624" t="s">
        <v>31</v>
      </c>
      <c r="T624">
        <v>3846</v>
      </c>
      <c r="U624">
        <v>3051</v>
      </c>
      <c r="V624" t="s">
        <v>36</v>
      </c>
    </row>
    <row r="625" spans="1:22">
      <c r="A625" t="str">
        <f t="shared" si="215"/>
        <v>18/12/2025</v>
      </c>
      <c r="B625" t="str">
        <f t="shared" si="210"/>
        <v>ENTRADA</v>
      </c>
      <c r="C625" t="str">
        <f t="shared" si="211"/>
        <v>NFSE</v>
      </c>
      <c r="D625" t="str">
        <f t="shared" si="217"/>
        <v>4036</v>
      </c>
      <c r="E625" t="str">
        <f t="shared" si="212"/>
        <v>1</v>
      </c>
      <c r="F625" t="str">
        <f t="shared" si="213"/>
        <v>COM</v>
      </c>
      <c r="G625" t="str">
        <f t="shared" si="218"/>
        <v>PENSE FARMA 36 (10206)</v>
      </c>
      <c r="H625" t="s">
        <v>190</v>
      </c>
      <c r="I625" t="str">
        <f t="shared" si="214"/>
        <v>17/12/2025</v>
      </c>
      <c r="J625" t="str">
        <f t="shared" si="216"/>
        <v>15/12/2025</v>
      </c>
      <c r="K625">
        <v>46009</v>
      </c>
      <c r="N625">
        <v>303</v>
      </c>
      <c r="O625" t="s">
        <v>30</v>
      </c>
      <c r="Q625">
        <v>148.28</v>
      </c>
      <c r="R625" t="str">
        <f>"PENSE FARMA 59 (10211)"</f>
        <v>PENSE FARMA 59 (10211)</v>
      </c>
      <c r="S625" t="s">
        <v>31</v>
      </c>
      <c r="T625">
        <v>3846</v>
      </c>
      <c r="U625">
        <v>3051</v>
      </c>
      <c r="V625" t="s">
        <v>36</v>
      </c>
    </row>
    <row r="626" spans="1:22">
      <c r="A626" t="str">
        <f t="shared" si="215"/>
        <v>18/12/2025</v>
      </c>
      <c r="B626" t="str">
        <f t="shared" si="210"/>
        <v>ENTRADA</v>
      </c>
      <c r="C626" t="str">
        <f t="shared" si="211"/>
        <v>NFSE</v>
      </c>
      <c r="D626" t="str">
        <f t="shared" si="217"/>
        <v>4036</v>
      </c>
      <c r="E626" t="str">
        <f t="shared" si="212"/>
        <v>1</v>
      </c>
      <c r="F626" t="str">
        <f t="shared" si="213"/>
        <v>COM</v>
      </c>
      <c r="G626" t="str">
        <f t="shared" si="218"/>
        <v>PENSE FARMA 36 (10206)</v>
      </c>
      <c r="H626" t="s">
        <v>190</v>
      </c>
      <c r="I626" t="str">
        <f t="shared" si="214"/>
        <v>17/12/2025</v>
      </c>
      <c r="J626" t="str">
        <f t="shared" si="216"/>
        <v>15/12/2025</v>
      </c>
      <c r="K626">
        <v>46009</v>
      </c>
      <c r="N626">
        <v>303</v>
      </c>
      <c r="O626" t="s">
        <v>30</v>
      </c>
      <c r="Q626">
        <v>152.93</v>
      </c>
      <c r="R626" t="str">
        <f>"PENSE FARMA DARK STORE 361 (10212)"</f>
        <v>PENSE FARMA DARK STORE 361 (10212)</v>
      </c>
      <c r="S626" t="s">
        <v>31</v>
      </c>
      <c r="T626">
        <v>3846</v>
      </c>
      <c r="U626">
        <v>3051</v>
      </c>
      <c r="V626" t="s">
        <v>36</v>
      </c>
    </row>
    <row r="627" spans="1:22">
      <c r="A627" t="str">
        <f t="shared" si="215"/>
        <v>18/12/2025</v>
      </c>
      <c r="B627" t="str">
        <f t="shared" si="210"/>
        <v>ENTRADA</v>
      </c>
      <c r="C627" t="str">
        <f t="shared" si="211"/>
        <v>NFSE</v>
      </c>
      <c r="D627" t="str">
        <f>"4037"</f>
        <v>4037</v>
      </c>
      <c r="E627" t="str">
        <f t="shared" si="212"/>
        <v>1</v>
      </c>
      <c r="F627" t="str">
        <f t="shared" si="213"/>
        <v>COM</v>
      </c>
      <c r="G627" t="str">
        <f>"PENSE FARMA 27 (10204)"</f>
        <v>PENSE FARMA 27 (10204)</v>
      </c>
      <c r="H627" t="str">
        <f>"Serv.Prest. 08/12/2025 a 14/12/2025 - RPS: 1799 - NFSe: 4037"</f>
        <v>Serv.Prest. 08/12/2025 a 14/12/2025 - RPS: 1799 - NFSe: 4037</v>
      </c>
      <c r="I627" t="str">
        <f t="shared" si="214"/>
        <v>17/12/2025</v>
      </c>
      <c r="J627" t="str">
        <f t="shared" si="216"/>
        <v>15/12/2025</v>
      </c>
      <c r="K627" t="str">
        <f>("18/12/2025")</f>
        <v>18/12/2025</v>
      </c>
      <c r="L627">
        <v>577.5</v>
      </c>
      <c r="M627">
        <v>577.5</v>
      </c>
      <c r="N627">
        <v>303</v>
      </c>
      <c r="O627" t="str">
        <f>"RECEITAS COM ENTREGAS"</f>
        <v>RECEITAS COM ENTREGAS</v>
      </c>
      <c r="P627">
        <v>577.5</v>
      </c>
      <c r="S627" t="str">
        <f>"RECEITAS COM ENTREGAS (303)"</f>
        <v>RECEITAS COM ENTREGAS (303)</v>
      </c>
      <c r="T627">
        <v>3847</v>
      </c>
      <c r="U627">
        <v>3052</v>
      </c>
      <c r="V627" t="s">
        <v>36</v>
      </c>
    </row>
    <row r="628" spans="1:22">
      <c r="A628" t="str">
        <f t="shared" si="215"/>
        <v>18/12/2025</v>
      </c>
      <c r="B628" t="str">
        <f t="shared" si="210"/>
        <v>ENTRADA</v>
      </c>
      <c r="C628" t="str">
        <f t="shared" si="211"/>
        <v>NFSE</v>
      </c>
      <c r="D628" t="str">
        <f>"4037"</f>
        <v>4037</v>
      </c>
      <c r="E628" t="str">
        <f t="shared" si="212"/>
        <v>1</v>
      </c>
      <c r="F628" t="str">
        <f t="shared" si="213"/>
        <v>COM</v>
      </c>
      <c r="G628" t="str">
        <f>"PENSE FARMA 27 (10204)"</f>
        <v>PENSE FARMA 27 (10204)</v>
      </c>
      <c r="H628" t="s">
        <v>191</v>
      </c>
      <c r="I628" t="str">
        <f t="shared" si="214"/>
        <v>17/12/2025</v>
      </c>
      <c r="J628" t="str">
        <f t="shared" si="216"/>
        <v>15/12/2025</v>
      </c>
      <c r="K628">
        <v>46009</v>
      </c>
      <c r="N628">
        <v>303</v>
      </c>
      <c r="O628" t="s">
        <v>30</v>
      </c>
      <c r="Q628">
        <v>192.14</v>
      </c>
      <c r="R628" t="str">
        <f>"PENSE FARMA 05 (10200)"</f>
        <v>PENSE FARMA 05 (10200)</v>
      </c>
      <c r="S628" t="s">
        <v>31</v>
      </c>
      <c r="T628">
        <v>3847</v>
      </c>
      <c r="U628">
        <v>3052</v>
      </c>
      <c r="V628" t="s">
        <v>36</v>
      </c>
    </row>
    <row r="629" spans="1:22">
      <c r="A629" t="str">
        <f t="shared" si="215"/>
        <v>18/12/2025</v>
      </c>
      <c r="B629" t="str">
        <f t="shared" si="210"/>
        <v>ENTRADA</v>
      </c>
      <c r="C629" t="str">
        <f t="shared" si="211"/>
        <v>NFSE</v>
      </c>
      <c r="D629" t="str">
        <f>"4037"</f>
        <v>4037</v>
      </c>
      <c r="E629" t="str">
        <f t="shared" si="212"/>
        <v>1</v>
      </c>
      <c r="F629" t="str">
        <f t="shared" si="213"/>
        <v>COM</v>
      </c>
      <c r="G629" t="str">
        <f>"PENSE FARMA 27 (10204)"</f>
        <v>PENSE FARMA 27 (10204)</v>
      </c>
      <c r="H629" t="s">
        <v>191</v>
      </c>
      <c r="I629" t="str">
        <f t="shared" si="214"/>
        <v>17/12/2025</v>
      </c>
      <c r="J629" t="str">
        <f t="shared" si="216"/>
        <v>15/12/2025</v>
      </c>
      <c r="K629">
        <v>46009</v>
      </c>
      <c r="N629">
        <v>303</v>
      </c>
      <c r="O629" t="s">
        <v>30</v>
      </c>
      <c r="Q629">
        <v>192.13</v>
      </c>
      <c r="R629" t="str">
        <f>"PENSE FARMA 13 (10202)"</f>
        <v>PENSE FARMA 13 (10202)</v>
      </c>
      <c r="S629" t="s">
        <v>31</v>
      </c>
      <c r="T629">
        <v>3847</v>
      </c>
      <c r="U629">
        <v>3052</v>
      </c>
      <c r="V629" t="s">
        <v>36</v>
      </c>
    </row>
    <row r="630" spans="1:22">
      <c r="A630" t="str">
        <f t="shared" si="215"/>
        <v>18/12/2025</v>
      </c>
      <c r="B630" t="str">
        <f t="shared" si="210"/>
        <v>ENTRADA</v>
      </c>
      <c r="C630" t="str">
        <f t="shared" si="211"/>
        <v>NFSE</v>
      </c>
      <c r="D630" t="str">
        <f>"4037"</f>
        <v>4037</v>
      </c>
      <c r="E630" t="str">
        <f t="shared" si="212"/>
        <v>1</v>
      </c>
      <c r="F630" t="str">
        <f t="shared" si="213"/>
        <v>COM</v>
      </c>
      <c r="G630" t="str">
        <f>"PENSE FARMA 27 (10204)"</f>
        <v>PENSE FARMA 27 (10204)</v>
      </c>
      <c r="H630" t="s">
        <v>191</v>
      </c>
      <c r="I630" t="str">
        <f t="shared" si="214"/>
        <v>17/12/2025</v>
      </c>
      <c r="J630" t="str">
        <f t="shared" si="216"/>
        <v>15/12/2025</v>
      </c>
      <c r="K630">
        <v>46009</v>
      </c>
      <c r="N630">
        <v>303</v>
      </c>
      <c r="O630" t="s">
        <v>30</v>
      </c>
      <c r="Q630">
        <v>193.23</v>
      </c>
      <c r="R630" t="str">
        <f>"PENSE FARMA 27 (10204)"</f>
        <v>PENSE FARMA 27 (10204)</v>
      </c>
      <c r="S630" t="s">
        <v>31</v>
      </c>
      <c r="T630">
        <v>3847</v>
      </c>
      <c r="U630">
        <v>3052</v>
      </c>
      <c r="V630" t="s">
        <v>36</v>
      </c>
    </row>
    <row r="631" spans="1:22">
      <c r="A631" t="str">
        <f t="shared" si="215"/>
        <v>18/12/2025</v>
      </c>
      <c r="B631" t="str">
        <f t="shared" si="210"/>
        <v>ENTRADA</v>
      </c>
      <c r="C631" t="str">
        <f t="shared" si="211"/>
        <v>NFSE</v>
      </c>
      <c r="D631" t="str">
        <f>"4038"</f>
        <v>4038</v>
      </c>
      <c r="E631" t="str">
        <f t="shared" si="212"/>
        <v>1</v>
      </c>
      <c r="F631" t="str">
        <f t="shared" si="213"/>
        <v>COM</v>
      </c>
      <c r="G631" t="str">
        <f>"JAL FARMACIA E DROGARIA LJ 1 (10137)"</f>
        <v>JAL FARMACIA E DROGARIA LJ 1 (10137)</v>
      </c>
      <c r="H631" t="str">
        <f>"Serv.Prest. 08/12/2025 a 14/12/2025 - RPS: 1800 - NFSe: 4038"</f>
        <v>Serv.Prest. 08/12/2025 a 14/12/2025 - RPS: 1800 - NFSe: 4038</v>
      </c>
      <c r="I631" t="str">
        <f t="shared" si="214"/>
        <v>17/12/2025</v>
      </c>
      <c r="J631" t="str">
        <f t="shared" si="216"/>
        <v>15/12/2025</v>
      </c>
      <c r="K631" t="str">
        <f>("18/12/2025")</f>
        <v>18/12/2025</v>
      </c>
      <c r="L631">
        <v>399</v>
      </c>
      <c r="M631">
        <v>399</v>
      </c>
      <c r="N631">
        <v>303</v>
      </c>
      <c r="O631" t="str">
        <f>"RECEITAS COM ENTREGAS"</f>
        <v>RECEITAS COM ENTREGAS</v>
      </c>
      <c r="P631">
        <v>399</v>
      </c>
      <c r="S631" t="str">
        <f>"RECEITAS COM ENTREGAS (303)"</f>
        <v>RECEITAS COM ENTREGAS (303)</v>
      </c>
      <c r="T631">
        <v>3848</v>
      </c>
      <c r="U631">
        <v>3053</v>
      </c>
      <c r="V631" t="s">
        <v>36</v>
      </c>
    </row>
    <row r="632" spans="1:22">
      <c r="A632" t="str">
        <f t="shared" si="215"/>
        <v>18/12/2025</v>
      </c>
      <c r="B632" t="str">
        <f t="shared" si="210"/>
        <v>ENTRADA</v>
      </c>
      <c r="C632" t="str">
        <f t="shared" si="211"/>
        <v>NFSE</v>
      </c>
      <c r="D632" t="str">
        <f>"4038"</f>
        <v>4038</v>
      </c>
      <c r="E632" t="str">
        <f t="shared" si="212"/>
        <v>1</v>
      </c>
      <c r="F632" t="str">
        <f t="shared" si="213"/>
        <v>COM</v>
      </c>
      <c r="G632" t="str">
        <f>"JAL FARMACIA E DROGARIA LJ 1 (10137)"</f>
        <v>JAL FARMACIA E DROGARIA LJ 1 (10137)</v>
      </c>
      <c r="H632" t="s">
        <v>192</v>
      </c>
      <c r="I632" t="str">
        <f t="shared" si="214"/>
        <v>17/12/2025</v>
      </c>
      <c r="J632" t="str">
        <f t="shared" si="216"/>
        <v>15/12/2025</v>
      </c>
      <c r="K632">
        <v>46009</v>
      </c>
      <c r="N632">
        <v>303</v>
      </c>
      <c r="O632" t="s">
        <v>30</v>
      </c>
      <c r="Q632">
        <v>399</v>
      </c>
      <c r="R632" t="str">
        <f>"JAL FARMACIA E DROGARIA LJ 1 (10137)"</f>
        <v>JAL FARMACIA E DROGARIA LJ 1 (10137)</v>
      </c>
      <c r="S632" t="s">
        <v>31</v>
      </c>
      <c r="T632">
        <v>3848</v>
      </c>
      <c r="U632">
        <v>3053</v>
      </c>
      <c r="V632" t="s">
        <v>36</v>
      </c>
    </row>
    <row r="633" spans="1:22">
      <c r="A633" t="str">
        <f t="shared" si="215"/>
        <v>18/12/2025</v>
      </c>
      <c r="B633" t="str">
        <f t="shared" si="210"/>
        <v>ENTRADA</v>
      </c>
      <c r="C633" t="str">
        <f t="shared" si="211"/>
        <v>NFSE</v>
      </c>
      <c r="D633" t="str">
        <f>"4039"</f>
        <v>4039</v>
      </c>
      <c r="E633" t="str">
        <f t="shared" si="212"/>
        <v>1</v>
      </c>
      <c r="F633" t="str">
        <f t="shared" si="213"/>
        <v>COM</v>
      </c>
      <c r="G633" t="str">
        <f>"JAL FARMACIA E DROGARIA LJ 2 (10138)"</f>
        <v>JAL FARMACIA E DROGARIA LJ 2 (10138)</v>
      </c>
      <c r="H633" t="str">
        <f>"Serv.Prest. 08/12/2025 a 14/12/2025 - RPS: 1801 - NFSe: 4039"</f>
        <v>Serv.Prest. 08/12/2025 a 14/12/2025 - RPS: 1801 - NFSe: 4039</v>
      </c>
      <c r="I633" t="str">
        <f t="shared" si="214"/>
        <v>17/12/2025</v>
      </c>
      <c r="J633" t="str">
        <f t="shared" si="216"/>
        <v>15/12/2025</v>
      </c>
      <c r="K633" t="str">
        <f>("18/12/2025")</f>
        <v>18/12/2025</v>
      </c>
      <c r="L633">
        <v>310.5</v>
      </c>
      <c r="M633">
        <v>310.5</v>
      </c>
      <c r="N633">
        <v>303</v>
      </c>
      <c r="O633" t="str">
        <f>"RECEITAS COM ENTREGAS"</f>
        <v>RECEITAS COM ENTREGAS</v>
      </c>
      <c r="P633">
        <v>310.5</v>
      </c>
      <c r="S633" t="str">
        <f>"RECEITAS COM ENTREGAS (303)"</f>
        <v>RECEITAS COM ENTREGAS (303)</v>
      </c>
      <c r="T633">
        <v>3849</v>
      </c>
      <c r="U633">
        <v>3054</v>
      </c>
      <c r="V633" t="s">
        <v>36</v>
      </c>
    </row>
    <row r="634" spans="1:22">
      <c r="A634" t="str">
        <f t="shared" si="215"/>
        <v>18/12/2025</v>
      </c>
      <c r="B634" t="str">
        <f t="shared" si="210"/>
        <v>ENTRADA</v>
      </c>
      <c r="C634" t="str">
        <f t="shared" si="211"/>
        <v>NFSE</v>
      </c>
      <c r="D634" t="str">
        <f>"4039"</f>
        <v>4039</v>
      </c>
      <c r="E634" t="str">
        <f t="shared" si="212"/>
        <v>1</v>
      </c>
      <c r="F634" t="str">
        <f t="shared" si="213"/>
        <v>COM</v>
      </c>
      <c r="G634" t="str">
        <f>"JAL FARMACIA E DROGARIA LJ 2 (10138)"</f>
        <v>JAL FARMACIA E DROGARIA LJ 2 (10138)</v>
      </c>
      <c r="H634" t="s">
        <v>193</v>
      </c>
      <c r="I634" t="str">
        <f t="shared" si="214"/>
        <v>17/12/2025</v>
      </c>
      <c r="J634" t="str">
        <f t="shared" si="216"/>
        <v>15/12/2025</v>
      </c>
      <c r="K634">
        <v>46009</v>
      </c>
      <c r="N634">
        <v>303</v>
      </c>
      <c r="O634" t="s">
        <v>30</v>
      </c>
      <c r="Q634">
        <v>310.5</v>
      </c>
      <c r="R634" t="str">
        <f>"JAL FARMACIA E DROGARIA LJ 2 (10138)"</f>
        <v>JAL FARMACIA E DROGARIA LJ 2 (10138)</v>
      </c>
      <c r="S634" t="s">
        <v>31</v>
      </c>
      <c r="T634">
        <v>3849</v>
      </c>
      <c r="U634">
        <v>3054</v>
      </c>
      <c r="V634" t="s">
        <v>36</v>
      </c>
    </row>
    <row r="635" spans="1:22">
      <c r="A635" t="str">
        <f t="shared" si="215"/>
        <v>18/12/2025</v>
      </c>
      <c r="B635" t="str">
        <f t="shared" si="210"/>
        <v>ENTRADA</v>
      </c>
      <c r="C635" t="str">
        <f t="shared" si="211"/>
        <v>NFSE</v>
      </c>
      <c r="D635" t="str">
        <f>"4041"</f>
        <v>4041</v>
      </c>
      <c r="E635" t="str">
        <f t="shared" si="212"/>
        <v>1</v>
      </c>
      <c r="F635" t="str">
        <f t="shared" si="213"/>
        <v>COM</v>
      </c>
      <c r="G635" t="str">
        <f>"PENSE FARMA 07 (10201)"</f>
        <v>PENSE FARMA 07 (10201)</v>
      </c>
      <c r="H635" t="str">
        <f>"Serv.Prest. 08/12/2025 a 14/12/2025 - RPS: 1803 - NFSe: 4041"</f>
        <v>Serv.Prest. 08/12/2025 a 14/12/2025 - RPS: 1803 - NFSe: 4041</v>
      </c>
      <c r="I635" t="str">
        <f t="shared" si="214"/>
        <v>17/12/2025</v>
      </c>
      <c r="J635" t="str">
        <f t="shared" si="216"/>
        <v>15/12/2025</v>
      </c>
      <c r="K635" t="str">
        <f>("18/12/2025")</f>
        <v>18/12/2025</v>
      </c>
      <c r="L635">
        <v>309.75</v>
      </c>
      <c r="M635">
        <v>309.75</v>
      </c>
      <c r="N635">
        <v>303</v>
      </c>
      <c r="O635" t="str">
        <f>"RECEITAS COM ENTREGAS"</f>
        <v>RECEITAS COM ENTREGAS</v>
      </c>
      <c r="P635">
        <v>309.75</v>
      </c>
      <c r="S635" t="str">
        <f>"RECEITAS COM ENTREGAS (303)"</f>
        <v>RECEITAS COM ENTREGAS (303)</v>
      </c>
      <c r="T635">
        <v>3850</v>
      </c>
      <c r="U635">
        <v>3056</v>
      </c>
      <c r="V635" t="s">
        <v>36</v>
      </c>
    </row>
    <row r="636" spans="1:22">
      <c r="A636" t="str">
        <f t="shared" si="215"/>
        <v>18/12/2025</v>
      </c>
      <c r="B636" t="str">
        <f t="shared" si="210"/>
        <v>ENTRADA</v>
      </c>
      <c r="C636" t="str">
        <f t="shared" si="211"/>
        <v>NFSE</v>
      </c>
      <c r="D636" t="str">
        <f>"4041"</f>
        <v>4041</v>
      </c>
      <c r="E636" t="str">
        <f t="shared" si="212"/>
        <v>1</v>
      </c>
      <c r="F636" t="str">
        <f t="shared" si="213"/>
        <v>COM</v>
      </c>
      <c r="G636" t="str">
        <f>"PENSE FARMA 07 (10201)"</f>
        <v>PENSE FARMA 07 (10201)</v>
      </c>
      <c r="H636" t="s">
        <v>194</v>
      </c>
      <c r="I636" t="str">
        <f t="shared" si="214"/>
        <v>17/12/2025</v>
      </c>
      <c r="J636" t="str">
        <f t="shared" si="216"/>
        <v>15/12/2025</v>
      </c>
      <c r="K636">
        <v>46009</v>
      </c>
      <c r="N636">
        <v>303</v>
      </c>
      <c r="O636" t="s">
        <v>30</v>
      </c>
      <c r="Q636">
        <v>102.9</v>
      </c>
      <c r="R636" t="str">
        <f>"PENSE FARMA 07 (10201)"</f>
        <v>PENSE FARMA 07 (10201)</v>
      </c>
      <c r="S636" t="s">
        <v>31</v>
      </c>
      <c r="T636">
        <v>3850</v>
      </c>
      <c r="U636">
        <v>3056</v>
      </c>
      <c r="V636" t="s">
        <v>36</v>
      </c>
    </row>
    <row r="637" spans="1:22">
      <c r="A637" t="str">
        <f t="shared" si="215"/>
        <v>18/12/2025</v>
      </c>
      <c r="B637" t="str">
        <f t="shared" si="210"/>
        <v>ENTRADA</v>
      </c>
      <c r="C637" t="str">
        <f t="shared" si="211"/>
        <v>NFSE</v>
      </c>
      <c r="D637" t="str">
        <f>"4041"</f>
        <v>4041</v>
      </c>
      <c r="E637" t="str">
        <f t="shared" si="212"/>
        <v>1</v>
      </c>
      <c r="F637" t="str">
        <f t="shared" si="213"/>
        <v>COM</v>
      </c>
      <c r="G637" t="str">
        <f>"PENSE FARMA 07 (10201)"</f>
        <v>PENSE FARMA 07 (10201)</v>
      </c>
      <c r="H637" t="s">
        <v>194</v>
      </c>
      <c r="I637" t="str">
        <f t="shared" si="214"/>
        <v>17/12/2025</v>
      </c>
      <c r="J637" t="str">
        <f t="shared" si="216"/>
        <v>15/12/2025</v>
      </c>
      <c r="K637">
        <v>46009</v>
      </c>
      <c r="N637">
        <v>303</v>
      </c>
      <c r="O637" t="s">
        <v>30</v>
      </c>
      <c r="Q637">
        <v>102.9</v>
      </c>
      <c r="R637" t="str">
        <f>"PENSE FARMA 45 (10209)"</f>
        <v>PENSE FARMA 45 (10209)</v>
      </c>
      <c r="S637" t="s">
        <v>31</v>
      </c>
      <c r="T637">
        <v>3850</v>
      </c>
      <c r="U637">
        <v>3056</v>
      </c>
      <c r="V637" t="s">
        <v>36</v>
      </c>
    </row>
    <row r="638" spans="1:22">
      <c r="A638" t="str">
        <f t="shared" si="215"/>
        <v>18/12/2025</v>
      </c>
      <c r="B638" t="str">
        <f t="shared" si="210"/>
        <v>ENTRADA</v>
      </c>
      <c r="C638" t="str">
        <f t="shared" si="211"/>
        <v>NFSE</v>
      </c>
      <c r="D638" t="str">
        <f>"4041"</f>
        <v>4041</v>
      </c>
      <c r="E638" t="str">
        <f t="shared" si="212"/>
        <v>1</v>
      </c>
      <c r="F638" t="str">
        <f t="shared" si="213"/>
        <v>COM</v>
      </c>
      <c r="G638" t="str">
        <f>"PENSE FARMA 07 (10201)"</f>
        <v>PENSE FARMA 07 (10201)</v>
      </c>
      <c r="H638" t="s">
        <v>194</v>
      </c>
      <c r="I638" t="str">
        <f t="shared" si="214"/>
        <v>17/12/2025</v>
      </c>
      <c r="J638" t="str">
        <f t="shared" si="216"/>
        <v>15/12/2025</v>
      </c>
      <c r="K638">
        <v>46009</v>
      </c>
      <c r="N638">
        <v>303</v>
      </c>
      <c r="O638" t="s">
        <v>30</v>
      </c>
      <c r="Q638">
        <v>103.95</v>
      </c>
      <c r="R638" t="str">
        <f>"PENSE FARMA 50 (10210)"</f>
        <v>PENSE FARMA 50 (10210)</v>
      </c>
      <c r="S638" t="s">
        <v>31</v>
      </c>
      <c r="T638">
        <v>3850</v>
      </c>
      <c r="U638">
        <v>3056</v>
      </c>
      <c r="V638" t="s">
        <v>36</v>
      </c>
    </row>
    <row r="639" spans="1:22">
      <c r="A639" t="str">
        <f t="shared" si="215"/>
        <v>18/12/2025</v>
      </c>
      <c r="B639" t="str">
        <f t="shared" ref="B639:B670" si="219">"ENTRADA"</f>
        <v>ENTRADA</v>
      </c>
      <c r="C639" t="str">
        <f t="shared" ref="C639:C670" si="220">"NFSE"</f>
        <v>NFSE</v>
      </c>
      <c r="D639" t="str">
        <f>"4042"</f>
        <v>4042</v>
      </c>
      <c r="E639" t="str">
        <f t="shared" ref="E639:E670" si="221">"1"</f>
        <v>1</v>
      </c>
      <c r="F639" t="str">
        <f t="shared" ref="F639:F670" si="222">"COM"</f>
        <v>COM</v>
      </c>
      <c r="G639" t="str">
        <f>"BRASIL FARMA (10173)"</f>
        <v>BRASIL FARMA (10173)</v>
      </c>
      <c r="H639" t="str">
        <f>"Serv.Prest. 08/12/2025 a 14/12/2025 - RPS: 1804 - NFSe: 4042"</f>
        <v>Serv.Prest. 08/12/2025 a 14/12/2025 - RPS: 1804 - NFSe: 4042</v>
      </c>
      <c r="I639" t="str">
        <f t="shared" ref="I639:I670" si="223">("17/12/2025")</f>
        <v>17/12/2025</v>
      </c>
      <c r="J639" t="str">
        <f t="shared" si="216"/>
        <v>15/12/2025</v>
      </c>
      <c r="K639" t="str">
        <f>("18/12/2025")</f>
        <v>18/12/2025</v>
      </c>
      <c r="L639">
        <v>300.89999999999998</v>
      </c>
      <c r="M639">
        <v>300.89999999999998</v>
      </c>
      <c r="N639">
        <v>303</v>
      </c>
      <c r="O639" t="str">
        <f>"RECEITAS COM ENTREGAS"</f>
        <v>RECEITAS COM ENTREGAS</v>
      </c>
      <c r="P639">
        <v>300.89999999999998</v>
      </c>
      <c r="S639" t="str">
        <f>"RECEITAS COM ENTREGAS (303)"</f>
        <v>RECEITAS COM ENTREGAS (303)</v>
      </c>
      <c r="T639">
        <v>3851</v>
      </c>
      <c r="U639">
        <v>3057</v>
      </c>
      <c r="V639" t="s">
        <v>36</v>
      </c>
    </row>
    <row r="640" spans="1:22">
      <c r="A640" t="str">
        <f t="shared" si="215"/>
        <v>18/12/2025</v>
      </c>
      <c r="B640" t="str">
        <f t="shared" si="219"/>
        <v>ENTRADA</v>
      </c>
      <c r="C640" t="str">
        <f t="shared" si="220"/>
        <v>NFSE</v>
      </c>
      <c r="D640" t="str">
        <f>"4042"</f>
        <v>4042</v>
      </c>
      <c r="E640" t="str">
        <f t="shared" si="221"/>
        <v>1</v>
      </c>
      <c r="F640" t="str">
        <f t="shared" si="222"/>
        <v>COM</v>
      </c>
      <c r="G640" t="str">
        <f>"BRASIL FARMA (10173)"</f>
        <v>BRASIL FARMA (10173)</v>
      </c>
      <c r="H640" t="s">
        <v>195</v>
      </c>
      <c r="I640" t="str">
        <f t="shared" si="223"/>
        <v>17/12/2025</v>
      </c>
      <c r="J640" t="str">
        <f t="shared" si="216"/>
        <v>15/12/2025</v>
      </c>
      <c r="K640">
        <v>46009</v>
      </c>
      <c r="N640">
        <v>303</v>
      </c>
      <c r="O640" t="s">
        <v>30</v>
      </c>
      <c r="Q640">
        <v>300.89999999999998</v>
      </c>
      <c r="R640" t="str">
        <f>"BRASIL FARMA (10173)"</f>
        <v>BRASIL FARMA (10173)</v>
      </c>
      <c r="S640" t="s">
        <v>31</v>
      </c>
      <c r="T640">
        <v>3851</v>
      </c>
      <c r="U640">
        <v>3057</v>
      </c>
      <c r="V640" t="s">
        <v>36</v>
      </c>
    </row>
    <row r="641" spans="1:22">
      <c r="A641" t="str">
        <f t="shared" si="215"/>
        <v>18/12/2025</v>
      </c>
      <c r="B641" t="str">
        <f t="shared" si="219"/>
        <v>ENTRADA</v>
      </c>
      <c r="C641" t="str">
        <f t="shared" si="220"/>
        <v>NFSE</v>
      </c>
      <c r="D641" t="str">
        <f>"4043"</f>
        <v>4043</v>
      </c>
      <c r="E641" t="str">
        <f t="shared" si="221"/>
        <v>1</v>
      </c>
      <c r="F641" t="str">
        <f t="shared" si="222"/>
        <v>COM</v>
      </c>
      <c r="G641" t="str">
        <f>"DELTA LOJA 2 (10123)"</f>
        <v>DELTA LOJA 2 (10123)</v>
      </c>
      <c r="H641" t="str">
        <f>"Serv.Prest. 08/12/2025 a 14/12/2025 - RPS: 1805 - NFSe: 4043"</f>
        <v>Serv.Prest. 08/12/2025 a 14/12/2025 - RPS: 1805 - NFSe: 4043</v>
      </c>
      <c r="I641" t="str">
        <f t="shared" si="223"/>
        <v>17/12/2025</v>
      </c>
      <c r="J641" t="str">
        <f t="shared" si="216"/>
        <v>15/12/2025</v>
      </c>
      <c r="K641" t="str">
        <f>("18/12/2025")</f>
        <v>18/12/2025</v>
      </c>
      <c r="L641">
        <v>846.3</v>
      </c>
      <c r="M641">
        <v>846.3</v>
      </c>
      <c r="N641">
        <v>303</v>
      </c>
      <c r="O641" t="str">
        <f>"RECEITAS COM ENTREGAS"</f>
        <v>RECEITAS COM ENTREGAS</v>
      </c>
      <c r="P641">
        <v>846.3</v>
      </c>
      <c r="S641" t="str">
        <f>"RECEITAS COM ENTREGAS (303)"</f>
        <v>RECEITAS COM ENTREGAS (303)</v>
      </c>
      <c r="T641">
        <v>3852</v>
      </c>
      <c r="U641">
        <v>3058</v>
      </c>
      <c r="V641" t="s">
        <v>36</v>
      </c>
    </row>
    <row r="642" spans="1:22">
      <c r="A642" t="str">
        <f t="shared" si="215"/>
        <v>18/12/2025</v>
      </c>
      <c r="B642" t="str">
        <f t="shared" si="219"/>
        <v>ENTRADA</v>
      </c>
      <c r="C642" t="str">
        <f t="shared" si="220"/>
        <v>NFSE</v>
      </c>
      <c r="D642" t="str">
        <f>"4043"</f>
        <v>4043</v>
      </c>
      <c r="E642" t="str">
        <f t="shared" si="221"/>
        <v>1</v>
      </c>
      <c r="F642" t="str">
        <f t="shared" si="222"/>
        <v>COM</v>
      </c>
      <c r="G642" t="str">
        <f>"DELTA LOJA 2 (10123)"</f>
        <v>DELTA LOJA 2 (10123)</v>
      </c>
      <c r="H642" t="s">
        <v>196</v>
      </c>
      <c r="I642" t="str">
        <f t="shared" si="223"/>
        <v>17/12/2025</v>
      </c>
      <c r="J642" t="str">
        <f t="shared" si="216"/>
        <v>15/12/2025</v>
      </c>
      <c r="K642">
        <v>46009</v>
      </c>
      <c r="N642">
        <v>303</v>
      </c>
      <c r="O642" t="s">
        <v>30</v>
      </c>
      <c r="Q642">
        <v>846.3</v>
      </c>
      <c r="R642" t="str">
        <f>"DELTA LOJA 2 (10123)"</f>
        <v>DELTA LOJA 2 (10123)</v>
      </c>
      <c r="S642" t="s">
        <v>31</v>
      </c>
      <c r="T642">
        <v>3852</v>
      </c>
      <c r="U642">
        <v>3058</v>
      </c>
      <c r="V642" t="s">
        <v>36</v>
      </c>
    </row>
    <row r="643" spans="1:22">
      <c r="A643" t="str">
        <f t="shared" ref="A643:A674" si="224">("18/12/2025")</f>
        <v>18/12/2025</v>
      </c>
      <c r="B643" t="str">
        <f t="shared" si="219"/>
        <v>ENTRADA</v>
      </c>
      <c r="C643" t="str">
        <f t="shared" si="220"/>
        <v>NFSE</v>
      </c>
      <c r="D643" t="str">
        <f t="shared" ref="D643:D648" si="225">"4044"</f>
        <v>4044</v>
      </c>
      <c r="E643" t="str">
        <f t="shared" si="221"/>
        <v>1</v>
      </c>
      <c r="F643" t="str">
        <f t="shared" si="222"/>
        <v>COM</v>
      </c>
      <c r="G643" t="str">
        <f t="shared" ref="G643:G648" si="226">"DROGALIDER 25 (10246)"</f>
        <v>DROGALIDER 25 (10246)</v>
      </c>
      <c r="H643" t="str">
        <f>"Serv.Prest. 08/12/2025 a 14/12/2025 - RPS: 1806 - NFSe: 4044"</f>
        <v>Serv.Prest. 08/12/2025 a 14/12/2025 - RPS: 1806 - NFSe: 4044</v>
      </c>
      <c r="I643" t="str">
        <f t="shared" si="223"/>
        <v>17/12/2025</v>
      </c>
      <c r="J643" t="str">
        <f t="shared" si="216"/>
        <v>15/12/2025</v>
      </c>
      <c r="K643" t="str">
        <f>("18/12/2025")</f>
        <v>18/12/2025</v>
      </c>
      <c r="L643">
        <v>559</v>
      </c>
      <c r="M643">
        <v>559</v>
      </c>
      <c r="N643">
        <v>303</v>
      </c>
      <c r="O643" t="str">
        <f>"RECEITAS COM ENTREGAS"</f>
        <v>RECEITAS COM ENTREGAS</v>
      </c>
      <c r="P643">
        <v>559</v>
      </c>
      <c r="S643" t="str">
        <f>"RECEITAS COM ENTREGAS (303)"</f>
        <v>RECEITAS COM ENTREGAS (303)</v>
      </c>
      <c r="T643">
        <v>3853</v>
      </c>
      <c r="U643">
        <v>3059</v>
      </c>
      <c r="V643" t="s">
        <v>36</v>
      </c>
    </row>
    <row r="644" spans="1:22">
      <c r="A644" t="str">
        <f t="shared" si="224"/>
        <v>18/12/2025</v>
      </c>
      <c r="B644" t="str">
        <f t="shared" si="219"/>
        <v>ENTRADA</v>
      </c>
      <c r="C644" t="str">
        <f t="shared" si="220"/>
        <v>NFSE</v>
      </c>
      <c r="D644" t="str">
        <f t="shared" si="225"/>
        <v>4044</v>
      </c>
      <c r="E644" t="str">
        <f t="shared" si="221"/>
        <v>1</v>
      </c>
      <c r="F644" t="str">
        <f t="shared" si="222"/>
        <v>COM</v>
      </c>
      <c r="G644" t="str">
        <f t="shared" si="226"/>
        <v>DROGALIDER 25 (10246)</v>
      </c>
      <c r="H644" t="s">
        <v>197</v>
      </c>
      <c r="I644" t="str">
        <f t="shared" si="223"/>
        <v>17/12/2025</v>
      </c>
      <c r="J644" t="str">
        <f t="shared" si="216"/>
        <v>15/12/2025</v>
      </c>
      <c r="K644">
        <v>46009</v>
      </c>
      <c r="N644">
        <v>303</v>
      </c>
      <c r="O644" t="s">
        <v>30</v>
      </c>
      <c r="Q644">
        <v>85.01</v>
      </c>
      <c r="R644" t="str">
        <f>"DROGALIDER 58 (10213)"</f>
        <v>DROGALIDER 58 (10213)</v>
      </c>
      <c r="S644" t="s">
        <v>31</v>
      </c>
      <c r="T644">
        <v>3853</v>
      </c>
      <c r="U644">
        <v>3059</v>
      </c>
      <c r="V644" t="s">
        <v>36</v>
      </c>
    </row>
    <row r="645" spans="1:22">
      <c r="A645" t="str">
        <f t="shared" si="224"/>
        <v>18/12/2025</v>
      </c>
      <c r="B645" t="str">
        <f t="shared" si="219"/>
        <v>ENTRADA</v>
      </c>
      <c r="C645" t="str">
        <f t="shared" si="220"/>
        <v>NFSE</v>
      </c>
      <c r="D645" t="str">
        <f t="shared" si="225"/>
        <v>4044</v>
      </c>
      <c r="E645" t="str">
        <f t="shared" si="221"/>
        <v>1</v>
      </c>
      <c r="F645" t="str">
        <f t="shared" si="222"/>
        <v>COM</v>
      </c>
      <c r="G645" t="str">
        <f t="shared" si="226"/>
        <v>DROGALIDER 25 (10246)</v>
      </c>
      <c r="H645" t="s">
        <v>197</v>
      </c>
      <c r="I645" t="str">
        <f t="shared" si="223"/>
        <v>17/12/2025</v>
      </c>
      <c r="J645" t="str">
        <f t="shared" si="216"/>
        <v>15/12/2025</v>
      </c>
      <c r="K645">
        <v>46009</v>
      </c>
      <c r="N645">
        <v>303</v>
      </c>
      <c r="O645" t="s">
        <v>30</v>
      </c>
      <c r="Q645">
        <v>212.98</v>
      </c>
      <c r="R645" t="str">
        <f>"DROGALIDER 25 (10246)"</f>
        <v>DROGALIDER 25 (10246)</v>
      </c>
      <c r="S645" t="s">
        <v>31</v>
      </c>
      <c r="T645">
        <v>3853</v>
      </c>
      <c r="U645">
        <v>3059</v>
      </c>
      <c r="V645" t="s">
        <v>36</v>
      </c>
    </row>
    <row r="646" spans="1:22">
      <c r="A646" t="str">
        <f t="shared" si="224"/>
        <v>18/12/2025</v>
      </c>
      <c r="B646" t="str">
        <f t="shared" si="219"/>
        <v>ENTRADA</v>
      </c>
      <c r="C646" t="str">
        <f t="shared" si="220"/>
        <v>NFSE</v>
      </c>
      <c r="D646" t="str">
        <f t="shared" si="225"/>
        <v>4044</v>
      </c>
      <c r="E646" t="str">
        <f t="shared" si="221"/>
        <v>1</v>
      </c>
      <c r="F646" t="str">
        <f t="shared" si="222"/>
        <v>COM</v>
      </c>
      <c r="G646" t="str">
        <f t="shared" si="226"/>
        <v>DROGALIDER 25 (10246)</v>
      </c>
      <c r="H646" t="s">
        <v>197</v>
      </c>
      <c r="I646" t="str">
        <f t="shared" si="223"/>
        <v>17/12/2025</v>
      </c>
      <c r="J646" t="str">
        <f t="shared" si="216"/>
        <v>15/12/2025</v>
      </c>
      <c r="K646">
        <v>46009</v>
      </c>
      <c r="N646">
        <v>303</v>
      </c>
      <c r="O646" t="s">
        <v>30</v>
      </c>
      <c r="Q646">
        <v>132.99</v>
      </c>
      <c r="R646" t="str">
        <f>"DROGALIDER 46 (10248)"</f>
        <v>DROGALIDER 46 (10248)</v>
      </c>
      <c r="S646" t="s">
        <v>31</v>
      </c>
      <c r="T646">
        <v>3853</v>
      </c>
      <c r="U646">
        <v>3059</v>
      </c>
      <c r="V646" t="s">
        <v>36</v>
      </c>
    </row>
    <row r="647" spans="1:22">
      <c r="A647" t="str">
        <f t="shared" si="224"/>
        <v>18/12/2025</v>
      </c>
      <c r="B647" t="str">
        <f t="shared" si="219"/>
        <v>ENTRADA</v>
      </c>
      <c r="C647" t="str">
        <f t="shared" si="220"/>
        <v>NFSE</v>
      </c>
      <c r="D647" t="str">
        <f t="shared" si="225"/>
        <v>4044</v>
      </c>
      <c r="E647" t="str">
        <f t="shared" si="221"/>
        <v>1</v>
      </c>
      <c r="F647" t="str">
        <f t="shared" si="222"/>
        <v>COM</v>
      </c>
      <c r="G647" t="str">
        <f t="shared" si="226"/>
        <v>DROGALIDER 25 (10246)</v>
      </c>
      <c r="H647" t="s">
        <v>197</v>
      </c>
      <c r="I647" t="str">
        <f t="shared" si="223"/>
        <v>17/12/2025</v>
      </c>
      <c r="J647" t="str">
        <f t="shared" si="216"/>
        <v>15/12/2025</v>
      </c>
      <c r="K647">
        <v>46009</v>
      </c>
      <c r="N647">
        <v>303</v>
      </c>
      <c r="O647" t="s">
        <v>30</v>
      </c>
      <c r="Q647">
        <v>64.010000000000005</v>
      </c>
      <c r="R647" t="str">
        <f>"DROGALIDER 64 (10250)"</f>
        <v>DROGALIDER 64 (10250)</v>
      </c>
      <c r="S647" t="s">
        <v>31</v>
      </c>
      <c r="T647">
        <v>3853</v>
      </c>
      <c r="U647">
        <v>3059</v>
      </c>
      <c r="V647" t="s">
        <v>36</v>
      </c>
    </row>
    <row r="648" spans="1:22">
      <c r="A648" t="str">
        <f t="shared" si="224"/>
        <v>18/12/2025</v>
      </c>
      <c r="B648" t="str">
        <f t="shared" si="219"/>
        <v>ENTRADA</v>
      </c>
      <c r="C648" t="str">
        <f t="shared" si="220"/>
        <v>NFSE</v>
      </c>
      <c r="D648" t="str">
        <f t="shared" si="225"/>
        <v>4044</v>
      </c>
      <c r="E648" t="str">
        <f t="shared" si="221"/>
        <v>1</v>
      </c>
      <c r="F648" t="str">
        <f t="shared" si="222"/>
        <v>COM</v>
      </c>
      <c r="G648" t="str">
        <f t="shared" si="226"/>
        <v>DROGALIDER 25 (10246)</v>
      </c>
      <c r="H648" t="s">
        <v>197</v>
      </c>
      <c r="I648" t="str">
        <f t="shared" si="223"/>
        <v>17/12/2025</v>
      </c>
      <c r="J648" t="str">
        <f t="shared" si="216"/>
        <v>15/12/2025</v>
      </c>
      <c r="K648">
        <v>46009</v>
      </c>
      <c r="N648">
        <v>303</v>
      </c>
      <c r="O648" t="s">
        <v>30</v>
      </c>
      <c r="Q648">
        <v>64.010000000000005</v>
      </c>
      <c r="R648" t="str">
        <f>"DROGALIDER 66 (10251)"</f>
        <v>DROGALIDER 66 (10251)</v>
      </c>
      <c r="S648" t="s">
        <v>31</v>
      </c>
      <c r="T648">
        <v>3853</v>
      </c>
      <c r="U648">
        <v>3059</v>
      </c>
      <c r="V648" t="s">
        <v>36</v>
      </c>
    </row>
    <row r="649" spans="1:22">
      <c r="A649" t="str">
        <f t="shared" si="224"/>
        <v>18/12/2025</v>
      </c>
      <c r="B649" t="str">
        <f t="shared" si="219"/>
        <v>ENTRADA</v>
      </c>
      <c r="C649" t="str">
        <f t="shared" si="220"/>
        <v>NFSE</v>
      </c>
      <c r="D649" t="str">
        <f t="shared" ref="D649:D654" si="227">"4045"</f>
        <v>4045</v>
      </c>
      <c r="E649" t="str">
        <f t="shared" si="221"/>
        <v>1</v>
      </c>
      <c r="F649" t="str">
        <f t="shared" si="222"/>
        <v>COM</v>
      </c>
      <c r="G649" t="str">
        <f t="shared" ref="G649:G654" si="228">"DROGALIDER 31 (10256)"</f>
        <v>DROGALIDER 31 (10256)</v>
      </c>
      <c r="H649" t="str">
        <f>"Serv.Prest. 08/12/2025 a 14/12/2025 - RPS: 1807 - NFSe: 4045"</f>
        <v>Serv.Prest. 08/12/2025 a 14/12/2025 - RPS: 1807 - NFSe: 4045</v>
      </c>
      <c r="I649" t="str">
        <f t="shared" si="223"/>
        <v>17/12/2025</v>
      </c>
      <c r="J649" t="str">
        <f t="shared" si="216"/>
        <v>15/12/2025</v>
      </c>
      <c r="K649" t="str">
        <f>("18/12/2025")</f>
        <v>18/12/2025</v>
      </c>
      <c r="L649">
        <v>600</v>
      </c>
      <c r="M649">
        <v>600</v>
      </c>
      <c r="N649">
        <v>303</v>
      </c>
      <c r="O649" t="str">
        <f>"RECEITAS COM ENTREGAS"</f>
        <v>RECEITAS COM ENTREGAS</v>
      </c>
      <c r="P649">
        <v>600</v>
      </c>
      <c r="S649" t="str">
        <f>"RECEITAS COM ENTREGAS (303)"</f>
        <v>RECEITAS COM ENTREGAS (303)</v>
      </c>
      <c r="T649">
        <v>3854</v>
      </c>
      <c r="U649">
        <v>3060</v>
      </c>
      <c r="V649" t="s">
        <v>36</v>
      </c>
    </row>
    <row r="650" spans="1:22">
      <c r="A650" t="str">
        <f t="shared" si="224"/>
        <v>18/12/2025</v>
      </c>
      <c r="B650" t="str">
        <f t="shared" si="219"/>
        <v>ENTRADA</v>
      </c>
      <c r="C650" t="str">
        <f t="shared" si="220"/>
        <v>NFSE</v>
      </c>
      <c r="D650" t="str">
        <f t="shared" si="227"/>
        <v>4045</v>
      </c>
      <c r="E650" t="str">
        <f t="shared" si="221"/>
        <v>1</v>
      </c>
      <c r="F650" t="str">
        <f t="shared" si="222"/>
        <v>COM</v>
      </c>
      <c r="G650" t="str">
        <f t="shared" si="228"/>
        <v>DROGALIDER 31 (10256)</v>
      </c>
      <c r="H650" t="s">
        <v>198</v>
      </c>
      <c r="I650" t="str">
        <f t="shared" si="223"/>
        <v>17/12/2025</v>
      </c>
      <c r="J650" t="str">
        <f t="shared" si="216"/>
        <v>15/12/2025</v>
      </c>
      <c r="K650">
        <v>46009</v>
      </c>
      <c r="N650">
        <v>303</v>
      </c>
      <c r="O650" t="s">
        <v>30</v>
      </c>
      <c r="Q650">
        <v>108.78</v>
      </c>
      <c r="R650" t="str">
        <f>"DROGALIDER 42 (10247)"</f>
        <v>DROGALIDER 42 (10247)</v>
      </c>
      <c r="S650" t="s">
        <v>31</v>
      </c>
      <c r="T650">
        <v>3854</v>
      </c>
      <c r="U650">
        <v>3060</v>
      </c>
      <c r="V650" t="s">
        <v>36</v>
      </c>
    </row>
    <row r="651" spans="1:22">
      <c r="A651" t="str">
        <f t="shared" si="224"/>
        <v>18/12/2025</v>
      </c>
      <c r="B651" t="str">
        <f t="shared" si="219"/>
        <v>ENTRADA</v>
      </c>
      <c r="C651" t="str">
        <f t="shared" si="220"/>
        <v>NFSE</v>
      </c>
      <c r="D651" t="str">
        <f t="shared" si="227"/>
        <v>4045</v>
      </c>
      <c r="E651" t="str">
        <f t="shared" si="221"/>
        <v>1</v>
      </c>
      <c r="F651" t="str">
        <f t="shared" si="222"/>
        <v>COM</v>
      </c>
      <c r="G651" t="str">
        <f t="shared" si="228"/>
        <v>DROGALIDER 31 (10256)</v>
      </c>
      <c r="H651" t="s">
        <v>198</v>
      </c>
      <c r="I651" t="str">
        <f t="shared" si="223"/>
        <v>17/12/2025</v>
      </c>
      <c r="J651" t="str">
        <f t="shared" ref="J651:J684" si="229">("15/12/2025")</f>
        <v>15/12/2025</v>
      </c>
      <c r="K651">
        <v>46009</v>
      </c>
      <c r="N651">
        <v>303</v>
      </c>
      <c r="O651" t="s">
        <v>30</v>
      </c>
      <c r="Q651">
        <v>108.78</v>
      </c>
      <c r="R651" t="str">
        <f>"DROGALIDER 55 (10249)"</f>
        <v>DROGALIDER 55 (10249)</v>
      </c>
      <c r="S651" t="s">
        <v>31</v>
      </c>
      <c r="T651">
        <v>3854</v>
      </c>
      <c r="U651">
        <v>3060</v>
      </c>
      <c r="V651" t="s">
        <v>36</v>
      </c>
    </row>
    <row r="652" spans="1:22">
      <c r="A652" t="str">
        <f t="shared" si="224"/>
        <v>18/12/2025</v>
      </c>
      <c r="B652" t="str">
        <f t="shared" si="219"/>
        <v>ENTRADA</v>
      </c>
      <c r="C652" t="str">
        <f t="shared" si="220"/>
        <v>NFSE</v>
      </c>
      <c r="D652" t="str">
        <f t="shared" si="227"/>
        <v>4045</v>
      </c>
      <c r="E652" t="str">
        <f t="shared" si="221"/>
        <v>1</v>
      </c>
      <c r="F652" t="str">
        <f t="shared" si="222"/>
        <v>COM</v>
      </c>
      <c r="G652" t="str">
        <f t="shared" si="228"/>
        <v>DROGALIDER 31 (10256)</v>
      </c>
      <c r="H652" t="s">
        <v>198</v>
      </c>
      <c r="I652" t="str">
        <f t="shared" si="223"/>
        <v>17/12/2025</v>
      </c>
      <c r="J652" t="str">
        <f t="shared" si="229"/>
        <v>15/12/2025</v>
      </c>
      <c r="K652">
        <v>46009</v>
      </c>
      <c r="N652">
        <v>303</v>
      </c>
      <c r="O652" t="s">
        <v>30</v>
      </c>
      <c r="Q652">
        <v>108.78</v>
      </c>
      <c r="R652" t="str">
        <f>"DROGALIDER 67 (10252)"</f>
        <v>DROGALIDER 67 (10252)</v>
      </c>
      <c r="S652" t="s">
        <v>31</v>
      </c>
      <c r="T652">
        <v>3854</v>
      </c>
      <c r="U652">
        <v>3060</v>
      </c>
      <c r="V652" t="s">
        <v>36</v>
      </c>
    </row>
    <row r="653" spans="1:22">
      <c r="A653" t="str">
        <f t="shared" si="224"/>
        <v>18/12/2025</v>
      </c>
      <c r="B653" t="str">
        <f t="shared" si="219"/>
        <v>ENTRADA</v>
      </c>
      <c r="C653" t="str">
        <f t="shared" si="220"/>
        <v>NFSE</v>
      </c>
      <c r="D653" t="str">
        <f t="shared" si="227"/>
        <v>4045</v>
      </c>
      <c r="E653" t="str">
        <f t="shared" si="221"/>
        <v>1</v>
      </c>
      <c r="F653" t="str">
        <f t="shared" si="222"/>
        <v>COM</v>
      </c>
      <c r="G653" t="str">
        <f t="shared" si="228"/>
        <v>DROGALIDER 31 (10256)</v>
      </c>
      <c r="H653" t="s">
        <v>198</v>
      </c>
      <c r="I653" t="str">
        <f t="shared" si="223"/>
        <v>17/12/2025</v>
      </c>
      <c r="J653" t="str">
        <f t="shared" si="229"/>
        <v>15/12/2025</v>
      </c>
      <c r="K653">
        <v>46009</v>
      </c>
      <c r="N653">
        <v>303</v>
      </c>
      <c r="O653" t="s">
        <v>30</v>
      </c>
      <c r="Q653">
        <v>97.5</v>
      </c>
      <c r="R653" t="str">
        <f>"DROGALIDER 68 (10253)"</f>
        <v>DROGALIDER 68 (10253)</v>
      </c>
      <c r="S653" t="s">
        <v>31</v>
      </c>
      <c r="T653">
        <v>3854</v>
      </c>
      <c r="U653">
        <v>3060</v>
      </c>
      <c r="V653" t="s">
        <v>36</v>
      </c>
    </row>
    <row r="654" spans="1:22">
      <c r="A654" t="str">
        <f t="shared" si="224"/>
        <v>18/12/2025</v>
      </c>
      <c r="B654" t="str">
        <f t="shared" si="219"/>
        <v>ENTRADA</v>
      </c>
      <c r="C654" t="str">
        <f t="shared" si="220"/>
        <v>NFSE</v>
      </c>
      <c r="D654" t="str">
        <f t="shared" si="227"/>
        <v>4045</v>
      </c>
      <c r="E654" t="str">
        <f t="shared" si="221"/>
        <v>1</v>
      </c>
      <c r="F654" t="str">
        <f t="shared" si="222"/>
        <v>COM</v>
      </c>
      <c r="G654" t="str">
        <f t="shared" si="228"/>
        <v>DROGALIDER 31 (10256)</v>
      </c>
      <c r="H654" t="s">
        <v>198</v>
      </c>
      <c r="I654" t="str">
        <f t="shared" si="223"/>
        <v>17/12/2025</v>
      </c>
      <c r="J654" t="str">
        <f t="shared" si="229"/>
        <v>15/12/2025</v>
      </c>
      <c r="K654">
        <v>46009</v>
      </c>
      <c r="N654">
        <v>303</v>
      </c>
      <c r="O654" t="s">
        <v>30</v>
      </c>
      <c r="Q654">
        <v>176.16</v>
      </c>
      <c r="R654" t="str">
        <f>"DROGALIDER 31 (10256)"</f>
        <v>DROGALIDER 31 (10256)</v>
      </c>
      <c r="S654" t="s">
        <v>31</v>
      </c>
      <c r="T654">
        <v>3854</v>
      </c>
      <c r="U654">
        <v>3060</v>
      </c>
      <c r="V654" t="s">
        <v>36</v>
      </c>
    </row>
    <row r="655" spans="1:22">
      <c r="A655" t="str">
        <f t="shared" si="224"/>
        <v>18/12/2025</v>
      </c>
      <c r="B655" t="str">
        <f t="shared" si="219"/>
        <v>ENTRADA</v>
      </c>
      <c r="C655" t="str">
        <f t="shared" si="220"/>
        <v>NFSE</v>
      </c>
      <c r="D655" t="str">
        <f>"4046"</f>
        <v>4046</v>
      </c>
      <c r="E655" t="str">
        <f t="shared" si="221"/>
        <v>1</v>
      </c>
      <c r="F655" t="str">
        <f t="shared" si="222"/>
        <v>COM</v>
      </c>
      <c r="G655" t="str">
        <f>"DROGARIA AGAPEAMA (10167)"</f>
        <v>DROGARIA AGAPEAMA (10167)</v>
      </c>
      <c r="H655" t="str">
        <f>"Serv.Prest. 08/12/2025 a 14/12/2025 - RPS: 1808 - NFSe: 4046"</f>
        <v>Serv.Prest. 08/12/2025 a 14/12/2025 - RPS: 1808 - NFSe: 4046</v>
      </c>
      <c r="I655" t="str">
        <f t="shared" si="223"/>
        <v>17/12/2025</v>
      </c>
      <c r="J655" t="str">
        <f t="shared" si="229"/>
        <v>15/12/2025</v>
      </c>
      <c r="K655" t="str">
        <f>("18/12/2025")</f>
        <v>18/12/2025</v>
      </c>
      <c r="L655">
        <v>402.4</v>
      </c>
      <c r="M655">
        <v>402.4</v>
      </c>
      <c r="N655">
        <v>303</v>
      </c>
      <c r="O655" t="str">
        <f>"RECEITAS COM ENTREGAS"</f>
        <v>RECEITAS COM ENTREGAS</v>
      </c>
      <c r="P655">
        <v>402.4</v>
      </c>
      <c r="S655" t="str">
        <f>"RECEITAS COM ENTREGAS (303)"</f>
        <v>RECEITAS COM ENTREGAS (303)</v>
      </c>
      <c r="T655">
        <v>3855</v>
      </c>
      <c r="U655">
        <v>3061</v>
      </c>
      <c r="V655" t="s">
        <v>36</v>
      </c>
    </row>
    <row r="656" spans="1:22">
      <c r="A656" t="str">
        <f t="shared" si="224"/>
        <v>18/12/2025</v>
      </c>
      <c r="B656" t="str">
        <f t="shared" si="219"/>
        <v>ENTRADA</v>
      </c>
      <c r="C656" t="str">
        <f t="shared" si="220"/>
        <v>NFSE</v>
      </c>
      <c r="D656" t="str">
        <f>"4046"</f>
        <v>4046</v>
      </c>
      <c r="E656" t="str">
        <f t="shared" si="221"/>
        <v>1</v>
      </c>
      <c r="F656" t="str">
        <f t="shared" si="222"/>
        <v>COM</v>
      </c>
      <c r="G656" t="str">
        <f>"DROGARIA AGAPEAMA (10167)"</f>
        <v>DROGARIA AGAPEAMA (10167)</v>
      </c>
      <c r="H656" t="s">
        <v>199</v>
      </c>
      <c r="I656" t="str">
        <f t="shared" si="223"/>
        <v>17/12/2025</v>
      </c>
      <c r="J656" t="str">
        <f t="shared" si="229"/>
        <v>15/12/2025</v>
      </c>
      <c r="K656">
        <v>46009</v>
      </c>
      <c r="N656">
        <v>303</v>
      </c>
      <c r="O656" t="s">
        <v>30</v>
      </c>
      <c r="Q656">
        <v>402.4</v>
      </c>
      <c r="R656" t="str">
        <f>"DROGARIA AGAPEAMA (10167)"</f>
        <v>DROGARIA AGAPEAMA (10167)</v>
      </c>
      <c r="S656" t="s">
        <v>31</v>
      </c>
      <c r="T656">
        <v>3855</v>
      </c>
      <c r="U656">
        <v>3061</v>
      </c>
      <c r="V656" t="s">
        <v>36</v>
      </c>
    </row>
    <row r="657" spans="1:22">
      <c r="A657" t="str">
        <f t="shared" si="224"/>
        <v>18/12/2025</v>
      </c>
      <c r="B657" t="str">
        <f t="shared" si="219"/>
        <v>ENTRADA</v>
      </c>
      <c r="C657" t="str">
        <f t="shared" si="220"/>
        <v>NFSE</v>
      </c>
      <c r="D657" t="str">
        <f>"4047"</f>
        <v>4047</v>
      </c>
      <c r="E657" t="str">
        <f t="shared" si="221"/>
        <v>1</v>
      </c>
      <c r="F657" t="str">
        <f t="shared" si="222"/>
        <v>COM</v>
      </c>
      <c r="G657" t="str">
        <f>"DROGARIA ANA VISCONDE DO RIO BRANCO (10182)"</f>
        <v>DROGARIA ANA VISCONDE DO RIO BRANCO (10182)</v>
      </c>
      <c r="H657" t="str">
        <f>"Serv.Prest. 08/12/2025 a 14/12/2025 - RPS: 1809 - NFSe: 4047"</f>
        <v>Serv.Prest. 08/12/2025 a 14/12/2025 - RPS: 1809 - NFSe: 4047</v>
      </c>
      <c r="I657" t="str">
        <f t="shared" si="223"/>
        <v>17/12/2025</v>
      </c>
      <c r="J657" t="str">
        <f t="shared" si="229"/>
        <v>15/12/2025</v>
      </c>
      <c r="K657" t="str">
        <f>("18/12/2025")</f>
        <v>18/12/2025</v>
      </c>
      <c r="L657">
        <v>792.45</v>
      </c>
      <c r="M657">
        <v>792.45</v>
      </c>
      <c r="N657">
        <v>303</v>
      </c>
      <c r="O657" t="str">
        <f>"RECEITAS COM ENTREGAS"</f>
        <v>RECEITAS COM ENTREGAS</v>
      </c>
      <c r="P657">
        <v>792.45</v>
      </c>
      <c r="S657" t="str">
        <f>"RECEITAS COM ENTREGAS (303)"</f>
        <v>RECEITAS COM ENTREGAS (303)</v>
      </c>
      <c r="T657">
        <v>3856</v>
      </c>
      <c r="U657">
        <v>3062</v>
      </c>
      <c r="V657" t="s">
        <v>36</v>
      </c>
    </row>
    <row r="658" spans="1:22">
      <c r="A658" t="str">
        <f t="shared" si="224"/>
        <v>18/12/2025</v>
      </c>
      <c r="B658" t="str">
        <f t="shared" si="219"/>
        <v>ENTRADA</v>
      </c>
      <c r="C658" t="str">
        <f t="shared" si="220"/>
        <v>NFSE</v>
      </c>
      <c r="D658" t="str">
        <f>"4047"</f>
        <v>4047</v>
      </c>
      <c r="E658" t="str">
        <f t="shared" si="221"/>
        <v>1</v>
      </c>
      <c r="F658" t="str">
        <f t="shared" si="222"/>
        <v>COM</v>
      </c>
      <c r="G658" t="str">
        <f>"DROGARIA ANA VISCONDE DO RIO BRANCO (10182)"</f>
        <v>DROGARIA ANA VISCONDE DO RIO BRANCO (10182)</v>
      </c>
      <c r="H658" t="s">
        <v>200</v>
      </c>
      <c r="I658" t="str">
        <f t="shared" si="223"/>
        <v>17/12/2025</v>
      </c>
      <c r="J658" t="str">
        <f t="shared" si="229"/>
        <v>15/12/2025</v>
      </c>
      <c r="K658">
        <v>46009</v>
      </c>
      <c r="N658">
        <v>303</v>
      </c>
      <c r="O658" t="s">
        <v>30</v>
      </c>
      <c r="Q658">
        <v>792.45</v>
      </c>
      <c r="R658" t="str">
        <f>"DROGARIA ANA VISCONDE DO RIO BRANCO (10182)"</f>
        <v>DROGARIA ANA VISCONDE DO RIO BRANCO (10182)</v>
      </c>
      <c r="S658" t="s">
        <v>31</v>
      </c>
      <c r="T658">
        <v>3856</v>
      </c>
      <c r="U658">
        <v>3062</v>
      </c>
      <c r="V658" t="s">
        <v>36</v>
      </c>
    </row>
    <row r="659" spans="1:22">
      <c r="A659" t="str">
        <f t="shared" si="224"/>
        <v>18/12/2025</v>
      </c>
      <c r="B659" t="str">
        <f t="shared" si="219"/>
        <v>ENTRADA</v>
      </c>
      <c r="C659" t="str">
        <f t="shared" si="220"/>
        <v>NFSE</v>
      </c>
      <c r="D659" t="str">
        <f>"4048"</f>
        <v>4048</v>
      </c>
      <c r="E659" t="str">
        <f t="shared" si="221"/>
        <v>1</v>
      </c>
      <c r="F659" t="str">
        <f t="shared" si="222"/>
        <v>COM</v>
      </c>
      <c r="G659" t="str">
        <f>"DROGARIA MEDIC CENTER LTDA (10172)"</f>
        <v>DROGARIA MEDIC CENTER LTDA (10172)</v>
      </c>
      <c r="H659" t="str">
        <f>"Serv.Prest. 08/12/2025 a 14/12/2025 - RPS: 1810 - NFSe: 4048"</f>
        <v>Serv.Prest. 08/12/2025 a 14/12/2025 - RPS: 1810 - NFSe: 4048</v>
      </c>
      <c r="I659" t="str">
        <f t="shared" si="223"/>
        <v>17/12/2025</v>
      </c>
      <c r="J659" t="str">
        <f t="shared" si="229"/>
        <v>15/12/2025</v>
      </c>
      <c r="K659" t="str">
        <f>("18/12/2025")</f>
        <v>18/12/2025</v>
      </c>
      <c r="L659">
        <v>99.9</v>
      </c>
      <c r="M659">
        <v>99.9</v>
      </c>
      <c r="N659">
        <v>303</v>
      </c>
      <c r="O659" t="str">
        <f>"RECEITAS COM ENTREGAS"</f>
        <v>RECEITAS COM ENTREGAS</v>
      </c>
      <c r="P659">
        <v>99.9</v>
      </c>
      <c r="S659" t="str">
        <f>"RECEITAS COM ENTREGAS (303)"</f>
        <v>RECEITAS COM ENTREGAS (303)</v>
      </c>
      <c r="T659">
        <v>3857</v>
      </c>
      <c r="U659">
        <v>3063</v>
      </c>
      <c r="V659" t="s">
        <v>36</v>
      </c>
    </row>
    <row r="660" spans="1:22">
      <c r="A660" t="str">
        <f t="shared" si="224"/>
        <v>18/12/2025</v>
      </c>
      <c r="B660" t="str">
        <f t="shared" si="219"/>
        <v>ENTRADA</v>
      </c>
      <c r="C660" t="str">
        <f t="shared" si="220"/>
        <v>NFSE</v>
      </c>
      <c r="D660" t="str">
        <f>"4048"</f>
        <v>4048</v>
      </c>
      <c r="E660" t="str">
        <f t="shared" si="221"/>
        <v>1</v>
      </c>
      <c r="F660" t="str">
        <f t="shared" si="222"/>
        <v>COM</v>
      </c>
      <c r="G660" t="str">
        <f>"DROGARIA MEDIC CENTER LTDA (10172)"</f>
        <v>DROGARIA MEDIC CENTER LTDA (10172)</v>
      </c>
      <c r="H660" t="s">
        <v>201</v>
      </c>
      <c r="I660" t="str">
        <f t="shared" si="223"/>
        <v>17/12/2025</v>
      </c>
      <c r="J660" t="str">
        <f t="shared" si="229"/>
        <v>15/12/2025</v>
      </c>
      <c r="K660">
        <v>46009</v>
      </c>
      <c r="N660">
        <v>303</v>
      </c>
      <c r="O660" t="s">
        <v>30</v>
      </c>
      <c r="Q660">
        <v>99.9</v>
      </c>
      <c r="R660" t="str">
        <f>"DROGARIA MEDIC CENTER LTDA (10172)"</f>
        <v>DROGARIA MEDIC CENTER LTDA (10172)</v>
      </c>
      <c r="S660" t="s">
        <v>31</v>
      </c>
      <c r="T660">
        <v>3857</v>
      </c>
      <c r="U660">
        <v>3063</v>
      </c>
      <c r="V660" t="s">
        <v>36</v>
      </c>
    </row>
    <row r="661" spans="1:22">
      <c r="A661" t="str">
        <f t="shared" si="224"/>
        <v>18/12/2025</v>
      </c>
      <c r="B661" t="str">
        <f t="shared" si="219"/>
        <v>ENTRADA</v>
      </c>
      <c r="C661" t="str">
        <f t="shared" si="220"/>
        <v>NFSE</v>
      </c>
      <c r="D661" t="str">
        <f>"4049"</f>
        <v>4049</v>
      </c>
      <c r="E661" t="str">
        <f t="shared" si="221"/>
        <v>1</v>
      </c>
      <c r="F661" t="str">
        <f t="shared" si="222"/>
        <v>COM</v>
      </c>
      <c r="G661" t="str">
        <f>"DROGARIA MORENO LTDA (10171)"</f>
        <v>DROGARIA MORENO LTDA (10171)</v>
      </c>
      <c r="H661" t="str">
        <f>"Serv.Prest. 08/12/2025 a 14/12/2025 - RPS: 1811 - NFSe: 4049"</f>
        <v>Serv.Prest. 08/12/2025 a 14/12/2025 - RPS: 1811 - NFSe: 4049</v>
      </c>
      <c r="I661" t="str">
        <f t="shared" si="223"/>
        <v>17/12/2025</v>
      </c>
      <c r="J661" t="str">
        <f t="shared" si="229"/>
        <v>15/12/2025</v>
      </c>
      <c r="K661" t="str">
        <f>("18/12/2025")</f>
        <v>18/12/2025</v>
      </c>
      <c r="L661">
        <v>419.4</v>
      </c>
      <c r="M661">
        <v>419.4</v>
      </c>
      <c r="N661">
        <v>303</v>
      </c>
      <c r="O661" t="str">
        <f>"RECEITAS COM ENTREGAS"</f>
        <v>RECEITAS COM ENTREGAS</v>
      </c>
      <c r="P661">
        <v>419.4</v>
      </c>
      <c r="S661" t="str">
        <f>"RECEITAS COM ENTREGAS (303)"</f>
        <v>RECEITAS COM ENTREGAS (303)</v>
      </c>
      <c r="T661">
        <v>3858</v>
      </c>
      <c r="U661">
        <v>3064</v>
      </c>
      <c r="V661" t="s">
        <v>36</v>
      </c>
    </row>
    <row r="662" spans="1:22">
      <c r="A662" t="str">
        <f t="shared" si="224"/>
        <v>18/12/2025</v>
      </c>
      <c r="B662" t="str">
        <f t="shared" si="219"/>
        <v>ENTRADA</v>
      </c>
      <c r="C662" t="str">
        <f t="shared" si="220"/>
        <v>NFSE</v>
      </c>
      <c r="D662" t="str">
        <f>"4049"</f>
        <v>4049</v>
      </c>
      <c r="E662" t="str">
        <f t="shared" si="221"/>
        <v>1</v>
      </c>
      <c r="F662" t="str">
        <f t="shared" si="222"/>
        <v>COM</v>
      </c>
      <c r="G662" t="str">
        <f>"DROGARIA MORENO LTDA (10171)"</f>
        <v>DROGARIA MORENO LTDA (10171)</v>
      </c>
      <c r="H662" t="s">
        <v>202</v>
      </c>
      <c r="I662" t="str">
        <f t="shared" si="223"/>
        <v>17/12/2025</v>
      </c>
      <c r="J662" t="str">
        <f t="shared" si="229"/>
        <v>15/12/2025</v>
      </c>
      <c r="K662">
        <v>46009</v>
      </c>
      <c r="N662">
        <v>303</v>
      </c>
      <c r="O662" t="s">
        <v>30</v>
      </c>
      <c r="Q662">
        <v>419.4</v>
      </c>
      <c r="R662" t="str">
        <f>"DROGARIA MORENO LTDA (10171)"</f>
        <v>DROGARIA MORENO LTDA (10171)</v>
      </c>
      <c r="S662" t="s">
        <v>31</v>
      </c>
      <c r="T662">
        <v>3858</v>
      </c>
      <c r="U662">
        <v>3064</v>
      </c>
      <c r="V662" t="s">
        <v>36</v>
      </c>
    </row>
    <row r="663" spans="1:22">
      <c r="A663" t="str">
        <f t="shared" si="224"/>
        <v>18/12/2025</v>
      </c>
      <c r="B663" t="str">
        <f t="shared" si="219"/>
        <v>ENTRADA</v>
      </c>
      <c r="C663" t="str">
        <f t="shared" si="220"/>
        <v>NFSE</v>
      </c>
      <c r="D663" t="str">
        <f>"4052"</f>
        <v>4052</v>
      </c>
      <c r="E663" t="str">
        <f t="shared" si="221"/>
        <v>1</v>
      </c>
      <c r="F663" t="str">
        <f t="shared" si="222"/>
        <v>COM</v>
      </c>
      <c r="G663" t="str">
        <f>"ENTREFARMA (10164)"</f>
        <v>ENTREFARMA (10164)</v>
      </c>
      <c r="H663" t="str">
        <f>"Serv.Prest. 08/12/2025 a 14/12/2025 - RPS: 1814 - NFSe: 4052"</f>
        <v>Serv.Prest. 08/12/2025 a 14/12/2025 - RPS: 1814 - NFSe: 4052</v>
      </c>
      <c r="I663" t="str">
        <f t="shared" si="223"/>
        <v>17/12/2025</v>
      </c>
      <c r="J663" t="str">
        <f t="shared" si="229"/>
        <v>15/12/2025</v>
      </c>
      <c r="K663" t="str">
        <f>("18/12/2025")</f>
        <v>18/12/2025</v>
      </c>
      <c r="L663">
        <v>1090.1199999999999</v>
      </c>
      <c r="M663">
        <v>1090.1199999999999</v>
      </c>
      <c r="N663">
        <v>303</v>
      </c>
      <c r="O663" t="str">
        <f>"RECEITAS COM ENTREGAS"</f>
        <v>RECEITAS COM ENTREGAS</v>
      </c>
      <c r="P663">
        <v>1090.1199999999999</v>
      </c>
      <c r="S663" t="str">
        <f>"RECEITAS COM ENTREGAS (303)"</f>
        <v>RECEITAS COM ENTREGAS (303)</v>
      </c>
      <c r="T663">
        <v>3859</v>
      </c>
      <c r="U663">
        <v>3067</v>
      </c>
      <c r="V663" t="s">
        <v>36</v>
      </c>
    </row>
    <row r="664" spans="1:22">
      <c r="A664" t="str">
        <f t="shared" si="224"/>
        <v>18/12/2025</v>
      </c>
      <c r="B664" t="str">
        <f t="shared" si="219"/>
        <v>ENTRADA</v>
      </c>
      <c r="C664" t="str">
        <f t="shared" si="220"/>
        <v>NFSE</v>
      </c>
      <c r="D664" t="str">
        <f>"4052"</f>
        <v>4052</v>
      </c>
      <c r="E664" t="str">
        <f t="shared" si="221"/>
        <v>1</v>
      </c>
      <c r="F664" t="str">
        <f t="shared" si="222"/>
        <v>COM</v>
      </c>
      <c r="G664" t="str">
        <f>"ENTREFARMA (10164)"</f>
        <v>ENTREFARMA (10164)</v>
      </c>
      <c r="H664" t="s">
        <v>203</v>
      </c>
      <c r="I664" t="str">
        <f t="shared" si="223"/>
        <v>17/12/2025</v>
      </c>
      <c r="J664" t="str">
        <f t="shared" si="229"/>
        <v>15/12/2025</v>
      </c>
      <c r="K664">
        <v>46009</v>
      </c>
      <c r="N664">
        <v>303</v>
      </c>
      <c r="O664" t="s">
        <v>30</v>
      </c>
      <c r="Q664">
        <v>1090.1199999999999</v>
      </c>
      <c r="R664" t="str">
        <f>"ENTREFARMA (10164)"</f>
        <v>ENTREFARMA (10164)</v>
      </c>
      <c r="S664" t="s">
        <v>31</v>
      </c>
      <c r="T664">
        <v>3859</v>
      </c>
      <c r="U664">
        <v>3067</v>
      </c>
      <c r="V664" t="s">
        <v>36</v>
      </c>
    </row>
    <row r="665" spans="1:22">
      <c r="A665" t="str">
        <f t="shared" si="224"/>
        <v>18/12/2025</v>
      </c>
      <c r="B665" t="str">
        <f t="shared" si="219"/>
        <v>ENTRADA</v>
      </c>
      <c r="C665" t="str">
        <f t="shared" si="220"/>
        <v>NFSE</v>
      </c>
      <c r="D665" t="str">
        <f>"4053"</f>
        <v>4053</v>
      </c>
      <c r="E665" t="str">
        <f t="shared" si="221"/>
        <v>1</v>
      </c>
      <c r="F665" t="str">
        <f t="shared" si="222"/>
        <v>COM</v>
      </c>
      <c r="G665" t="str">
        <f>"FRAN FARMA (10124)"</f>
        <v>FRAN FARMA (10124)</v>
      </c>
      <c r="H665" t="str">
        <f>"Serv.Prest. 08/12/2025 a 14/12/2025 - RPS: 1815 - NFSe: 4053"</f>
        <v>Serv.Prest. 08/12/2025 a 14/12/2025 - RPS: 1815 - NFSe: 4053</v>
      </c>
      <c r="I665" t="str">
        <f t="shared" si="223"/>
        <v>17/12/2025</v>
      </c>
      <c r="J665" t="str">
        <f t="shared" si="229"/>
        <v>15/12/2025</v>
      </c>
      <c r="K665" t="str">
        <f>("18/12/2025")</f>
        <v>18/12/2025</v>
      </c>
      <c r="L665">
        <v>160</v>
      </c>
      <c r="M665">
        <v>160</v>
      </c>
      <c r="N665">
        <v>303</v>
      </c>
      <c r="O665" t="str">
        <f>"RECEITAS COM ENTREGAS"</f>
        <v>RECEITAS COM ENTREGAS</v>
      </c>
      <c r="P665">
        <v>160</v>
      </c>
      <c r="S665" t="str">
        <f>"RECEITAS COM ENTREGAS (303)"</f>
        <v>RECEITAS COM ENTREGAS (303)</v>
      </c>
      <c r="T665">
        <v>3860</v>
      </c>
      <c r="U665">
        <v>3068</v>
      </c>
      <c r="V665" t="s">
        <v>36</v>
      </c>
    </row>
    <row r="666" spans="1:22">
      <c r="A666" t="str">
        <f t="shared" si="224"/>
        <v>18/12/2025</v>
      </c>
      <c r="B666" t="str">
        <f t="shared" si="219"/>
        <v>ENTRADA</v>
      </c>
      <c r="C666" t="str">
        <f t="shared" si="220"/>
        <v>NFSE</v>
      </c>
      <c r="D666" t="str">
        <f>"4053"</f>
        <v>4053</v>
      </c>
      <c r="E666" t="str">
        <f t="shared" si="221"/>
        <v>1</v>
      </c>
      <c r="F666" t="str">
        <f t="shared" si="222"/>
        <v>COM</v>
      </c>
      <c r="G666" t="str">
        <f>"FRAN FARMA (10124)"</f>
        <v>FRAN FARMA (10124)</v>
      </c>
      <c r="H666" t="s">
        <v>204</v>
      </c>
      <c r="I666" t="str">
        <f t="shared" si="223"/>
        <v>17/12/2025</v>
      </c>
      <c r="J666" t="str">
        <f t="shared" si="229"/>
        <v>15/12/2025</v>
      </c>
      <c r="K666">
        <v>46009</v>
      </c>
      <c r="N666">
        <v>303</v>
      </c>
      <c r="O666" t="s">
        <v>30</v>
      </c>
      <c r="Q666">
        <v>160</v>
      </c>
      <c r="R666" t="str">
        <f>"FRAN FARMA LJ 2 (10131)"</f>
        <v>FRAN FARMA LJ 2 (10131)</v>
      </c>
      <c r="S666" t="s">
        <v>31</v>
      </c>
      <c r="T666">
        <v>3860</v>
      </c>
      <c r="U666">
        <v>3068</v>
      </c>
      <c r="V666" t="s">
        <v>36</v>
      </c>
    </row>
    <row r="667" spans="1:22">
      <c r="A667" t="str">
        <f t="shared" si="224"/>
        <v>18/12/2025</v>
      </c>
      <c r="B667" t="str">
        <f t="shared" si="219"/>
        <v>ENTRADA</v>
      </c>
      <c r="C667" t="str">
        <f t="shared" si="220"/>
        <v>NFSE</v>
      </c>
      <c r="D667" t="str">
        <f>"4056"</f>
        <v>4056</v>
      </c>
      <c r="E667" t="str">
        <f t="shared" si="221"/>
        <v>1</v>
      </c>
      <c r="F667" t="str">
        <f t="shared" si="222"/>
        <v>COM</v>
      </c>
      <c r="G667" t="str">
        <f>"ULTRA POPULAR  UBA 2 (10214)"</f>
        <v>ULTRA POPULAR  UBA 2 (10214)</v>
      </c>
      <c r="H667" t="str">
        <f>"Serv.Prest. 08/12/2025 a 14/12/2025 - RPS: 1818 - NFSe: 4056"</f>
        <v>Serv.Prest. 08/12/2025 a 14/12/2025 - RPS: 1818 - NFSe: 4056</v>
      </c>
      <c r="I667" t="str">
        <f t="shared" si="223"/>
        <v>17/12/2025</v>
      </c>
      <c r="J667" t="str">
        <f t="shared" si="229"/>
        <v>15/12/2025</v>
      </c>
      <c r="K667" t="str">
        <f>("18/12/2025")</f>
        <v>18/12/2025</v>
      </c>
      <c r="L667">
        <v>108.76</v>
      </c>
      <c r="M667">
        <v>108.76</v>
      </c>
      <c r="N667">
        <v>303</v>
      </c>
      <c r="O667" t="str">
        <f>"RECEITAS COM ENTREGAS"</f>
        <v>RECEITAS COM ENTREGAS</v>
      </c>
      <c r="P667">
        <v>108.76</v>
      </c>
      <c r="S667" t="str">
        <f>"RECEITAS COM ENTREGAS (303)"</f>
        <v>RECEITAS COM ENTREGAS (303)</v>
      </c>
      <c r="T667">
        <v>3861</v>
      </c>
      <c r="U667">
        <v>3071</v>
      </c>
      <c r="V667" t="s">
        <v>36</v>
      </c>
    </row>
    <row r="668" spans="1:22">
      <c r="A668" t="str">
        <f t="shared" si="224"/>
        <v>18/12/2025</v>
      </c>
      <c r="B668" t="str">
        <f t="shared" si="219"/>
        <v>ENTRADA</v>
      </c>
      <c r="C668" t="str">
        <f t="shared" si="220"/>
        <v>NFSE</v>
      </c>
      <c r="D668" t="str">
        <f>"4056"</f>
        <v>4056</v>
      </c>
      <c r="E668" t="str">
        <f t="shared" si="221"/>
        <v>1</v>
      </c>
      <c r="F668" t="str">
        <f t="shared" si="222"/>
        <v>COM</v>
      </c>
      <c r="G668" t="str">
        <f>"ULTRA POPULAR  UBA 2 (10214)"</f>
        <v>ULTRA POPULAR  UBA 2 (10214)</v>
      </c>
      <c r="H668" t="s">
        <v>205</v>
      </c>
      <c r="I668" t="str">
        <f t="shared" si="223"/>
        <v>17/12/2025</v>
      </c>
      <c r="J668" t="str">
        <f t="shared" si="229"/>
        <v>15/12/2025</v>
      </c>
      <c r="K668">
        <v>46009</v>
      </c>
      <c r="N668">
        <v>303</v>
      </c>
      <c r="O668" t="s">
        <v>30</v>
      </c>
      <c r="Q668">
        <v>72.930000000000007</v>
      </c>
      <c r="R668" t="str">
        <f>"ULTRA POPULAR  UBA 2 (10214)"</f>
        <v>ULTRA POPULAR  UBA 2 (10214)</v>
      </c>
      <c r="S668" t="s">
        <v>31</v>
      </c>
      <c r="T668">
        <v>3861</v>
      </c>
      <c r="U668">
        <v>3071</v>
      </c>
      <c r="V668" t="s">
        <v>36</v>
      </c>
    </row>
    <row r="669" spans="1:22">
      <c r="A669" t="str">
        <f t="shared" si="224"/>
        <v>18/12/2025</v>
      </c>
      <c r="B669" t="str">
        <f t="shared" si="219"/>
        <v>ENTRADA</v>
      </c>
      <c r="C669" t="str">
        <f t="shared" si="220"/>
        <v>NFSE</v>
      </c>
      <c r="D669" t="str">
        <f>"4056"</f>
        <v>4056</v>
      </c>
      <c r="E669" t="str">
        <f t="shared" si="221"/>
        <v>1</v>
      </c>
      <c r="F669" t="str">
        <f t="shared" si="222"/>
        <v>COM</v>
      </c>
      <c r="G669" t="str">
        <f>"ULTRA POPULAR  UBA 2 (10214)"</f>
        <v>ULTRA POPULAR  UBA 2 (10214)</v>
      </c>
      <c r="H669" t="s">
        <v>205</v>
      </c>
      <c r="I669" t="str">
        <f t="shared" si="223"/>
        <v>17/12/2025</v>
      </c>
      <c r="J669" t="str">
        <f t="shared" si="229"/>
        <v>15/12/2025</v>
      </c>
      <c r="K669">
        <v>46009</v>
      </c>
      <c r="N669">
        <v>303</v>
      </c>
      <c r="O669" t="s">
        <v>30</v>
      </c>
      <c r="Q669">
        <v>35.83</v>
      </c>
      <c r="R669" t="str">
        <f>"UBA 1 (10263)"</f>
        <v>UBA 1 (10263)</v>
      </c>
      <c r="S669" t="s">
        <v>31</v>
      </c>
      <c r="T669">
        <v>3861</v>
      </c>
      <c r="U669">
        <v>3071</v>
      </c>
      <c r="V669" t="s">
        <v>36</v>
      </c>
    </row>
    <row r="670" spans="1:22">
      <c r="A670" t="str">
        <f t="shared" si="224"/>
        <v>18/12/2025</v>
      </c>
      <c r="B670" t="str">
        <f t="shared" si="219"/>
        <v>ENTRADA</v>
      </c>
      <c r="C670" t="str">
        <f t="shared" si="220"/>
        <v>NFSE</v>
      </c>
      <c r="D670" t="str">
        <f>"4057"</f>
        <v>4057</v>
      </c>
      <c r="E670" t="str">
        <f t="shared" si="221"/>
        <v>1</v>
      </c>
      <c r="F670" t="str">
        <f t="shared" si="222"/>
        <v>COM</v>
      </c>
      <c r="G670" t="str">
        <f>"DROGA ELIDA (10121)"</f>
        <v>DROGA ELIDA (10121)</v>
      </c>
      <c r="H670" t="str">
        <f>"Serv.Prest. 08/12/2025 a 14/12/2025 - RPS: 1819 - NFSe: 4057"</f>
        <v>Serv.Prest. 08/12/2025 a 14/12/2025 - RPS: 1819 - NFSe: 4057</v>
      </c>
      <c r="I670" t="str">
        <f t="shared" si="223"/>
        <v>17/12/2025</v>
      </c>
      <c r="J670" t="str">
        <f t="shared" si="229"/>
        <v>15/12/2025</v>
      </c>
      <c r="K670" t="str">
        <f>("18/12/2025")</f>
        <v>18/12/2025</v>
      </c>
      <c r="L670">
        <v>328.5</v>
      </c>
      <c r="M670">
        <v>328.5</v>
      </c>
      <c r="N670">
        <v>303</v>
      </c>
      <c r="O670" t="str">
        <f>"RECEITAS COM ENTREGAS"</f>
        <v>RECEITAS COM ENTREGAS</v>
      </c>
      <c r="P670">
        <v>328.5</v>
      </c>
      <c r="S670" t="str">
        <f>"RECEITAS COM ENTREGAS (303)"</f>
        <v>RECEITAS COM ENTREGAS (303)</v>
      </c>
      <c r="T670">
        <v>3862</v>
      </c>
      <c r="U670">
        <v>3072</v>
      </c>
      <c r="V670" t="s">
        <v>36</v>
      </c>
    </row>
    <row r="671" spans="1:22">
      <c r="A671" t="str">
        <f t="shared" si="224"/>
        <v>18/12/2025</v>
      </c>
      <c r="B671" t="str">
        <f t="shared" ref="B671:B684" si="230">"ENTRADA"</f>
        <v>ENTRADA</v>
      </c>
      <c r="C671" t="str">
        <f t="shared" ref="C671:C684" si="231">"NFSE"</f>
        <v>NFSE</v>
      </c>
      <c r="D671" t="str">
        <f>"4057"</f>
        <v>4057</v>
      </c>
      <c r="E671" t="str">
        <f t="shared" ref="E671:E688" si="232">"1"</f>
        <v>1</v>
      </c>
      <c r="F671" t="str">
        <f t="shared" ref="F671:F688" si="233">"COM"</f>
        <v>COM</v>
      </c>
      <c r="G671" t="str">
        <f>"DROGA ELIDA (10121)"</f>
        <v>DROGA ELIDA (10121)</v>
      </c>
      <c r="H671" t="s">
        <v>206</v>
      </c>
      <c r="I671" t="str">
        <f t="shared" ref="I671:I684" si="234">("17/12/2025")</f>
        <v>17/12/2025</v>
      </c>
      <c r="J671" t="str">
        <f t="shared" si="229"/>
        <v>15/12/2025</v>
      </c>
      <c r="K671">
        <v>46009</v>
      </c>
      <c r="N671">
        <v>303</v>
      </c>
      <c r="O671" t="s">
        <v>30</v>
      </c>
      <c r="Q671">
        <v>328.5</v>
      </c>
      <c r="R671" t="str">
        <f>"DROGA ELIDA (10121)"</f>
        <v>DROGA ELIDA (10121)</v>
      </c>
      <c r="S671" t="s">
        <v>31</v>
      </c>
      <c r="T671">
        <v>3862</v>
      </c>
      <c r="U671">
        <v>3072</v>
      </c>
      <c r="V671" t="s">
        <v>36</v>
      </c>
    </row>
    <row r="672" spans="1:22">
      <c r="A672" t="str">
        <f t="shared" si="224"/>
        <v>18/12/2025</v>
      </c>
      <c r="B672" t="str">
        <f t="shared" si="230"/>
        <v>ENTRADA</v>
      </c>
      <c r="C672" t="str">
        <f t="shared" si="231"/>
        <v>NFSE</v>
      </c>
      <c r="D672" t="str">
        <f>"4059"</f>
        <v>4059</v>
      </c>
      <c r="E672" t="str">
        <f t="shared" si="232"/>
        <v>1</v>
      </c>
      <c r="F672" t="str">
        <f t="shared" si="233"/>
        <v>COM</v>
      </c>
      <c r="G672" t="str">
        <f>"LBL FARMACIA LTDA (10189)"</f>
        <v>LBL FARMACIA LTDA (10189)</v>
      </c>
      <c r="H672" t="str">
        <f>"Serv.Prest. 08/12/2025 a 14/12/2025 - RPS: 1821 - NFSe: 4059"</f>
        <v>Serv.Prest. 08/12/2025 a 14/12/2025 - RPS: 1821 - NFSe: 4059</v>
      </c>
      <c r="I672" t="str">
        <f t="shared" si="234"/>
        <v>17/12/2025</v>
      </c>
      <c r="J672" t="str">
        <f t="shared" si="229"/>
        <v>15/12/2025</v>
      </c>
      <c r="K672" t="str">
        <f>("18/12/2025")</f>
        <v>18/12/2025</v>
      </c>
      <c r="L672">
        <v>202.65</v>
      </c>
      <c r="M672">
        <v>202.65</v>
      </c>
      <c r="N672">
        <v>303</v>
      </c>
      <c r="O672" t="str">
        <f>"RECEITAS COM ENTREGAS"</f>
        <v>RECEITAS COM ENTREGAS</v>
      </c>
      <c r="P672">
        <v>202.65</v>
      </c>
      <c r="S672" t="str">
        <f>"RECEITAS COM ENTREGAS (303)"</f>
        <v>RECEITAS COM ENTREGAS (303)</v>
      </c>
      <c r="T672">
        <v>3863</v>
      </c>
      <c r="U672">
        <v>3074</v>
      </c>
      <c r="V672" t="s">
        <v>36</v>
      </c>
    </row>
    <row r="673" spans="1:22">
      <c r="A673" t="str">
        <f t="shared" si="224"/>
        <v>18/12/2025</v>
      </c>
      <c r="B673" t="str">
        <f t="shared" si="230"/>
        <v>ENTRADA</v>
      </c>
      <c r="C673" t="str">
        <f t="shared" si="231"/>
        <v>NFSE</v>
      </c>
      <c r="D673" t="str">
        <f>"4059"</f>
        <v>4059</v>
      </c>
      <c r="E673" t="str">
        <f t="shared" si="232"/>
        <v>1</v>
      </c>
      <c r="F673" t="str">
        <f t="shared" si="233"/>
        <v>COM</v>
      </c>
      <c r="G673" t="str">
        <f>"LBL FARMACIA LTDA (10189)"</f>
        <v>LBL FARMACIA LTDA (10189)</v>
      </c>
      <c r="H673" t="s">
        <v>207</v>
      </c>
      <c r="I673" t="str">
        <f t="shared" si="234"/>
        <v>17/12/2025</v>
      </c>
      <c r="J673" t="str">
        <f t="shared" si="229"/>
        <v>15/12/2025</v>
      </c>
      <c r="K673">
        <v>46009</v>
      </c>
      <c r="N673">
        <v>303</v>
      </c>
      <c r="O673" t="s">
        <v>30</v>
      </c>
      <c r="Q673">
        <v>202.65</v>
      </c>
      <c r="R673" t="str">
        <f>"LBL FARMACIA LTDA (10189)"</f>
        <v>LBL FARMACIA LTDA (10189)</v>
      </c>
      <c r="S673" t="s">
        <v>31</v>
      </c>
      <c r="T673">
        <v>3863</v>
      </c>
      <c r="U673">
        <v>3074</v>
      </c>
      <c r="V673" t="s">
        <v>36</v>
      </c>
    </row>
    <row r="674" spans="1:22">
      <c r="A674" t="str">
        <f t="shared" si="224"/>
        <v>18/12/2025</v>
      </c>
      <c r="B674" t="str">
        <f t="shared" si="230"/>
        <v>ENTRADA</v>
      </c>
      <c r="C674" t="str">
        <f t="shared" si="231"/>
        <v>NFSE</v>
      </c>
      <c r="D674" t="str">
        <f>"4060"</f>
        <v>4060</v>
      </c>
      <c r="E674" t="str">
        <f t="shared" si="232"/>
        <v>1</v>
      </c>
      <c r="F674" t="str">
        <f t="shared" si="233"/>
        <v>COM</v>
      </c>
      <c r="G674" t="str">
        <f>"LBL FARMACIA LTDA FILIAL (10192)"</f>
        <v>LBL FARMACIA LTDA FILIAL (10192)</v>
      </c>
      <c r="H674" t="str">
        <f>"Serv.Prest. 08/12/2025 a 14/12/2025 - RPS: 1822 - NFSe: 4060"</f>
        <v>Serv.Prest. 08/12/2025 a 14/12/2025 - RPS: 1822 - NFSe: 4060</v>
      </c>
      <c r="I674" t="str">
        <f t="shared" si="234"/>
        <v>17/12/2025</v>
      </c>
      <c r="J674" t="str">
        <f t="shared" si="229"/>
        <v>15/12/2025</v>
      </c>
      <c r="K674" t="str">
        <f>("18/12/2025")</f>
        <v>18/12/2025</v>
      </c>
      <c r="L674">
        <v>196.35</v>
      </c>
      <c r="M674">
        <v>196.35</v>
      </c>
      <c r="N674">
        <v>303</v>
      </c>
      <c r="O674" t="str">
        <f>"RECEITAS COM ENTREGAS"</f>
        <v>RECEITAS COM ENTREGAS</v>
      </c>
      <c r="P674">
        <v>196.35</v>
      </c>
      <c r="S674" t="str">
        <f>"RECEITAS COM ENTREGAS (303)"</f>
        <v>RECEITAS COM ENTREGAS (303)</v>
      </c>
      <c r="T674">
        <v>3864</v>
      </c>
      <c r="U674">
        <v>3075</v>
      </c>
      <c r="V674" t="s">
        <v>36</v>
      </c>
    </row>
    <row r="675" spans="1:22">
      <c r="A675" t="str">
        <f t="shared" ref="A675:A684" si="235">("18/12/2025")</f>
        <v>18/12/2025</v>
      </c>
      <c r="B675" t="str">
        <f t="shared" si="230"/>
        <v>ENTRADA</v>
      </c>
      <c r="C675" t="str">
        <f t="shared" si="231"/>
        <v>NFSE</v>
      </c>
      <c r="D675" t="str">
        <f>"4060"</f>
        <v>4060</v>
      </c>
      <c r="E675" t="str">
        <f t="shared" si="232"/>
        <v>1</v>
      </c>
      <c r="F675" t="str">
        <f t="shared" si="233"/>
        <v>COM</v>
      </c>
      <c r="G675" t="str">
        <f>"LBL FARMACIA LTDA FILIAL (10192)"</f>
        <v>LBL FARMACIA LTDA FILIAL (10192)</v>
      </c>
      <c r="H675" t="s">
        <v>208</v>
      </c>
      <c r="I675" t="str">
        <f t="shared" si="234"/>
        <v>17/12/2025</v>
      </c>
      <c r="J675" t="str">
        <f t="shared" si="229"/>
        <v>15/12/2025</v>
      </c>
      <c r="K675">
        <v>46009</v>
      </c>
      <c r="N675">
        <v>303</v>
      </c>
      <c r="O675" t="s">
        <v>30</v>
      </c>
      <c r="Q675">
        <v>196.35</v>
      </c>
      <c r="R675" t="str">
        <f>"LBL FARMACIA LTDA FILIAL (10192)"</f>
        <v>LBL FARMACIA LTDA FILIAL (10192)</v>
      </c>
      <c r="S675" t="s">
        <v>31</v>
      </c>
      <c r="T675">
        <v>3864</v>
      </c>
      <c r="U675">
        <v>3075</v>
      </c>
      <c r="V675" t="s">
        <v>36</v>
      </c>
    </row>
    <row r="676" spans="1:22">
      <c r="A676" t="str">
        <f t="shared" si="235"/>
        <v>18/12/2025</v>
      </c>
      <c r="B676" t="str">
        <f t="shared" si="230"/>
        <v>ENTRADA</v>
      </c>
      <c r="C676" t="str">
        <f t="shared" si="231"/>
        <v>NFSE</v>
      </c>
      <c r="D676" t="str">
        <f>"4062"</f>
        <v>4062</v>
      </c>
      <c r="E676" t="str">
        <f t="shared" si="232"/>
        <v>1</v>
      </c>
      <c r="F676" t="str">
        <f t="shared" si="233"/>
        <v>COM</v>
      </c>
      <c r="G676" t="str">
        <f>"PENSE FARMA 15 (10195)"</f>
        <v>PENSE FARMA 15 (10195)</v>
      </c>
      <c r="H676" t="str">
        <f>"Serv.Prest. 08/12/2025 a 14/12/2025 - RPS: 1824 - NFSe: 4062"</f>
        <v>Serv.Prest. 08/12/2025 a 14/12/2025 - RPS: 1824 - NFSe: 4062</v>
      </c>
      <c r="I676" t="str">
        <f t="shared" si="234"/>
        <v>17/12/2025</v>
      </c>
      <c r="J676" t="str">
        <f t="shared" si="229"/>
        <v>15/12/2025</v>
      </c>
      <c r="K676" t="str">
        <f>("18/12/2025")</f>
        <v>18/12/2025</v>
      </c>
      <c r="L676">
        <v>642</v>
      </c>
      <c r="M676">
        <v>642</v>
      </c>
      <c r="N676">
        <v>303</v>
      </c>
      <c r="O676" t="str">
        <f>"RECEITAS COM ENTREGAS"</f>
        <v>RECEITAS COM ENTREGAS</v>
      </c>
      <c r="P676">
        <v>642</v>
      </c>
      <c r="S676" t="str">
        <f>"RECEITAS COM ENTREGAS (303)"</f>
        <v>RECEITAS COM ENTREGAS (303)</v>
      </c>
      <c r="T676">
        <v>3865</v>
      </c>
      <c r="U676">
        <v>3077</v>
      </c>
      <c r="V676" t="s">
        <v>36</v>
      </c>
    </row>
    <row r="677" spans="1:22">
      <c r="A677" t="str">
        <f t="shared" si="235"/>
        <v>18/12/2025</v>
      </c>
      <c r="B677" t="str">
        <f t="shared" si="230"/>
        <v>ENTRADA</v>
      </c>
      <c r="C677" t="str">
        <f t="shared" si="231"/>
        <v>NFSE</v>
      </c>
      <c r="D677" t="str">
        <f>"4062"</f>
        <v>4062</v>
      </c>
      <c r="E677" t="str">
        <f t="shared" si="232"/>
        <v>1</v>
      </c>
      <c r="F677" t="str">
        <f t="shared" si="233"/>
        <v>COM</v>
      </c>
      <c r="G677" t="str">
        <f>"PENSE FARMA 15 (10195)"</f>
        <v>PENSE FARMA 15 (10195)</v>
      </c>
      <c r="H677" t="s">
        <v>209</v>
      </c>
      <c r="I677" t="str">
        <f t="shared" si="234"/>
        <v>17/12/2025</v>
      </c>
      <c r="J677" t="str">
        <f t="shared" si="229"/>
        <v>15/12/2025</v>
      </c>
      <c r="K677">
        <v>46009</v>
      </c>
      <c r="N677">
        <v>303</v>
      </c>
      <c r="O677" t="s">
        <v>30</v>
      </c>
      <c r="Q677">
        <v>160.5</v>
      </c>
      <c r="R677" t="str">
        <f>"PENSE FARMA 15 (10195)"</f>
        <v>PENSE FARMA 15 (10195)</v>
      </c>
      <c r="S677" t="s">
        <v>31</v>
      </c>
      <c r="T677">
        <v>3865</v>
      </c>
      <c r="U677">
        <v>3077</v>
      </c>
      <c r="V677" t="s">
        <v>36</v>
      </c>
    </row>
    <row r="678" spans="1:22">
      <c r="A678" t="str">
        <f t="shared" si="235"/>
        <v>18/12/2025</v>
      </c>
      <c r="B678" t="str">
        <f t="shared" si="230"/>
        <v>ENTRADA</v>
      </c>
      <c r="C678" t="str">
        <f t="shared" si="231"/>
        <v>NFSE</v>
      </c>
      <c r="D678" t="str">
        <f>"4062"</f>
        <v>4062</v>
      </c>
      <c r="E678" t="str">
        <f t="shared" si="232"/>
        <v>1</v>
      </c>
      <c r="F678" t="str">
        <f t="shared" si="233"/>
        <v>COM</v>
      </c>
      <c r="G678" t="str">
        <f>"PENSE FARMA 15 (10195)"</f>
        <v>PENSE FARMA 15 (10195)</v>
      </c>
      <c r="H678" t="s">
        <v>209</v>
      </c>
      <c r="I678" t="str">
        <f t="shared" si="234"/>
        <v>17/12/2025</v>
      </c>
      <c r="J678" t="str">
        <f t="shared" si="229"/>
        <v>15/12/2025</v>
      </c>
      <c r="K678">
        <v>46009</v>
      </c>
      <c r="N678">
        <v>303</v>
      </c>
      <c r="O678" t="s">
        <v>30</v>
      </c>
      <c r="Q678">
        <v>160.5</v>
      </c>
      <c r="R678" t="str">
        <f>"PENSE FARMA 26 (10196)"</f>
        <v>PENSE FARMA 26 (10196)</v>
      </c>
      <c r="S678" t="s">
        <v>31</v>
      </c>
      <c r="T678">
        <v>3865</v>
      </c>
      <c r="U678">
        <v>3077</v>
      </c>
      <c r="V678" t="s">
        <v>36</v>
      </c>
    </row>
    <row r="679" spans="1:22">
      <c r="A679" t="str">
        <f t="shared" si="235"/>
        <v>18/12/2025</v>
      </c>
      <c r="B679" t="str">
        <f t="shared" si="230"/>
        <v>ENTRADA</v>
      </c>
      <c r="C679" t="str">
        <f t="shared" si="231"/>
        <v>NFSE</v>
      </c>
      <c r="D679" t="str">
        <f>"4062"</f>
        <v>4062</v>
      </c>
      <c r="E679" t="str">
        <f t="shared" si="232"/>
        <v>1</v>
      </c>
      <c r="F679" t="str">
        <f t="shared" si="233"/>
        <v>COM</v>
      </c>
      <c r="G679" t="str">
        <f>"PENSE FARMA 15 (10195)"</f>
        <v>PENSE FARMA 15 (10195)</v>
      </c>
      <c r="H679" t="s">
        <v>209</v>
      </c>
      <c r="I679" t="str">
        <f t="shared" si="234"/>
        <v>17/12/2025</v>
      </c>
      <c r="J679" t="str">
        <f t="shared" si="229"/>
        <v>15/12/2025</v>
      </c>
      <c r="K679">
        <v>46009</v>
      </c>
      <c r="N679">
        <v>303</v>
      </c>
      <c r="O679" t="s">
        <v>30</v>
      </c>
      <c r="Q679">
        <v>160.5</v>
      </c>
      <c r="R679" t="str">
        <f>"PENSE FARMA 60 (10197)"</f>
        <v>PENSE FARMA 60 (10197)</v>
      </c>
      <c r="S679" t="s">
        <v>31</v>
      </c>
      <c r="T679">
        <v>3865</v>
      </c>
      <c r="U679">
        <v>3077</v>
      </c>
      <c r="V679" t="s">
        <v>36</v>
      </c>
    </row>
    <row r="680" spans="1:22">
      <c r="A680" t="str">
        <f t="shared" si="235"/>
        <v>18/12/2025</v>
      </c>
      <c r="B680" t="str">
        <f t="shared" si="230"/>
        <v>ENTRADA</v>
      </c>
      <c r="C680" t="str">
        <f t="shared" si="231"/>
        <v>NFSE</v>
      </c>
      <c r="D680" t="str">
        <f>"4062"</f>
        <v>4062</v>
      </c>
      <c r="E680" t="str">
        <f t="shared" si="232"/>
        <v>1</v>
      </c>
      <c r="F680" t="str">
        <f t="shared" si="233"/>
        <v>COM</v>
      </c>
      <c r="G680" t="str">
        <f>"PENSE FARMA 15 (10195)"</f>
        <v>PENSE FARMA 15 (10195)</v>
      </c>
      <c r="H680" t="s">
        <v>209</v>
      </c>
      <c r="I680" t="str">
        <f t="shared" si="234"/>
        <v>17/12/2025</v>
      </c>
      <c r="J680" t="str">
        <f t="shared" si="229"/>
        <v>15/12/2025</v>
      </c>
      <c r="K680">
        <v>46009</v>
      </c>
      <c r="N680">
        <v>303</v>
      </c>
      <c r="O680" t="s">
        <v>30</v>
      </c>
      <c r="Q680">
        <v>160.5</v>
      </c>
      <c r="R680" t="str">
        <f>"PENSE FARMA 61 (10243)"</f>
        <v>PENSE FARMA 61 (10243)</v>
      </c>
      <c r="S680" t="s">
        <v>31</v>
      </c>
      <c r="T680">
        <v>3865</v>
      </c>
      <c r="U680">
        <v>3077</v>
      </c>
      <c r="V680" t="s">
        <v>36</v>
      </c>
    </row>
    <row r="681" spans="1:22">
      <c r="A681" t="str">
        <f t="shared" si="235"/>
        <v>18/12/2025</v>
      </c>
      <c r="B681" t="str">
        <f t="shared" si="230"/>
        <v>ENTRADA</v>
      </c>
      <c r="C681" t="str">
        <f t="shared" si="231"/>
        <v>NFSE</v>
      </c>
      <c r="D681" t="str">
        <f>"4063"</f>
        <v>4063</v>
      </c>
      <c r="E681" t="str">
        <f t="shared" si="232"/>
        <v>1</v>
      </c>
      <c r="F681" t="str">
        <f t="shared" si="233"/>
        <v>COM</v>
      </c>
      <c r="G681" t="str">
        <f>"PENSE FARMA 46 (10194)"</f>
        <v>PENSE FARMA 46 (10194)</v>
      </c>
      <c r="H681" t="str">
        <f>"Serv.Prest. 08/12/2025 a 14/12/2025 - RPS: 1825 - NFSe: 4063"</f>
        <v>Serv.Prest. 08/12/2025 a 14/12/2025 - RPS: 1825 - NFSe: 4063</v>
      </c>
      <c r="I681" t="str">
        <f t="shared" si="234"/>
        <v>17/12/2025</v>
      </c>
      <c r="J681" t="str">
        <f t="shared" si="229"/>
        <v>15/12/2025</v>
      </c>
      <c r="K681" t="str">
        <f>("18/12/2025")</f>
        <v>18/12/2025</v>
      </c>
      <c r="L681">
        <v>342</v>
      </c>
      <c r="M681">
        <v>342</v>
      </c>
      <c r="N681">
        <v>303</v>
      </c>
      <c r="O681" t="str">
        <f>"RECEITAS COM ENTREGAS"</f>
        <v>RECEITAS COM ENTREGAS</v>
      </c>
      <c r="P681">
        <v>342</v>
      </c>
      <c r="S681" t="str">
        <f>"RECEITAS COM ENTREGAS (303)"</f>
        <v>RECEITAS COM ENTREGAS (303)</v>
      </c>
      <c r="T681">
        <v>3866</v>
      </c>
      <c r="U681">
        <v>3078</v>
      </c>
      <c r="V681" t="s">
        <v>36</v>
      </c>
    </row>
    <row r="682" spans="1:22">
      <c r="A682" t="str">
        <f t="shared" si="235"/>
        <v>18/12/2025</v>
      </c>
      <c r="B682" t="str">
        <f t="shared" si="230"/>
        <v>ENTRADA</v>
      </c>
      <c r="C682" t="str">
        <f t="shared" si="231"/>
        <v>NFSE</v>
      </c>
      <c r="D682" t="str">
        <f>"4063"</f>
        <v>4063</v>
      </c>
      <c r="E682" t="str">
        <f t="shared" si="232"/>
        <v>1</v>
      </c>
      <c r="F682" t="str">
        <f t="shared" si="233"/>
        <v>COM</v>
      </c>
      <c r="G682" t="str">
        <f>"PENSE FARMA 46 (10194)"</f>
        <v>PENSE FARMA 46 (10194)</v>
      </c>
      <c r="H682" t="s">
        <v>210</v>
      </c>
      <c r="I682" t="str">
        <f t="shared" si="234"/>
        <v>17/12/2025</v>
      </c>
      <c r="J682" t="str">
        <f t="shared" si="229"/>
        <v>15/12/2025</v>
      </c>
      <c r="K682">
        <v>46009</v>
      </c>
      <c r="N682">
        <v>303</v>
      </c>
      <c r="O682" t="s">
        <v>30</v>
      </c>
      <c r="Q682">
        <v>342</v>
      </c>
      <c r="R682" t="str">
        <f>"PENSE FARMA 46 (10194)"</f>
        <v>PENSE FARMA 46 (10194)</v>
      </c>
      <c r="S682" t="s">
        <v>31</v>
      </c>
      <c r="T682">
        <v>3866</v>
      </c>
      <c r="U682">
        <v>3078</v>
      </c>
      <c r="V682" t="s">
        <v>36</v>
      </c>
    </row>
    <row r="683" spans="1:22">
      <c r="A683" t="str">
        <f t="shared" si="235"/>
        <v>18/12/2025</v>
      </c>
      <c r="B683" t="str">
        <f t="shared" si="230"/>
        <v>ENTRADA</v>
      </c>
      <c r="C683" t="str">
        <f t="shared" si="231"/>
        <v>NFSE</v>
      </c>
      <c r="D683" t="str">
        <f>"4064"</f>
        <v>4064</v>
      </c>
      <c r="E683" t="str">
        <f t="shared" si="232"/>
        <v>1</v>
      </c>
      <c r="F683" t="str">
        <f t="shared" si="233"/>
        <v>COM</v>
      </c>
      <c r="G683" t="str">
        <f>"PENSE FARMA 22 (10198)"</f>
        <v>PENSE FARMA 22 (10198)</v>
      </c>
      <c r="H683" t="str">
        <f>"Serv.Prest. 08/12/2025 a 14/12/2025 - RPS: 1826 - NFSe: 4064"</f>
        <v>Serv.Prest. 08/12/2025 a 14/12/2025 - RPS: 1826 - NFSe: 4064</v>
      </c>
      <c r="I683" t="str">
        <f t="shared" si="234"/>
        <v>17/12/2025</v>
      </c>
      <c r="J683" t="str">
        <f t="shared" si="229"/>
        <v>15/12/2025</v>
      </c>
      <c r="K683" t="str">
        <f>("18/12/2025")</f>
        <v>18/12/2025</v>
      </c>
      <c r="L683">
        <v>451.26</v>
      </c>
      <c r="M683">
        <v>451.26</v>
      </c>
      <c r="N683">
        <v>303</v>
      </c>
      <c r="O683" t="str">
        <f>"RECEITAS COM ENTREGAS"</f>
        <v>RECEITAS COM ENTREGAS</v>
      </c>
      <c r="P683">
        <v>451.26</v>
      </c>
      <c r="S683" t="str">
        <f>"RECEITAS COM ENTREGAS (303)"</f>
        <v>RECEITAS COM ENTREGAS (303)</v>
      </c>
      <c r="T683">
        <v>3867</v>
      </c>
      <c r="U683">
        <v>3079</v>
      </c>
      <c r="V683" t="s">
        <v>36</v>
      </c>
    </row>
    <row r="684" spans="1:22">
      <c r="A684" t="str">
        <f t="shared" si="235"/>
        <v>18/12/2025</v>
      </c>
      <c r="B684" t="str">
        <f t="shared" si="230"/>
        <v>ENTRADA</v>
      </c>
      <c r="C684" t="str">
        <f t="shared" si="231"/>
        <v>NFSE</v>
      </c>
      <c r="D684" t="str">
        <f>"4064"</f>
        <v>4064</v>
      </c>
      <c r="E684" t="str">
        <f t="shared" si="232"/>
        <v>1</v>
      </c>
      <c r="F684" t="str">
        <f t="shared" si="233"/>
        <v>COM</v>
      </c>
      <c r="G684" t="str">
        <f>"PENSE FARMA 22 (10198)"</f>
        <v>PENSE FARMA 22 (10198)</v>
      </c>
      <c r="H684" t="s">
        <v>211</v>
      </c>
      <c r="I684" t="str">
        <f t="shared" si="234"/>
        <v>17/12/2025</v>
      </c>
      <c r="J684" t="str">
        <f t="shared" si="229"/>
        <v>15/12/2025</v>
      </c>
      <c r="K684">
        <v>46009</v>
      </c>
      <c r="N684">
        <v>303</v>
      </c>
      <c r="O684" t="s">
        <v>30</v>
      </c>
      <c r="Q684">
        <v>451.26</v>
      </c>
      <c r="R684" t="str">
        <f>"PENSE FARMA 22 (10198)"</f>
        <v>PENSE FARMA 22 (10198)</v>
      </c>
      <c r="S684" t="s">
        <v>31</v>
      </c>
      <c r="T684">
        <v>3867</v>
      </c>
      <c r="U684">
        <v>3079</v>
      </c>
      <c r="V684" t="s">
        <v>36</v>
      </c>
    </row>
    <row r="685" spans="1:22">
      <c r="A685" t="str">
        <f t="shared" ref="A685:A698" si="236">("19/12/2025")</f>
        <v>19/12/2025</v>
      </c>
      <c r="B685" t="str">
        <f>"SAÍDA"</f>
        <v>SAÍDA</v>
      </c>
      <c r="C685" t="str">
        <f>"BOLETO"</f>
        <v>BOLETO</v>
      </c>
      <c r="D685" t="str">
        <f>"071625329463876"</f>
        <v>071625329463876</v>
      </c>
      <c r="E685" t="str">
        <f t="shared" si="232"/>
        <v>1</v>
      </c>
      <c r="F685" t="str">
        <f t="shared" si="233"/>
        <v>COM</v>
      </c>
      <c r="G685" t="str">
        <f>"MINISTERIO DA FAZENDA (20009)"</f>
        <v>MINISTERIO DA FAZENDA (20009)</v>
      </c>
      <c r="H685" t="str">
        <f>"INSS SOBRE PROLABORE"</f>
        <v>INSS SOBRE PROLABORE</v>
      </c>
      <c r="I685" t="str">
        <f t="shared" ref="I685:I692" si="237">("19/12/2025")</f>
        <v>19/12/2025</v>
      </c>
      <c r="J685" t="str">
        <f>("10/01/2025")</f>
        <v>10/01/2025</v>
      </c>
      <c r="K685" t="str">
        <f>("19/12/2025")</f>
        <v>19/12/2025</v>
      </c>
      <c r="L685">
        <v>333.96</v>
      </c>
      <c r="M685">
        <v>333.96</v>
      </c>
      <c r="N685">
        <v>112</v>
      </c>
      <c r="O685" t="str">
        <f>"INSS - PRO-LABORE"</f>
        <v>INSS - PRO-LABORE</v>
      </c>
      <c r="P685">
        <v>333.96</v>
      </c>
      <c r="S685" t="str">
        <f>"BANCO CORA (102)"</f>
        <v>BANCO CORA (102)</v>
      </c>
      <c r="T685">
        <v>3564</v>
      </c>
      <c r="U685">
        <v>723</v>
      </c>
      <c r="V685" t="s">
        <v>22</v>
      </c>
    </row>
    <row r="686" spans="1:22">
      <c r="A686" t="str">
        <f t="shared" si="236"/>
        <v>19/12/2025</v>
      </c>
      <c r="B686" t="str">
        <f>"SAÍDA"</f>
        <v>SAÍDA</v>
      </c>
      <c r="C686" t="str">
        <f>"BOLETO"</f>
        <v>BOLETO</v>
      </c>
      <c r="D686" t="str">
        <f>"071625329463876"</f>
        <v>071625329463876</v>
      </c>
      <c r="E686" t="str">
        <f t="shared" si="232"/>
        <v>1</v>
      </c>
      <c r="F686" t="str">
        <f t="shared" si="233"/>
        <v>COM</v>
      </c>
      <c r="G686" t="str">
        <f>"MINISTERIO DA FAZENDA (20009)"</f>
        <v>MINISTERIO DA FAZENDA (20009)</v>
      </c>
      <c r="H686" t="s">
        <v>212</v>
      </c>
      <c r="I686" t="str">
        <f t="shared" si="237"/>
        <v>19/12/2025</v>
      </c>
      <c r="J686" t="str">
        <f>("10/01/2025")</f>
        <v>10/01/2025</v>
      </c>
      <c r="K686">
        <v>46010</v>
      </c>
      <c r="N686">
        <v>112</v>
      </c>
      <c r="O686" t="s">
        <v>213</v>
      </c>
      <c r="Q686">
        <v>333.96</v>
      </c>
      <c r="R686" t="str">
        <f>"MINISTERIO DA FAZENDA (20009)"</f>
        <v>MINISTERIO DA FAZENDA (20009)</v>
      </c>
      <c r="S686" t="s">
        <v>22</v>
      </c>
      <c r="T686">
        <v>3564</v>
      </c>
      <c r="U686">
        <v>723</v>
      </c>
      <c r="V686" t="s">
        <v>22</v>
      </c>
    </row>
    <row r="687" spans="1:22">
      <c r="A687" t="str">
        <f t="shared" si="236"/>
        <v>19/12/2025</v>
      </c>
      <c r="B687" t="str">
        <f>"SAÍDA"</f>
        <v>SAÍDA</v>
      </c>
      <c r="C687" t="str">
        <f>"BOLETO"</f>
        <v>BOLETO</v>
      </c>
      <c r="D687" t="str">
        <f>"2604"</f>
        <v>2604</v>
      </c>
      <c r="E687" t="str">
        <f t="shared" si="232"/>
        <v>1</v>
      </c>
      <c r="F687" t="str">
        <f t="shared" si="233"/>
        <v>COM</v>
      </c>
      <c r="G687" t="str">
        <f>"INFINITY BRASIL LTDA (20020)"</f>
        <v>INFINITY BRASIL LTDA (20020)</v>
      </c>
      <c r="H687" t="str">
        <f>"SERVIDOR FLUX FARMA PERIODO NOVEMBRO/25"</f>
        <v>SERVIDOR FLUX FARMA PERIODO NOVEMBRO/25</v>
      </c>
      <c r="I687" t="str">
        <f t="shared" si="237"/>
        <v>19/12/2025</v>
      </c>
      <c r="J687" t="str">
        <f>("28/11/2025")</f>
        <v>28/11/2025</v>
      </c>
      <c r="K687" t="str">
        <f>("19/12/2025")</f>
        <v>19/12/2025</v>
      </c>
      <c r="L687">
        <v>579.36</v>
      </c>
      <c r="M687">
        <v>579.36</v>
      </c>
      <c r="N687">
        <v>104</v>
      </c>
      <c r="O687" t="str">
        <f>"SOFTWARE / LICENÇAS"</f>
        <v>SOFTWARE / LICENÇAS</v>
      </c>
      <c r="P687">
        <v>579.36</v>
      </c>
      <c r="S687" t="str">
        <f>"BANCO CORA (102)"</f>
        <v>BANCO CORA (102)</v>
      </c>
      <c r="T687">
        <v>3565</v>
      </c>
      <c r="U687">
        <v>2832</v>
      </c>
      <c r="V687" t="s">
        <v>22</v>
      </c>
    </row>
    <row r="688" spans="1:22">
      <c r="A688" t="str">
        <f t="shared" si="236"/>
        <v>19/12/2025</v>
      </c>
      <c r="B688" t="str">
        <f>"SAÍDA"</f>
        <v>SAÍDA</v>
      </c>
      <c r="C688" t="str">
        <f>"BOLETO"</f>
        <v>BOLETO</v>
      </c>
      <c r="D688" t="str">
        <f>"2604"</f>
        <v>2604</v>
      </c>
      <c r="E688" t="str">
        <f t="shared" si="232"/>
        <v>1</v>
      </c>
      <c r="F688" t="str">
        <f t="shared" si="233"/>
        <v>COM</v>
      </c>
      <c r="G688" t="str">
        <f>"INFINITY BRASIL LTDA (20020)"</f>
        <v>INFINITY BRASIL LTDA (20020)</v>
      </c>
      <c r="H688" t="s">
        <v>214</v>
      </c>
      <c r="I688" t="str">
        <f t="shared" si="237"/>
        <v>19/12/2025</v>
      </c>
      <c r="J688" t="str">
        <f>("28/11/2025")</f>
        <v>28/11/2025</v>
      </c>
      <c r="K688">
        <v>46010</v>
      </c>
      <c r="N688">
        <v>104</v>
      </c>
      <c r="O688" t="s">
        <v>52</v>
      </c>
      <c r="Q688">
        <v>579.36</v>
      </c>
      <c r="R688" t="str">
        <f>"INFINITY BRASIL LTDA (20020)"</f>
        <v>INFINITY BRASIL LTDA (20020)</v>
      </c>
      <c r="S688" t="s">
        <v>22</v>
      </c>
      <c r="T688">
        <v>3565</v>
      </c>
      <c r="U688">
        <v>2832</v>
      </c>
      <c r="V688" t="s">
        <v>22</v>
      </c>
    </row>
    <row r="689" spans="1:22">
      <c r="A689" t="str">
        <f t="shared" si="236"/>
        <v>19/12/2025</v>
      </c>
      <c r="B689" t="str">
        <f>"SAÍDA"</f>
        <v>SAÍDA</v>
      </c>
      <c r="C689" t="str">
        <f>"TRANSFERENCIA"</f>
        <v>TRANSFERENCIA</v>
      </c>
      <c r="D689" t="str">
        <f>""</f>
        <v/>
      </c>
      <c r="F689" t="str">
        <f>"TRF"</f>
        <v>TRF</v>
      </c>
      <c r="G689" t="str">
        <f>""</f>
        <v/>
      </c>
      <c r="H689" t="str">
        <f>"AJUDA DE MOVIMENTAÇÃO DE CAIXA  (102-&gt;120)"</f>
        <v>AJUDA DE MOVIMENTAÇÃO DE CAIXA  (102-&gt;120)</v>
      </c>
      <c r="I689" t="str">
        <f t="shared" si="237"/>
        <v>19/12/2025</v>
      </c>
      <c r="J689" t="str">
        <f t="shared" ref="J689:K692" si="238">("19/12/2025")</f>
        <v>19/12/2025</v>
      </c>
      <c r="K689" t="str">
        <f t="shared" si="238"/>
        <v>19/12/2025</v>
      </c>
      <c r="N689">
        <v>102</v>
      </c>
      <c r="O689" t="str">
        <f>"BANCO CORA"</f>
        <v>BANCO CORA</v>
      </c>
      <c r="P689">
        <v>10000</v>
      </c>
      <c r="S689" t="str">
        <f>"BANCO CORA (102)"</f>
        <v>BANCO CORA (102)</v>
      </c>
      <c r="T689">
        <v>3576</v>
      </c>
      <c r="U689">
        <v>0</v>
      </c>
      <c r="V689" t="s">
        <v>22</v>
      </c>
    </row>
    <row r="690" spans="1:22">
      <c r="A690" t="str">
        <f t="shared" si="236"/>
        <v>19/12/2025</v>
      </c>
      <c r="B690" t="str">
        <f>"ENTRADA"</f>
        <v>ENTRADA</v>
      </c>
      <c r="C690" t="str">
        <f>"TRANSFERENCIA"</f>
        <v>TRANSFERENCIA</v>
      </c>
      <c r="D690" t="str">
        <f>""</f>
        <v/>
      </c>
      <c r="F690" t="str">
        <f>"TRF"</f>
        <v>TRF</v>
      </c>
      <c r="G690" t="str">
        <f>""</f>
        <v/>
      </c>
      <c r="H690" t="str">
        <f>"AJUDA DE MOVIMENTAÇÃO DE CAIXA  (102-&gt;120)"</f>
        <v>AJUDA DE MOVIMENTAÇÃO DE CAIXA  (102-&gt;120)</v>
      </c>
      <c r="I690" t="str">
        <f t="shared" si="237"/>
        <v>19/12/2025</v>
      </c>
      <c r="J690" t="str">
        <f t="shared" si="238"/>
        <v>19/12/2025</v>
      </c>
      <c r="K690" t="str">
        <f t="shared" si="238"/>
        <v>19/12/2025</v>
      </c>
      <c r="N690">
        <v>120</v>
      </c>
      <c r="O690" t="str">
        <f>"CAIXA - COOPERATIVA"</f>
        <v>CAIXA - COOPERATIVA</v>
      </c>
      <c r="S690" t="str">
        <f>"CAIXA - COOPERATIVA (120)"</f>
        <v>CAIXA - COOPERATIVA (120)</v>
      </c>
      <c r="T690">
        <v>3576</v>
      </c>
      <c r="U690">
        <v>0</v>
      </c>
      <c r="V690" t="s">
        <v>163</v>
      </c>
    </row>
    <row r="691" spans="1:22">
      <c r="A691" t="str">
        <f t="shared" si="236"/>
        <v>19/12/2025</v>
      </c>
      <c r="B691" t="str">
        <f>"SAÍDA"</f>
        <v>SAÍDA</v>
      </c>
      <c r="C691" t="str">
        <f>"TRANSFERENCIA"</f>
        <v>TRANSFERENCIA</v>
      </c>
      <c r="D691" t="str">
        <f>""</f>
        <v/>
      </c>
      <c r="F691" t="str">
        <f>"TRF"</f>
        <v>TRF</v>
      </c>
      <c r="G691" t="str">
        <f>""</f>
        <v/>
      </c>
      <c r="H691" t="str">
        <f>"AJUDA MOVIMENTAÇÃO DE CAIXA  (102-&gt;120)"</f>
        <v>AJUDA MOVIMENTAÇÃO DE CAIXA  (102-&gt;120)</v>
      </c>
      <c r="I691" t="str">
        <f t="shared" si="237"/>
        <v>19/12/2025</v>
      </c>
      <c r="J691" t="str">
        <f t="shared" si="238"/>
        <v>19/12/2025</v>
      </c>
      <c r="K691" t="str">
        <f t="shared" si="238"/>
        <v>19/12/2025</v>
      </c>
      <c r="N691">
        <v>102</v>
      </c>
      <c r="O691" t="str">
        <f>"BANCO CORA"</f>
        <v>BANCO CORA</v>
      </c>
      <c r="P691">
        <v>5000</v>
      </c>
      <c r="S691" t="str">
        <f>"BANCO CORA (102)"</f>
        <v>BANCO CORA (102)</v>
      </c>
      <c r="T691">
        <v>3577</v>
      </c>
      <c r="U691">
        <v>0</v>
      </c>
      <c r="V691" t="s">
        <v>22</v>
      </c>
    </row>
    <row r="692" spans="1:22">
      <c r="A692" t="str">
        <f t="shared" si="236"/>
        <v>19/12/2025</v>
      </c>
      <c r="B692" t="str">
        <f t="shared" ref="B692:B698" si="239">"ENTRADA"</f>
        <v>ENTRADA</v>
      </c>
      <c r="C692" t="str">
        <f>"TRANSFERENCIA"</f>
        <v>TRANSFERENCIA</v>
      </c>
      <c r="D692" t="str">
        <f>""</f>
        <v/>
      </c>
      <c r="F692" t="str">
        <f>"TRF"</f>
        <v>TRF</v>
      </c>
      <c r="G692" t="str">
        <f>""</f>
        <v/>
      </c>
      <c r="H692" t="str">
        <f>"AJUDA MOVIMENTAÇÃO DE CAIXA  (102-&gt;120)"</f>
        <v>AJUDA MOVIMENTAÇÃO DE CAIXA  (102-&gt;120)</v>
      </c>
      <c r="I692" t="str">
        <f t="shared" si="237"/>
        <v>19/12/2025</v>
      </c>
      <c r="J692" t="str">
        <f t="shared" si="238"/>
        <v>19/12/2025</v>
      </c>
      <c r="K692" t="str">
        <f t="shared" si="238"/>
        <v>19/12/2025</v>
      </c>
      <c r="N692">
        <v>120</v>
      </c>
      <c r="O692" t="str">
        <f>"CAIXA - COOPERATIVA"</f>
        <v>CAIXA - COOPERATIVA</v>
      </c>
      <c r="S692" t="str">
        <f>"CAIXA - COOPERATIVA (120)"</f>
        <v>CAIXA - COOPERATIVA (120)</v>
      </c>
      <c r="T692">
        <v>3577</v>
      </c>
      <c r="U692">
        <v>0</v>
      </c>
      <c r="V692" t="s">
        <v>163</v>
      </c>
    </row>
    <row r="693" spans="1:22">
      <c r="A693" t="str">
        <f t="shared" si="236"/>
        <v>19/12/2025</v>
      </c>
      <c r="B693" t="str">
        <f t="shared" si="239"/>
        <v>ENTRADA</v>
      </c>
      <c r="C693" t="str">
        <f t="shared" ref="C693:C698" si="240">"NFSE"</f>
        <v>NFSE</v>
      </c>
      <c r="D693" t="str">
        <f>"4050"</f>
        <v>4050</v>
      </c>
      <c r="E693" t="str">
        <f t="shared" ref="E693:E698" si="241">"1"</f>
        <v>1</v>
      </c>
      <c r="F693" t="str">
        <f t="shared" ref="F693:F700" si="242">"COM"</f>
        <v>COM</v>
      </c>
      <c r="G693" t="str">
        <f>"DROGARIA POUPA MINAS (DOIS AMIGOS) 5 (10140)"</f>
        <v>DROGARIA POUPA MINAS (DOIS AMIGOS) 5 (10140)</v>
      </c>
      <c r="H693" t="str">
        <f>"Serv.Prest. 08/12/2025 a 14/12/2025 - RPS: 1812 - NFSe: 4050"</f>
        <v>Serv.Prest. 08/12/2025 a 14/12/2025 - RPS: 1812 - NFSe: 4050</v>
      </c>
      <c r="I693" t="str">
        <f t="shared" ref="I693:I698" si="243">("18/12/2025")</f>
        <v>18/12/2025</v>
      </c>
      <c r="J693" t="str">
        <f>("15/12/2025")</f>
        <v>15/12/2025</v>
      </c>
      <c r="K693" t="str">
        <f>("19/12/2025")</f>
        <v>19/12/2025</v>
      </c>
      <c r="L693">
        <v>826.2</v>
      </c>
      <c r="M693">
        <v>826.2</v>
      </c>
      <c r="N693">
        <v>303</v>
      </c>
      <c r="O693" t="str">
        <f>"RECEITAS COM ENTREGAS"</f>
        <v>RECEITAS COM ENTREGAS</v>
      </c>
      <c r="P693">
        <v>826.2</v>
      </c>
      <c r="S693" t="str">
        <f>"RECEITAS COM ENTREGAS (303)"</f>
        <v>RECEITAS COM ENTREGAS (303)</v>
      </c>
      <c r="T693">
        <v>3868</v>
      </c>
      <c r="U693">
        <v>3065</v>
      </c>
      <c r="V693" t="s">
        <v>36</v>
      </c>
    </row>
    <row r="694" spans="1:22">
      <c r="A694" t="str">
        <f t="shared" si="236"/>
        <v>19/12/2025</v>
      </c>
      <c r="B694" t="str">
        <f t="shared" si="239"/>
        <v>ENTRADA</v>
      </c>
      <c r="C694" t="str">
        <f t="shared" si="240"/>
        <v>NFSE</v>
      </c>
      <c r="D694" t="str">
        <f>"4050"</f>
        <v>4050</v>
      </c>
      <c r="E694" t="str">
        <f t="shared" si="241"/>
        <v>1</v>
      </c>
      <c r="F694" t="str">
        <f t="shared" si="242"/>
        <v>COM</v>
      </c>
      <c r="G694" t="str">
        <f>"DROGARIA POUPA MINAS (DOIS AMIGOS) 5 (10140)"</f>
        <v>DROGARIA POUPA MINAS (DOIS AMIGOS) 5 (10140)</v>
      </c>
      <c r="H694" t="s">
        <v>215</v>
      </c>
      <c r="I694" t="str">
        <f t="shared" si="243"/>
        <v>18/12/2025</v>
      </c>
      <c r="J694" t="str">
        <f>("15/12/2025")</f>
        <v>15/12/2025</v>
      </c>
      <c r="K694">
        <v>46010</v>
      </c>
      <c r="N694">
        <v>303</v>
      </c>
      <c r="O694" t="s">
        <v>30</v>
      </c>
      <c r="Q694">
        <v>826.2</v>
      </c>
      <c r="R694" t="str">
        <f>"DROGARIA POUPA MINAS (ULTRAMINAS) 1 (10181)"</f>
        <v>DROGARIA POUPA MINAS (ULTRAMINAS) 1 (10181)</v>
      </c>
      <c r="S694" t="s">
        <v>31</v>
      </c>
      <c r="T694">
        <v>3868</v>
      </c>
      <c r="U694">
        <v>3065</v>
      </c>
      <c r="V694" t="s">
        <v>36</v>
      </c>
    </row>
    <row r="695" spans="1:22">
      <c r="A695" t="str">
        <f t="shared" si="236"/>
        <v>19/12/2025</v>
      </c>
      <c r="B695" t="str">
        <f t="shared" si="239"/>
        <v>ENTRADA</v>
      </c>
      <c r="C695" t="str">
        <f t="shared" si="240"/>
        <v>NFSE</v>
      </c>
      <c r="D695" t="str">
        <f>"4051"</f>
        <v>4051</v>
      </c>
      <c r="E695" t="str">
        <f t="shared" si="241"/>
        <v>1</v>
      </c>
      <c r="F695" t="str">
        <f t="shared" si="242"/>
        <v>COM</v>
      </c>
      <c r="G695" t="str">
        <f>"DROGARIA POUPA MINAS (ULTRAMINAS) 3 (10129)"</f>
        <v>DROGARIA POUPA MINAS (ULTRAMINAS) 3 (10129)</v>
      </c>
      <c r="H695" t="str">
        <f>"Serv.Prest. 08/12/2025 a 14/12/2025 - RPS: 1813 - NFSe: 4051"</f>
        <v>Serv.Prest. 08/12/2025 a 14/12/2025 - RPS: 1813 - NFSe: 4051</v>
      </c>
      <c r="I695" t="str">
        <f t="shared" si="243"/>
        <v>18/12/2025</v>
      </c>
      <c r="J695" t="str">
        <f>("15/12/2025")</f>
        <v>15/12/2025</v>
      </c>
      <c r="K695" t="str">
        <f>("19/12/2025")</f>
        <v>19/12/2025</v>
      </c>
      <c r="L695">
        <v>171.6</v>
      </c>
      <c r="M695">
        <v>171.6</v>
      </c>
      <c r="N695">
        <v>303</v>
      </c>
      <c r="O695" t="str">
        <f>"RECEITAS COM ENTREGAS"</f>
        <v>RECEITAS COM ENTREGAS</v>
      </c>
      <c r="P695">
        <v>171.6</v>
      </c>
      <c r="S695" t="str">
        <f>"RECEITAS COM ENTREGAS (303)"</f>
        <v>RECEITAS COM ENTREGAS (303)</v>
      </c>
      <c r="T695">
        <v>3869</v>
      </c>
      <c r="U695">
        <v>3066</v>
      </c>
      <c r="V695" t="s">
        <v>36</v>
      </c>
    </row>
    <row r="696" spans="1:22">
      <c r="A696" t="str">
        <f t="shared" si="236"/>
        <v>19/12/2025</v>
      </c>
      <c r="B696" t="str">
        <f t="shared" si="239"/>
        <v>ENTRADA</v>
      </c>
      <c r="C696" t="str">
        <f t="shared" si="240"/>
        <v>NFSE</v>
      </c>
      <c r="D696" t="str">
        <f>"4051"</f>
        <v>4051</v>
      </c>
      <c r="E696" t="str">
        <f t="shared" si="241"/>
        <v>1</v>
      </c>
      <c r="F696" t="str">
        <f t="shared" si="242"/>
        <v>COM</v>
      </c>
      <c r="G696" t="str">
        <f>"DROGARIA POUPA MINAS (ULTRAMINAS) 3 (10129)"</f>
        <v>DROGARIA POUPA MINAS (ULTRAMINAS) 3 (10129)</v>
      </c>
      <c r="H696" t="s">
        <v>216</v>
      </c>
      <c r="I696" t="str">
        <f t="shared" si="243"/>
        <v>18/12/2025</v>
      </c>
      <c r="J696" t="str">
        <f>("15/12/2025")</f>
        <v>15/12/2025</v>
      </c>
      <c r="K696">
        <v>46010</v>
      </c>
      <c r="N696">
        <v>303</v>
      </c>
      <c r="O696" t="s">
        <v>30</v>
      </c>
      <c r="Q696">
        <v>171.6</v>
      </c>
      <c r="R696" t="str">
        <f>"DROGARIA POUPA MINAS (ULTRAMINAS) 3 (10129)"</f>
        <v>DROGARIA POUPA MINAS (ULTRAMINAS) 3 (10129)</v>
      </c>
      <c r="S696" t="s">
        <v>31</v>
      </c>
      <c r="T696">
        <v>3869</v>
      </c>
      <c r="U696">
        <v>3066</v>
      </c>
      <c r="V696" t="s">
        <v>36</v>
      </c>
    </row>
    <row r="697" spans="1:22">
      <c r="A697" t="str">
        <f t="shared" si="236"/>
        <v>19/12/2025</v>
      </c>
      <c r="B697" t="str">
        <f t="shared" si="239"/>
        <v>ENTRADA</v>
      </c>
      <c r="C697" t="str">
        <f t="shared" si="240"/>
        <v>NFSE</v>
      </c>
      <c r="D697" t="str">
        <f>"4071"</f>
        <v>4071</v>
      </c>
      <c r="E697" t="str">
        <f t="shared" si="241"/>
        <v>1</v>
      </c>
      <c r="F697" t="str">
        <f t="shared" si="242"/>
        <v>COM</v>
      </c>
      <c r="G697" t="str">
        <f>"DROGARIA ISABELLA (10276)"</f>
        <v>DROGARIA ISABELLA (10276)</v>
      </c>
      <c r="H697" t="str">
        <f>"Serv.Prest. 08/12/2025 a 14/12/2025 - RPS: 1833 - NFSe: 4071"</f>
        <v>Serv.Prest. 08/12/2025 a 14/12/2025 - RPS: 1833 - NFSe: 4071</v>
      </c>
      <c r="I697" t="str">
        <f t="shared" si="243"/>
        <v>18/12/2025</v>
      </c>
      <c r="J697" t="str">
        <f>("17/12/2025")</f>
        <v>17/12/2025</v>
      </c>
      <c r="K697" t="str">
        <f>("19/12/2025")</f>
        <v>19/12/2025</v>
      </c>
      <c r="L697">
        <v>84.6</v>
      </c>
      <c r="M697">
        <v>84.6</v>
      </c>
      <c r="N697">
        <v>303</v>
      </c>
      <c r="O697" t="str">
        <f>"RECEITAS COM ENTREGAS"</f>
        <v>RECEITAS COM ENTREGAS</v>
      </c>
      <c r="P697">
        <v>84.6</v>
      </c>
      <c r="S697" t="str">
        <f>"RECEITAS COM ENTREGAS (303)"</f>
        <v>RECEITAS COM ENTREGAS (303)</v>
      </c>
      <c r="T697">
        <v>3870</v>
      </c>
      <c r="U697">
        <v>3089</v>
      </c>
      <c r="V697" t="s">
        <v>36</v>
      </c>
    </row>
    <row r="698" spans="1:22">
      <c r="A698" t="str">
        <f t="shared" si="236"/>
        <v>19/12/2025</v>
      </c>
      <c r="B698" t="str">
        <f t="shared" si="239"/>
        <v>ENTRADA</v>
      </c>
      <c r="C698" t="str">
        <f t="shared" si="240"/>
        <v>NFSE</v>
      </c>
      <c r="D698" t="str">
        <f>"4071"</f>
        <v>4071</v>
      </c>
      <c r="E698" t="str">
        <f t="shared" si="241"/>
        <v>1</v>
      </c>
      <c r="F698" t="str">
        <f t="shared" si="242"/>
        <v>COM</v>
      </c>
      <c r="G698" t="str">
        <f>"DROGARIA ISABELLA (10276)"</f>
        <v>DROGARIA ISABELLA (10276)</v>
      </c>
      <c r="H698" t="s">
        <v>217</v>
      </c>
      <c r="I698" t="str">
        <f t="shared" si="243"/>
        <v>18/12/2025</v>
      </c>
      <c r="J698" t="str">
        <f>("17/12/2025")</f>
        <v>17/12/2025</v>
      </c>
      <c r="K698">
        <v>46010</v>
      </c>
      <c r="N698">
        <v>303</v>
      </c>
      <c r="O698" t="s">
        <v>30</v>
      </c>
      <c r="Q698">
        <v>84.6</v>
      </c>
      <c r="R698" t="str">
        <f>"DROGARIA ISABELLA (10276)"</f>
        <v>DROGARIA ISABELLA (10276)</v>
      </c>
      <c r="S698" t="s">
        <v>31</v>
      </c>
      <c r="T698">
        <v>3870</v>
      </c>
      <c r="U698">
        <v>3089</v>
      </c>
      <c r="V698" t="s">
        <v>36</v>
      </c>
    </row>
    <row r="699" spans="1:22">
      <c r="A699" t="str">
        <f t="shared" ref="A699:A704" si="244">("22/12/2025")</f>
        <v>22/12/2025</v>
      </c>
      <c r="B699" t="str">
        <f>"SAÍDA"</f>
        <v>SAÍDA</v>
      </c>
      <c r="C699" t="str">
        <f>"BOLETO"</f>
        <v>BOLETO</v>
      </c>
      <c r="D699" t="str">
        <f>"072025050485432"</f>
        <v>072025050485432</v>
      </c>
      <c r="E699" t="str">
        <f>"43"</f>
        <v>43</v>
      </c>
      <c r="F699" t="str">
        <f t="shared" si="242"/>
        <v>COM</v>
      </c>
      <c r="G699" t="str">
        <f>"MINISTERIO DA FAZENDA (20009)"</f>
        <v>MINISTERIO DA FAZENDA (20009)</v>
      </c>
      <c r="H699" t="str">
        <f>"SIMPLES NACIONAL MES 11/2025"</f>
        <v>SIMPLES NACIONAL MES 11/2025</v>
      </c>
      <c r="I699" t="str">
        <f t="shared" ref="I699:I704" si="245">("22/12/2025")</f>
        <v>22/12/2025</v>
      </c>
      <c r="J699" t="str">
        <f>("18/12/2025")</f>
        <v>18/12/2025</v>
      </c>
      <c r="K699" t="str">
        <f>("22/12/2025")</f>
        <v>22/12/2025</v>
      </c>
      <c r="L699">
        <v>1630.13</v>
      </c>
      <c r="M699">
        <v>1630.13</v>
      </c>
      <c r="N699">
        <v>144</v>
      </c>
      <c r="O699" t="str">
        <f>"SIMPLES NACIONAL (DASN)"</f>
        <v>SIMPLES NACIONAL (DASN)</v>
      </c>
      <c r="P699">
        <v>1630.13</v>
      </c>
      <c r="S699" t="str">
        <f>"BANCO CORA (102)"</f>
        <v>BANCO CORA (102)</v>
      </c>
      <c r="T699">
        <v>3566</v>
      </c>
      <c r="U699">
        <v>901</v>
      </c>
      <c r="V699" t="s">
        <v>22</v>
      </c>
    </row>
    <row r="700" spans="1:22">
      <c r="A700" t="str">
        <f t="shared" si="244"/>
        <v>22/12/2025</v>
      </c>
      <c r="B700" t="str">
        <f>"SAÍDA"</f>
        <v>SAÍDA</v>
      </c>
      <c r="C700" t="str">
        <f>"BOLETO"</f>
        <v>BOLETO</v>
      </c>
      <c r="D700" t="str">
        <f>"072025050485432"</f>
        <v>072025050485432</v>
      </c>
      <c r="E700" t="str">
        <f>"43"</f>
        <v>43</v>
      </c>
      <c r="F700" t="str">
        <f t="shared" si="242"/>
        <v>COM</v>
      </c>
      <c r="G700" t="str">
        <f>"MINISTERIO DA FAZENDA (20009)"</f>
        <v>MINISTERIO DA FAZENDA (20009)</v>
      </c>
      <c r="H700" t="s">
        <v>218</v>
      </c>
      <c r="I700" t="str">
        <f t="shared" si="245"/>
        <v>22/12/2025</v>
      </c>
      <c r="J700" t="str">
        <f>("18/12/2025")</f>
        <v>18/12/2025</v>
      </c>
      <c r="K700">
        <v>46013</v>
      </c>
      <c r="N700">
        <v>144</v>
      </c>
      <c r="O700" t="s">
        <v>219</v>
      </c>
      <c r="Q700">
        <v>1630.13</v>
      </c>
      <c r="R700" t="str">
        <f>"MINISTERIO DA FAZENDA (20009)"</f>
        <v>MINISTERIO DA FAZENDA (20009)</v>
      </c>
      <c r="S700" t="s">
        <v>22</v>
      </c>
      <c r="T700">
        <v>3566</v>
      </c>
      <c r="U700">
        <v>901</v>
      </c>
      <c r="V700" t="s">
        <v>22</v>
      </c>
    </row>
    <row r="701" spans="1:22">
      <c r="A701" t="str">
        <f t="shared" si="244"/>
        <v>22/12/2025</v>
      </c>
      <c r="B701" t="str">
        <f>"SAÍDA"</f>
        <v>SAÍDA</v>
      </c>
      <c r="C701" t="str">
        <f>"RESGATE"</f>
        <v>RESGATE</v>
      </c>
      <c r="D701" t="str">
        <f>""</f>
        <v/>
      </c>
      <c r="F701" t="str">
        <f>"RES"</f>
        <v>RES</v>
      </c>
      <c r="G701" t="str">
        <f>""</f>
        <v/>
      </c>
      <c r="H701" t="str">
        <f>"RESG.APLIC.FIN.AVISO PREV"</f>
        <v>RESG.APLIC.FIN.AVISO PREV</v>
      </c>
      <c r="I701" t="str">
        <f t="shared" si="245"/>
        <v>22/12/2025</v>
      </c>
      <c r="J701" t="str">
        <f t="shared" ref="J701:K704" si="246">("22/12/2025")</f>
        <v>22/12/2025</v>
      </c>
      <c r="K701" t="str">
        <f t="shared" si="246"/>
        <v>22/12/2025</v>
      </c>
      <c r="N701">
        <v>121</v>
      </c>
      <c r="O701" t="str">
        <f>"APLICAÇÃO BANCO A"</f>
        <v>APLICAÇÃO BANCO A</v>
      </c>
      <c r="P701">
        <v>60000</v>
      </c>
      <c r="S701" t="str">
        <f>"APLICAÇÃO BANCO A (121)"</f>
        <v>APLICAÇÃO BANCO A (121)</v>
      </c>
      <c r="T701">
        <v>3744</v>
      </c>
      <c r="U701">
        <v>0</v>
      </c>
      <c r="V701" t="s">
        <v>35</v>
      </c>
    </row>
    <row r="702" spans="1:22">
      <c r="A702" t="str">
        <f t="shared" si="244"/>
        <v>22/12/2025</v>
      </c>
      <c r="B702" t="str">
        <f>"ENTRADA"</f>
        <v>ENTRADA</v>
      </c>
      <c r="C702" t="str">
        <f>"RESGATE"</f>
        <v>RESGATE</v>
      </c>
      <c r="D702" t="str">
        <f>""</f>
        <v/>
      </c>
      <c r="F702" t="str">
        <f>"RES"</f>
        <v>RES</v>
      </c>
      <c r="G702" t="str">
        <f>""</f>
        <v/>
      </c>
      <c r="H702" t="str">
        <f>"RESG.APLIC.FIN.AVISO PREV"</f>
        <v>RESG.APLIC.FIN.AVISO PREV</v>
      </c>
      <c r="I702" t="str">
        <f t="shared" si="245"/>
        <v>22/12/2025</v>
      </c>
      <c r="J702" t="str">
        <f t="shared" si="246"/>
        <v>22/12/2025</v>
      </c>
      <c r="K702" t="str">
        <f t="shared" si="246"/>
        <v>22/12/2025</v>
      </c>
      <c r="N702">
        <v>131</v>
      </c>
      <c r="O702" t="str">
        <f>"BANCO SICREDI"</f>
        <v>BANCO SICREDI</v>
      </c>
      <c r="S702" t="str">
        <f>"BANCO SICREDI (131)"</f>
        <v>BANCO SICREDI (131)</v>
      </c>
      <c r="T702">
        <v>3744</v>
      </c>
      <c r="U702">
        <v>0</v>
      </c>
      <c r="V702" t="s">
        <v>36</v>
      </c>
    </row>
    <row r="703" spans="1:22">
      <c r="A703" t="str">
        <f t="shared" si="244"/>
        <v>22/12/2025</v>
      </c>
      <c r="B703" t="str">
        <f>"SAÍDA"</f>
        <v>SAÍDA</v>
      </c>
      <c r="C703" t="str">
        <f>""</f>
        <v/>
      </c>
      <c r="D703" t="str">
        <f>""</f>
        <v/>
      </c>
      <c r="F703" t="str">
        <f>"CXA"</f>
        <v>CXA</v>
      </c>
      <c r="G703" t="str">
        <f>""</f>
        <v/>
      </c>
      <c r="H703" t="str">
        <f>"INCENTIVO NOVOS SOCIOS"</f>
        <v>INCENTIVO NOVOS SOCIOS</v>
      </c>
      <c r="I703" t="str">
        <f t="shared" si="245"/>
        <v>22/12/2025</v>
      </c>
      <c r="J703" t="str">
        <f t="shared" si="246"/>
        <v>22/12/2025</v>
      </c>
      <c r="K703" t="str">
        <f t="shared" si="246"/>
        <v>22/12/2025</v>
      </c>
      <c r="L703">
        <v>1</v>
      </c>
      <c r="M703">
        <v>1</v>
      </c>
      <c r="N703">
        <v>111</v>
      </c>
      <c r="O703" t="str">
        <f>"OUTRAS DESPESAS / TAXAS"</f>
        <v>OUTRAS DESPESAS / TAXAS</v>
      </c>
      <c r="P703">
        <v>1</v>
      </c>
      <c r="S703" t="str">
        <f>"BANCO SICREDI (131)"</f>
        <v>BANCO SICREDI (131)</v>
      </c>
      <c r="T703">
        <v>3749</v>
      </c>
      <c r="U703">
        <v>0</v>
      </c>
      <c r="V703" t="s">
        <v>220</v>
      </c>
    </row>
    <row r="704" spans="1:22">
      <c r="A704" t="str">
        <f t="shared" si="244"/>
        <v>22/12/2025</v>
      </c>
      <c r="B704" t="str">
        <f>"ENTRADA"</f>
        <v>ENTRADA</v>
      </c>
      <c r="C704" t="str">
        <f>""</f>
        <v/>
      </c>
      <c r="D704" t="str">
        <f>""</f>
        <v/>
      </c>
      <c r="F704" t="str">
        <f>"CXA"</f>
        <v>CXA</v>
      </c>
      <c r="G704" t="str">
        <f>""</f>
        <v/>
      </c>
      <c r="H704" t="str">
        <f>"INCENTIVO NOVOS SOCIOS	INTCOTA	R$1,00 "</f>
        <v xml:space="preserve">INCENTIVO NOVOS SOCIOS	INTCOTA	R$1,00 </v>
      </c>
      <c r="I704" t="str">
        <f t="shared" si="245"/>
        <v>22/12/2025</v>
      </c>
      <c r="J704" t="str">
        <f t="shared" si="246"/>
        <v>22/12/2025</v>
      </c>
      <c r="K704" t="str">
        <f t="shared" si="246"/>
        <v>22/12/2025</v>
      </c>
      <c r="L704">
        <v>1</v>
      </c>
      <c r="M704">
        <v>1</v>
      </c>
      <c r="N704">
        <v>150</v>
      </c>
      <c r="O704" t="str">
        <f>"RENDIMENTOS APLICAÇOES"</f>
        <v>RENDIMENTOS APLICAÇOES</v>
      </c>
      <c r="P704">
        <v>1</v>
      </c>
      <c r="S704" t="str">
        <f>"RENDIMENTOS APLICAÇOES (150)"</f>
        <v>RENDIMENTOS APLICAÇOES (150)</v>
      </c>
      <c r="T704">
        <v>3917</v>
      </c>
      <c r="U704">
        <v>0</v>
      </c>
      <c r="V704" t="s">
        <v>221</v>
      </c>
    </row>
    <row r="705" spans="1:22">
      <c r="A705" t="str">
        <f t="shared" ref="A705:A736" si="247">("23/12/2025")</f>
        <v>23/12/2025</v>
      </c>
      <c r="B705" t="str">
        <f>"SAÍDA"</f>
        <v>SAÍDA</v>
      </c>
      <c r="C705" t="str">
        <f>"PIX"</f>
        <v>PIX</v>
      </c>
      <c r="D705" t="str">
        <f>"23122025"</f>
        <v>23122025</v>
      </c>
      <c r="E705" t="str">
        <f>""</f>
        <v/>
      </c>
      <c r="F705" t="str">
        <f t="shared" ref="F705:F732" si="248">"COM"</f>
        <v>COM</v>
      </c>
      <c r="G705" t="str">
        <f>"HUGO DE MATOS PEREIRA (20087)"</f>
        <v>HUGO DE MATOS PEREIRA (20087)</v>
      </c>
      <c r="H705" t="str">
        <f>"SESSÃO DE FOTOS PROFISSIONAIS "</f>
        <v xml:space="preserve">SESSÃO DE FOTOS PROFISSIONAIS </v>
      </c>
      <c r="I705" t="str">
        <f>("23/12/2025")</f>
        <v>23/12/2025</v>
      </c>
      <c r="J705" t="str">
        <f>("23/12/2025")</f>
        <v>23/12/2025</v>
      </c>
      <c r="K705" t="str">
        <f>("23/12/2025")</f>
        <v>23/12/2025</v>
      </c>
      <c r="L705">
        <v>750</v>
      </c>
      <c r="M705">
        <v>750</v>
      </c>
      <c r="N705">
        <v>127</v>
      </c>
      <c r="O705" t="str">
        <f>"PUBLICIDADE E PROPAGANDAS"</f>
        <v>PUBLICIDADE E PROPAGANDAS</v>
      </c>
      <c r="P705">
        <v>750</v>
      </c>
      <c r="S705" t="str">
        <f>"BANCO CORA (102)"</f>
        <v>BANCO CORA (102)</v>
      </c>
      <c r="T705">
        <v>3578</v>
      </c>
      <c r="U705">
        <v>3134</v>
      </c>
      <c r="V705" t="s">
        <v>22</v>
      </c>
    </row>
    <row r="706" spans="1:22">
      <c r="A706" t="str">
        <f t="shared" si="247"/>
        <v>23/12/2025</v>
      </c>
      <c r="B706" t="str">
        <f>"SAÍDA"</f>
        <v>SAÍDA</v>
      </c>
      <c r="C706" t="str">
        <f>"PIX"</f>
        <v>PIX</v>
      </c>
      <c r="D706" t="str">
        <f>"23122025"</f>
        <v>23122025</v>
      </c>
      <c r="E706" t="str">
        <f>""</f>
        <v/>
      </c>
      <c r="F706" t="str">
        <f t="shared" si="248"/>
        <v>COM</v>
      </c>
      <c r="G706" t="str">
        <f>"HUGO DE MATOS PEREIRA (20087)"</f>
        <v>HUGO DE MATOS PEREIRA (20087)</v>
      </c>
      <c r="H706" t="s">
        <v>222</v>
      </c>
      <c r="I706" t="str">
        <f>("23/12/2025")</f>
        <v>23/12/2025</v>
      </c>
      <c r="J706" t="str">
        <f>("23/12/2025")</f>
        <v>23/12/2025</v>
      </c>
      <c r="K706">
        <v>46014</v>
      </c>
      <c r="N706">
        <v>127</v>
      </c>
      <c r="O706" t="s">
        <v>24</v>
      </c>
      <c r="Q706">
        <v>750</v>
      </c>
      <c r="R706" t="str">
        <f>"HUGO DE MATOS PEREIRA (20087)"</f>
        <v>HUGO DE MATOS PEREIRA (20087)</v>
      </c>
      <c r="S706" t="s">
        <v>22</v>
      </c>
      <c r="T706">
        <v>3578</v>
      </c>
      <c r="U706">
        <v>3134</v>
      </c>
      <c r="V706" t="s">
        <v>22</v>
      </c>
    </row>
    <row r="707" spans="1:22">
      <c r="A707" t="str">
        <f t="shared" si="247"/>
        <v>23/12/2025</v>
      </c>
      <c r="B707" t="str">
        <f t="shared" ref="B707:B718" si="249">"ENTRADA"</f>
        <v>ENTRADA</v>
      </c>
      <c r="C707" t="str">
        <f t="shared" ref="C707:C718" si="250">"NFSE"</f>
        <v>NFSE</v>
      </c>
      <c r="D707" t="str">
        <f>"4110"</f>
        <v>4110</v>
      </c>
      <c r="E707" t="str">
        <f t="shared" ref="E707:E718" si="251">"1"</f>
        <v>1</v>
      </c>
      <c r="F707" t="str">
        <f t="shared" si="248"/>
        <v>COM</v>
      </c>
      <c r="G707" t="str">
        <f>"DROGARIA ISABELLA (10276)"</f>
        <v>DROGARIA ISABELLA (10276)</v>
      </c>
      <c r="H707" t="str">
        <f>"Serv.Prest. 15/12/2025 a 21/12/2025 - RPS: 1872 - NFSe: 4110"</f>
        <v>Serv.Prest. 15/12/2025 a 21/12/2025 - RPS: 1872 - NFSe: 4110</v>
      </c>
      <c r="I707" t="str">
        <f>("24/12/2025")</f>
        <v>24/12/2025</v>
      </c>
      <c r="J707" t="str">
        <f>("22/12/2025")</f>
        <v>22/12/2025</v>
      </c>
      <c r="K707" t="str">
        <f>("23/12/2025")</f>
        <v>23/12/2025</v>
      </c>
      <c r="L707">
        <v>295.2</v>
      </c>
      <c r="M707">
        <v>295.2</v>
      </c>
      <c r="N707">
        <v>303</v>
      </c>
      <c r="O707" t="str">
        <f>"RECEITAS COM ENTREGAS"</f>
        <v>RECEITAS COM ENTREGAS</v>
      </c>
      <c r="P707">
        <v>295.2</v>
      </c>
      <c r="S707" t="str">
        <f>"RECEITAS COM ENTREGAS (303)"</f>
        <v>RECEITAS COM ENTREGAS (303)</v>
      </c>
      <c r="T707">
        <v>3618</v>
      </c>
      <c r="U707">
        <v>3128</v>
      </c>
      <c r="V707" t="s">
        <v>22</v>
      </c>
    </row>
    <row r="708" spans="1:22">
      <c r="A708" t="str">
        <f t="shared" si="247"/>
        <v>23/12/2025</v>
      </c>
      <c r="B708" t="str">
        <f t="shared" si="249"/>
        <v>ENTRADA</v>
      </c>
      <c r="C708" t="str">
        <f t="shared" si="250"/>
        <v>NFSE</v>
      </c>
      <c r="D708" t="str">
        <f>"4110"</f>
        <v>4110</v>
      </c>
      <c r="E708" t="str">
        <f t="shared" si="251"/>
        <v>1</v>
      </c>
      <c r="F708" t="str">
        <f t="shared" si="248"/>
        <v>COM</v>
      </c>
      <c r="G708" t="str">
        <f>"DROGARIA ISABELLA (10276)"</f>
        <v>DROGARIA ISABELLA (10276)</v>
      </c>
      <c r="H708" t="s">
        <v>223</v>
      </c>
      <c r="I708" t="str">
        <f>("24/12/2025")</f>
        <v>24/12/2025</v>
      </c>
      <c r="J708" t="str">
        <f>("22/12/2025")</f>
        <v>22/12/2025</v>
      </c>
      <c r="K708">
        <v>46014</v>
      </c>
      <c r="N708">
        <v>303</v>
      </c>
      <c r="O708" t="s">
        <v>30</v>
      </c>
      <c r="Q708">
        <v>295.2</v>
      </c>
      <c r="R708" t="str">
        <f>"DROGARIA ISABELLA (10276)"</f>
        <v>DROGARIA ISABELLA (10276)</v>
      </c>
      <c r="S708" t="s">
        <v>31</v>
      </c>
      <c r="T708">
        <v>3618</v>
      </c>
      <c r="U708">
        <v>3128</v>
      </c>
      <c r="V708" t="s">
        <v>22</v>
      </c>
    </row>
    <row r="709" spans="1:22">
      <c r="A709" t="str">
        <f t="shared" si="247"/>
        <v>23/12/2025</v>
      </c>
      <c r="B709" t="str">
        <f t="shared" si="249"/>
        <v>ENTRADA</v>
      </c>
      <c r="C709" t="str">
        <f t="shared" si="250"/>
        <v>NFSE</v>
      </c>
      <c r="D709" t="str">
        <f>"3989"</f>
        <v>3989</v>
      </c>
      <c r="E709" t="str">
        <f t="shared" si="251"/>
        <v>1</v>
      </c>
      <c r="F709" t="str">
        <f t="shared" si="248"/>
        <v>COM</v>
      </c>
      <c r="G709" t="str">
        <f>"PAGMENOS - LJ 768 (10266)"</f>
        <v>PAGMENOS - LJ 768 (10266)</v>
      </c>
      <c r="H709" t="str">
        <f>"Serv.Prest. 01/12/2025 a 07/12/2025 - RPS: 1751 - NFSe: 3989"</f>
        <v>Serv.Prest. 01/12/2025 a 07/12/2025 - RPS: 1751 - NFSe: 3989</v>
      </c>
      <c r="I709" t="str">
        <f t="shared" ref="I709:I718" si="252">("17/12/2025")</f>
        <v>17/12/2025</v>
      </c>
      <c r="J709" t="str">
        <f t="shared" ref="J709:J718" si="253">("08/12/2025")</f>
        <v>08/12/2025</v>
      </c>
      <c r="K709" t="str">
        <f>("23/12/2025")</f>
        <v>23/12/2025</v>
      </c>
      <c r="L709">
        <v>253.65</v>
      </c>
      <c r="M709">
        <v>253.65</v>
      </c>
      <c r="N709">
        <v>303</v>
      </c>
      <c r="O709" t="str">
        <f>"RECEITAS COM ENTREGAS"</f>
        <v>RECEITAS COM ENTREGAS</v>
      </c>
      <c r="P709">
        <v>253.65</v>
      </c>
      <c r="S709" t="str">
        <f>"RECEITAS COM ENTREGAS (303)"</f>
        <v>RECEITAS COM ENTREGAS (303)</v>
      </c>
      <c r="T709">
        <v>3619</v>
      </c>
      <c r="U709">
        <v>3001</v>
      </c>
      <c r="V709" t="s">
        <v>22</v>
      </c>
    </row>
    <row r="710" spans="1:22">
      <c r="A710" t="str">
        <f t="shared" si="247"/>
        <v>23/12/2025</v>
      </c>
      <c r="B710" t="str">
        <f t="shared" si="249"/>
        <v>ENTRADA</v>
      </c>
      <c r="C710" t="str">
        <f t="shared" si="250"/>
        <v>NFSE</v>
      </c>
      <c r="D710" t="str">
        <f>"3989"</f>
        <v>3989</v>
      </c>
      <c r="E710" t="str">
        <f t="shared" si="251"/>
        <v>1</v>
      </c>
      <c r="F710" t="str">
        <f t="shared" si="248"/>
        <v>COM</v>
      </c>
      <c r="G710" t="str">
        <f>"PAGMENOS - LJ 768 (10266)"</f>
        <v>PAGMENOS - LJ 768 (10266)</v>
      </c>
      <c r="H710" t="s">
        <v>224</v>
      </c>
      <c r="I710" t="str">
        <f t="shared" si="252"/>
        <v>17/12/2025</v>
      </c>
      <c r="J710" t="str">
        <f t="shared" si="253"/>
        <v>08/12/2025</v>
      </c>
      <c r="K710">
        <v>46014</v>
      </c>
      <c r="N710">
        <v>303</v>
      </c>
      <c r="O710" t="s">
        <v>30</v>
      </c>
      <c r="Q710">
        <v>253.65</v>
      </c>
      <c r="R710" t="str">
        <f>"PAGMENOS - LJ 768 (10266)"</f>
        <v>PAGMENOS - LJ 768 (10266)</v>
      </c>
      <c r="S710" t="s">
        <v>31</v>
      </c>
      <c r="T710">
        <v>3619</v>
      </c>
      <c r="U710">
        <v>3001</v>
      </c>
      <c r="V710" t="s">
        <v>22</v>
      </c>
    </row>
    <row r="711" spans="1:22">
      <c r="A711" t="str">
        <f t="shared" si="247"/>
        <v>23/12/2025</v>
      </c>
      <c r="B711" t="str">
        <f t="shared" si="249"/>
        <v>ENTRADA</v>
      </c>
      <c r="C711" t="str">
        <f t="shared" si="250"/>
        <v>NFSE</v>
      </c>
      <c r="D711" t="str">
        <f>"3985"</f>
        <v>3985</v>
      </c>
      <c r="E711" t="str">
        <f t="shared" si="251"/>
        <v>1</v>
      </c>
      <c r="F711" t="str">
        <f t="shared" si="248"/>
        <v>COM</v>
      </c>
      <c r="G711" t="str">
        <f>"PAGMENOS - LJ 657 (10136)"</f>
        <v>PAGMENOS - LJ 657 (10136)</v>
      </c>
      <c r="H711" t="str">
        <f>"Serv.Prest. 01/12/2025 a 07/12/2025 - RPS: 1747 - NFSe: 3985"</f>
        <v>Serv.Prest. 01/12/2025 a 07/12/2025 - RPS: 1747 - NFSe: 3985</v>
      </c>
      <c r="I711" t="str">
        <f t="shared" si="252"/>
        <v>17/12/2025</v>
      </c>
      <c r="J711" t="str">
        <f t="shared" si="253"/>
        <v>08/12/2025</v>
      </c>
      <c r="K711" t="str">
        <f>("23/12/2025")</f>
        <v>23/12/2025</v>
      </c>
      <c r="L711">
        <v>550.62</v>
      </c>
      <c r="M711">
        <v>550.62</v>
      </c>
      <c r="N711">
        <v>303</v>
      </c>
      <c r="O711" t="str">
        <f>"RECEITAS COM ENTREGAS"</f>
        <v>RECEITAS COM ENTREGAS</v>
      </c>
      <c r="P711">
        <v>550.62</v>
      </c>
      <c r="S711" t="str">
        <f>"RECEITAS COM ENTREGAS (303)"</f>
        <v>RECEITAS COM ENTREGAS (303)</v>
      </c>
      <c r="T711">
        <v>3620</v>
      </c>
      <c r="U711">
        <v>2997</v>
      </c>
      <c r="V711" t="s">
        <v>22</v>
      </c>
    </row>
    <row r="712" spans="1:22">
      <c r="A712" t="str">
        <f t="shared" si="247"/>
        <v>23/12/2025</v>
      </c>
      <c r="B712" t="str">
        <f t="shared" si="249"/>
        <v>ENTRADA</v>
      </c>
      <c r="C712" t="str">
        <f t="shared" si="250"/>
        <v>NFSE</v>
      </c>
      <c r="D712" t="str">
        <f>"3985"</f>
        <v>3985</v>
      </c>
      <c r="E712" t="str">
        <f t="shared" si="251"/>
        <v>1</v>
      </c>
      <c r="F712" t="str">
        <f t="shared" si="248"/>
        <v>COM</v>
      </c>
      <c r="G712" t="str">
        <f>"PAGMENOS - LJ 657 (10136)"</f>
        <v>PAGMENOS - LJ 657 (10136)</v>
      </c>
      <c r="H712" t="s">
        <v>225</v>
      </c>
      <c r="I712" t="str">
        <f t="shared" si="252"/>
        <v>17/12/2025</v>
      </c>
      <c r="J712" t="str">
        <f t="shared" si="253"/>
        <v>08/12/2025</v>
      </c>
      <c r="K712">
        <v>46014</v>
      </c>
      <c r="N712">
        <v>303</v>
      </c>
      <c r="O712" t="s">
        <v>30</v>
      </c>
      <c r="Q712">
        <v>550.62</v>
      </c>
      <c r="R712" t="str">
        <f>"PAGMENOS - LJ 657 (10136)"</f>
        <v>PAGMENOS - LJ 657 (10136)</v>
      </c>
      <c r="S712" t="s">
        <v>31</v>
      </c>
      <c r="T712">
        <v>3620</v>
      </c>
      <c r="U712">
        <v>2997</v>
      </c>
      <c r="V712" t="s">
        <v>22</v>
      </c>
    </row>
    <row r="713" spans="1:22">
      <c r="A713" t="str">
        <f t="shared" si="247"/>
        <v>23/12/2025</v>
      </c>
      <c r="B713" t="str">
        <f t="shared" si="249"/>
        <v>ENTRADA</v>
      </c>
      <c r="C713" t="str">
        <f t="shared" si="250"/>
        <v>NFSE</v>
      </c>
      <c r="D713" t="str">
        <f>"3984"</f>
        <v>3984</v>
      </c>
      <c r="E713" t="str">
        <f t="shared" si="251"/>
        <v>1</v>
      </c>
      <c r="F713" t="str">
        <f t="shared" si="248"/>
        <v>COM</v>
      </c>
      <c r="G713" t="str">
        <f>"PAGMENOS - LJ 608 (10135)"</f>
        <v>PAGMENOS - LJ 608 (10135)</v>
      </c>
      <c r="H713" t="str">
        <f>"Serv.Prest. 01/12/2025 a 07/12/2025 - RPS: 1746 - NFSe: 3984"</f>
        <v>Serv.Prest. 01/12/2025 a 07/12/2025 - RPS: 1746 - NFSe: 3984</v>
      </c>
      <c r="I713" t="str">
        <f t="shared" si="252"/>
        <v>17/12/2025</v>
      </c>
      <c r="J713" t="str">
        <f t="shared" si="253"/>
        <v>08/12/2025</v>
      </c>
      <c r="K713" t="str">
        <f>("23/12/2025")</f>
        <v>23/12/2025</v>
      </c>
      <c r="L713">
        <v>220.25</v>
      </c>
      <c r="M713">
        <v>220.25</v>
      </c>
      <c r="N713">
        <v>303</v>
      </c>
      <c r="O713" t="str">
        <f>"RECEITAS COM ENTREGAS"</f>
        <v>RECEITAS COM ENTREGAS</v>
      </c>
      <c r="P713">
        <v>220.25</v>
      </c>
      <c r="S713" t="str">
        <f>"RECEITAS COM ENTREGAS (303)"</f>
        <v>RECEITAS COM ENTREGAS (303)</v>
      </c>
      <c r="T713">
        <v>3621</v>
      </c>
      <c r="U713">
        <v>2996</v>
      </c>
      <c r="V713" t="s">
        <v>22</v>
      </c>
    </row>
    <row r="714" spans="1:22">
      <c r="A714" t="str">
        <f t="shared" si="247"/>
        <v>23/12/2025</v>
      </c>
      <c r="B714" t="str">
        <f t="shared" si="249"/>
        <v>ENTRADA</v>
      </c>
      <c r="C714" t="str">
        <f t="shared" si="250"/>
        <v>NFSE</v>
      </c>
      <c r="D714" t="str">
        <f>"3984"</f>
        <v>3984</v>
      </c>
      <c r="E714" t="str">
        <f t="shared" si="251"/>
        <v>1</v>
      </c>
      <c r="F714" t="str">
        <f t="shared" si="248"/>
        <v>COM</v>
      </c>
      <c r="G714" t="str">
        <f>"PAGMENOS - LJ 608 (10135)"</f>
        <v>PAGMENOS - LJ 608 (10135)</v>
      </c>
      <c r="H714" t="s">
        <v>226</v>
      </c>
      <c r="I714" t="str">
        <f t="shared" si="252"/>
        <v>17/12/2025</v>
      </c>
      <c r="J714" t="str">
        <f t="shared" si="253"/>
        <v>08/12/2025</v>
      </c>
      <c r="K714">
        <v>46014</v>
      </c>
      <c r="N714">
        <v>303</v>
      </c>
      <c r="O714" t="s">
        <v>30</v>
      </c>
      <c r="Q714">
        <v>220.25</v>
      </c>
      <c r="R714" t="str">
        <f>"PAGMENOS - LJ 608 (10135)"</f>
        <v>PAGMENOS - LJ 608 (10135)</v>
      </c>
      <c r="S714" t="s">
        <v>31</v>
      </c>
      <c r="T714">
        <v>3621</v>
      </c>
      <c r="U714">
        <v>2996</v>
      </c>
      <c r="V714" t="s">
        <v>22</v>
      </c>
    </row>
    <row r="715" spans="1:22">
      <c r="A715" t="str">
        <f t="shared" si="247"/>
        <v>23/12/2025</v>
      </c>
      <c r="B715" t="str">
        <f t="shared" si="249"/>
        <v>ENTRADA</v>
      </c>
      <c r="C715" t="str">
        <f t="shared" si="250"/>
        <v>NFSE</v>
      </c>
      <c r="D715" t="str">
        <f>"3987"</f>
        <v>3987</v>
      </c>
      <c r="E715" t="str">
        <f t="shared" si="251"/>
        <v>1</v>
      </c>
      <c r="F715" t="str">
        <f t="shared" si="248"/>
        <v>COM</v>
      </c>
      <c r="G715" t="str">
        <f>"PAGMENOS - LJ 431 (10265)"</f>
        <v>PAGMENOS - LJ 431 (10265)</v>
      </c>
      <c r="H715" t="str">
        <f>"Serv.Prest. 01/12/2025 a 07/12/2025 - RPS: 1749 - NFSe: 3987"</f>
        <v>Serv.Prest. 01/12/2025 a 07/12/2025 - RPS: 1749 - NFSe: 3987</v>
      </c>
      <c r="I715" t="str">
        <f t="shared" si="252"/>
        <v>17/12/2025</v>
      </c>
      <c r="J715" t="str">
        <f t="shared" si="253"/>
        <v>08/12/2025</v>
      </c>
      <c r="K715" t="str">
        <f>("23/12/2025")</f>
        <v>23/12/2025</v>
      </c>
      <c r="L715">
        <v>210.9</v>
      </c>
      <c r="M715">
        <v>210.9</v>
      </c>
      <c r="N715">
        <v>303</v>
      </c>
      <c r="O715" t="str">
        <f>"RECEITAS COM ENTREGAS"</f>
        <v>RECEITAS COM ENTREGAS</v>
      </c>
      <c r="P715">
        <v>210.9</v>
      </c>
      <c r="S715" t="str">
        <f>"RECEITAS COM ENTREGAS (303)"</f>
        <v>RECEITAS COM ENTREGAS (303)</v>
      </c>
      <c r="T715">
        <v>3622</v>
      </c>
      <c r="U715">
        <v>2999</v>
      </c>
      <c r="V715" t="s">
        <v>22</v>
      </c>
    </row>
    <row r="716" spans="1:22">
      <c r="A716" t="str">
        <f t="shared" si="247"/>
        <v>23/12/2025</v>
      </c>
      <c r="B716" t="str">
        <f t="shared" si="249"/>
        <v>ENTRADA</v>
      </c>
      <c r="C716" t="str">
        <f t="shared" si="250"/>
        <v>NFSE</v>
      </c>
      <c r="D716" t="str">
        <f>"3987"</f>
        <v>3987</v>
      </c>
      <c r="E716" t="str">
        <f t="shared" si="251"/>
        <v>1</v>
      </c>
      <c r="F716" t="str">
        <f t="shared" si="248"/>
        <v>COM</v>
      </c>
      <c r="G716" t="str">
        <f>"PAGMENOS - LJ 431 (10265)"</f>
        <v>PAGMENOS - LJ 431 (10265)</v>
      </c>
      <c r="H716" t="s">
        <v>227</v>
      </c>
      <c r="I716" t="str">
        <f t="shared" si="252"/>
        <v>17/12/2025</v>
      </c>
      <c r="J716" t="str">
        <f t="shared" si="253"/>
        <v>08/12/2025</v>
      </c>
      <c r="K716">
        <v>46014</v>
      </c>
      <c r="N716">
        <v>303</v>
      </c>
      <c r="O716" t="s">
        <v>30</v>
      </c>
      <c r="Q716">
        <v>210.9</v>
      </c>
      <c r="R716" t="str">
        <f>"PAGMENOS - LJ 431 (10265)"</f>
        <v>PAGMENOS - LJ 431 (10265)</v>
      </c>
      <c r="S716" t="s">
        <v>31</v>
      </c>
      <c r="T716">
        <v>3622</v>
      </c>
      <c r="U716">
        <v>2999</v>
      </c>
      <c r="V716" t="s">
        <v>22</v>
      </c>
    </row>
    <row r="717" spans="1:22">
      <c r="A717" t="str">
        <f t="shared" si="247"/>
        <v>23/12/2025</v>
      </c>
      <c r="B717" t="str">
        <f t="shared" si="249"/>
        <v>ENTRADA</v>
      </c>
      <c r="C717" t="str">
        <f t="shared" si="250"/>
        <v>NFSE</v>
      </c>
      <c r="D717" t="str">
        <f>"3986"</f>
        <v>3986</v>
      </c>
      <c r="E717" t="str">
        <f t="shared" si="251"/>
        <v>1</v>
      </c>
      <c r="F717" t="str">
        <f t="shared" si="248"/>
        <v>COM</v>
      </c>
      <c r="G717" t="str">
        <f>"PAGMENOS - LJ 326 (10264)"</f>
        <v>PAGMENOS - LJ 326 (10264)</v>
      </c>
      <c r="H717" t="str">
        <f>"Serv.Prest. 01/12/2025 a 07/12/2025 - RPS: 1748 - NFSe: 3986"</f>
        <v>Serv.Prest. 01/12/2025 a 07/12/2025 - RPS: 1748 - NFSe: 3986</v>
      </c>
      <c r="I717" t="str">
        <f t="shared" si="252"/>
        <v>17/12/2025</v>
      </c>
      <c r="J717" t="str">
        <f t="shared" si="253"/>
        <v>08/12/2025</v>
      </c>
      <c r="K717" t="str">
        <f>("23/12/2025")</f>
        <v>23/12/2025</v>
      </c>
      <c r="L717">
        <v>20</v>
      </c>
      <c r="M717">
        <v>20</v>
      </c>
      <c r="N717">
        <v>303</v>
      </c>
      <c r="O717" t="str">
        <f>"RECEITAS COM ENTREGAS"</f>
        <v>RECEITAS COM ENTREGAS</v>
      </c>
      <c r="P717">
        <v>20</v>
      </c>
      <c r="S717" t="str">
        <f>"RECEITAS COM ENTREGAS (303)"</f>
        <v>RECEITAS COM ENTREGAS (303)</v>
      </c>
      <c r="T717">
        <v>3623</v>
      </c>
      <c r="U717">
        <v>2998</v>
      </c>
      <c r="V717" t="s">
        <v>22</v>
      </c>
    </row>
    <row r="718" spans="1:22">
      <c r="A718" t="str">
        <f t="shared" si="247"/>
        <v>23/12/2025</v>
      </c>
      <c r="B718" t="str">
        <f t="shared" si="249"/>
        <v>ENTRADA</v>
      </c>
      <c r="C718" t="str">
        <f t="shared" si="250"/>
        <v>NFSE</v>
      </c>
      <c r="D718" t="str">
        <f>"3986"</f>
        <v>3986</v>
      </c>
      <c r="E718" t="str">
        <f t="shared" si="251"/>
        <v>1</v>
      </c>
      <c r="F718" t="str">
        <f t="shared" si="248"/>
        <v>COM</v>
      </c>
      <c r="G718" t="str">
        <f>"PAGMENOS - LJ 326 (10264)"</f>
        <v>PAGMENOS - LJ 326 (10264)</v>
      </c>
      <c r="H718" t="s">
        <v>228</v>
      </c>
      <c r="I718" t="str">
        <f t="shared" si="252"/>
        <v>17/12/2025</v>
      </c>
      <c r="J718" t="str">
        <f t="shared" si="253"/>
        <v>08/12/2025</v>
      </c>
      <c r="K718">
        <v>46014</v>
      </c>
      <c r="N718">
        <v>303</v>
      </c>
      <c r="O718" t="s">
        <v>30</v>
      </c>
      <c r="Q718">
        <v>20</v>
      </c>
      <c r="R718" t="str">
        <f>"PAGMENOS - LJ 326 (10264)"</f>
        <v>PAGMENOS - LJ 326 (10264)</v>
      </c>
      <c r="S718" t="s">
        <v>31</v>
      </c>
      <c r="T718">
        <v>3623</v>
      </c>
      <c r="U718">
        <v>2998</v>
      </c>
      <c r="V718" t="s">
        <v>22</v>
      </c>
    </row>
    <row r="719" spans="1:22">
      <c r="A719" t="str">
        <f t="shared" si="247"/>
        <v>23/12/2025</v>
      </c>
      <c r="B719" t="str">
        <f t="shared" ref="B719:B732" si="254">"SAÍDA"</f>
        <v>SAÍDA</v>
      </c>
      <c r="C719" t="str">
        <f>"BOLETO"</f>
        <v>BOLETO</v>
      </c>
      <c r="D719" t="str">
        <f>"011125"</f>
        <v>011125</v>
      </c>
      <c r="E719" t="str">
        <f>"2"</f>
        <v>2</v>
      </c>
      <c r="F719" t="str">
        <f t="shared" si="248"/>
        <v>COM</v>
      </c>
      <c r="G719" t="str">
        <f>"CORA SOCIEDADE DE CREDITO, FINANCIAMENTO E INVESTIMENTO (20035)"</f>
        <v>CORA SOCIEDADE DE CREDITO, FINANCIAMENTO E INVESTIMENTO (20035)</v>
      </c>
      <c r="H719" t="str">
        <f>"TAXA BOLETO CORA"</f>
        <v>TAXA BOLETO CORA</v>
      </c>
      <c r="I719" t="str">
        <f t="shared" ref="I719:I734" si="255">("23/12/2025")</f>
        <v>23/12/2025</v>
      </c>
      <c r="J719" t="str">
        <f>("01/11/2025")</f>
        <v>01/11/2025</v>
      </c>
      <c r="K719" t="str">
        <f>("23/12/2025")</f>
        <v>23/12/2025</v>
      </c>
      <c r="L719">
        <v>1.7</v>
      </c>
      <c r="M719">
        <v>1.7</v>
      </c>
      <c r="N719">
        <v>401</v>
      </c>
      <c r="O719" t="str">
        <f>"IOF/JUROS/DESP.FINANCEIRA"</f>
        <v>IOF/JUROS/DESP.FINANCEIRA</v>
      </c>
      <c r="P719">
        <v>1.7</v>
      </c>
      <c r="S719" t="str">
        <f>"BANCO CORA (102)"</f>
        <v>BANCO CORA (102)</v>
      </c>
      <c r="T719">
        <v>3733</v>
      </c>
      <c r="U719">
        <v>3289</v>
      </c>
      <c r="V719" t="s">
        <v>22</v>
      </c>
    </row>
    <row r="720" spans="1:22">
      <c r="A720" t="str">
        <f t="shared" si="247"/>
        <v>23/12/2025</v>
      </c>
      <c r="B720" t="str">
        <f t="shared" si="254"/>
        <v>SAÍDA</v>
      </c>
      <c r="C720" t="str">
        <f>"BOLETO"</f>
        <v>BOLETO</v>
      </c>
      <c r="D720" t="str">
        <f>"011125"</f>
        <v>011125</v>
      </c>
      <c r="E720" t="str">
        <f>"2"</f>
        <v>2</v>
      </c>
      <c r="F720" t="str">
        <f t="shared" si="248"/>
        <v>COM</v>
      </c>
      <c r="G720" t="str">
        <f>"CORA SOCIEDADE DE CREDITO, FINANCIAMENTO E INVESTIMENTO (20035)"</f>
        <v>CORA SOCIEDADE DE CREDITO, FINANCIAMENTO E INVESTIMENTO (20035)</v>
      </c>
      <c r="H720" t="s">
        <v>33</v>
      </c>
      <c r="I720" t="str">
        <f t="shared" si="255"/>
        <v>23/12/2025</v>
      </c>
      <c r="J720" t="str">
        <f>("01/11/2025")</f>
        <v>01/11/2025</v>
      </c>
      <c r="K720">
        <v>46014</v>
      </c>
      <c r="N720">
        <v>401</v>
      </c>
      <c r="O720" t="s">
        <v>34</v>
      </c>
      <c r="Q720">
        <v>1.7</v>
      </c>
      <c r="R720" t="str">
        <f>"CORA SOCIEDADE DE CREDITO, FINANCIAMENTO E INVESTIMENTO (20035)"</f>
        <v>CORA SOCIEDADE DE CREDITO, FINANCIAMENTO E INVESTIMENTO (20035)</v>
      </c>
      <c r="S720" t="s">
        <v>22</v>
      </c>
      <c r="T720">
        <v>3733</v>
      </c>
      <c r="U720">
        <v>3289</v>
      </c>
      <c r="V720" t="s">
        <v>22</v>
      </c>
    </row>
    <row r="721" spans="1:22">
      <c r="A721" t="str">
        <f t="shared" si="247"/>
        <v>23/12/2025</v>
      </c>
      <c r="B721" t="str">
        <f t="shared" si="254"/>
        <v>SAÍDA</v>
      </c>
      <c r="C721" t="str">
        <f t="shared" ref="C721:C732" si="256">"PIX"</f>
        <v>PIX</v>
      </c>
      <c r="D721" t="str">
        <f t="shared" ref="D721:D732" si="257">"23122025"</f>
        <v>23122025</v>
      </c>
      <c r="E721" t="str">
        <f>""</f>
        <v/>
      </c>
      <c r="F721" t="str">
        <f t="shared" si="248"/>
        <v>COM</v>
      </c>
      <c r="G721" t="str">
        <f>"NATAN ALVES DA SILVA SA (20005)"</f>
        <v>NATAN ALVES DA SILVA SA (20005)</v>
      </c>
      <c r="H721" t="str">
        <f>"DISTRIBUIÇÃO DE LUCROS ANUAL "</f>
        <v xml:space="preserve">DISTRIBUIÇÃO DE LUCROS ANUAL </v>
      </c>
      <c r="I721" t="str">
        <f t="shared" si="255"/>
        <v>23/12/2025</v>
      </c>
      <c r="J721" t="str">
        <f>("23/12/2025")</f>
        <v>23/12/2025</v>
      </c>
      <c r="K721" t="str">
        <f>("23/12/2025")</f>
        <v>23/12/2025</v>
      </c>
      <c r="L721">
        <v>6000</v>
      </c>
      <c r="M721">
        <v>6000</v>
      </c>
      <c r="N721">
        <v>125</v>
      </c>
      <c r="O721" t="str">
        <f>"DISTRIBUIÇÃO DE LUCRO"</f>
        <v>DISTRIBUIÇÃO DE LUCRO</v>
      </c>
      <c r="P721">
        <v>6000</v>
      </c>
      <c r="S721" t="str">
        <f>"BANCO SICREDI (131)"</f>
        <v>BANCO SICREDI (131)</v>
      </c>
      <c r="T721">
        <v>3737</v>
      </c>
      <c r="U721">
        <v>3295</v>
      </c>
      <c r="V721" t="s">
        <v>36</v>
      </c>
    </row>
    <row r="722" spans="1:22">
      <c r="A722" t="str">
        <f t="shared" si="247"/>
        <v>23/12/2025</v>
      </c>
      <c r="B722" t="str">
        <f t="shared" si="254"/>
        <v>SAÍDA</v>
      </c>
      <c r="C722" t="str">
        <f t="shared" si="256"/>
        <v>PIX</v>
      </c>
      <c r="D722" t="str">
        <f t="shared" si="257"/>
        <v>23122025</v>
      </c>
      <c r="E722" t="str">
        <f>""</f>
        <v/>
      </c>
      <c r="F722" t="str">
        <f t="shared" si="248"/>
        <v>COM</v>
      </c>
      <c r="G722" t="str">
        <f>"NATAN ALVES DA SILVA SA (20005)"</f>
        <v>NATAN ALVES DA SILVA SA (20005)</v>
      </c>
      <c r="H722" t="s">
        <v>229</v>
      </c>
      <c r="I722" t="str">
        <f t="shared" si="255"/>
        <v>23/12/2025</v>
      </c>
      <c r="J722" t="str">
        <f t="shared" ref="J722:J734" si="258">("23/12/2025")</f>
        <v>23/12/2025</v>
      </c>
      <c r="K722">
        <v>46014</v>
      </c>
      <c r="N722">
        <v>125</v>
      </c>
      <c r="O722" t="s">
        <v>99</v>
      </c>
      <c r="Q722">
        <v>6000</v>
      </c>
      <c r="R722" t="str">
        <f>"NATAN ALVES DA SILVA SA (20005)"</f>
        <v>NATAN ALVES DA SILVA SA (20005)</v>
      </c>
      <c r="S722" t="s">
        <v>36</v>
      </c>
      <c r="T722">
        <v>3737</v>
      </c>
      <c r="U722">
        <v>3295</v>
      </c>
      <c r="V722" t="s">
        <v>36</v>
      </c>
    </row>
    <row r="723" spans="1:22">
      <c r="A723" t="str">
        <f t="shared" si="247"/>
        <v>23/12/2025</v>
      </c>
      <c r="B723" t="str">
        <f t="shared" si="254"/>
        <v>SAÍDA</v>
      </c>
      <c r="C723" t="str">
        <f t="shared" si="256"/>
        <v>PIX</v>
      </c>
      <c r="D723" t="str">
        <f t="shared" si="257"/>
        <v>23122025</v>
      </c>
      <c r="E723" t="str">
        <f>""</f>
        <v/>
      </c>
      <c r="F723" t="str">
        <f t="shared" si="248"/>
        <v>COM</v>
      </c>
      <c r="G723" t="str">
        <f>"54.235.509 ROBERT MAGDIEL DE CARVALHO (20004)"</f>
        <v>54.235.509 ROBERT MAGDIEL DE CARVALHO (20004)</v>
      </c>
      <c r="H723" t="str">
        <f>"DISTRIBUIÇÃO DE LUCROS ANUAL "</f>
        <v xml:space="preserve">DISTRIBUIÇÃO DE LUCROS ANUAL </v>
      </c>
      <c r="I723" t="str">
        <f t="shared" si="255"/>
        <v>23/12/2025</v>
      </c>
      <c r="J723" t="str">
        <f t="shared" si="258"/>
        <v>23/12/2025</v>
      </c>
      <c r="K723" t="str">
        <f>("23/12/2025")</f>
        <v>23/12/2025</v>
      </c>
      <c r="L723">
        <v>6000</v>
      </c>
      <c r="M723">
        <v>6000</v>
      </c>
      <c r="N723">
        <v>125</v>
      </c>
      <c r="O723" t="str">
        <f>"DISTRIBUIÇÃO DE LUCRO"</f>
        <v>DISTRIBUIÇÃO DE LUCRO</v>
      </c>
      <c r="P723">
        <v>6000</v>
      </c>
      <c r="S723" t="str">
        <f>"BANCO SICREDI (131)"</f>
        <v>BANCO SICREDI (131)</v>
      </c>
      <c r="T723">
        <v>3738</v>
      </c>
      <c r="U723">
        <v>3296</v>
      </c>
      <c r="V723" t="s">
        <v>36</v>
      </c>
    </row>
    <row r="724" spans="1:22">
      <c r="A724" t="str">
        <f t="shared" si="247"/>
        <v>23/12/2025</v>
      </c>
      <c r="B724" t="str">
        <f t="shared" si="254"/>
        <v>SAÍDA</v>
      </c>
      <c r="C724" t="str">
        <f t="shared" si="256"/>
        <v>PIX</v>
      </c>
      <c r="D724" t="str">
        <f t="shared" si="257"/>
        <v>23122025</v>
      </c>
      <c r="E724" t="str">
        <f>""</f>
        <v/>
      </c>
      <c r="F724" t="str">
        <f t="shared" si="248"/>
        <v>COM</v>
      </c>
      <c r="G724" t="str">
        <f>"54.235.509 ROBERT MAGDIEL DE CARVALHO (20004)"</f>
        <v>54.235.509 ROBERT MAGDIEL DE CARVALHO (20004)</v>
      </c>
      <c r="H724" t="s">
        <v>229</v>
      </c>
      <c r="I724" t="str">
        <f t="shared" si="255"/>
        <v>23/12/2025</v>
      </c>
      <c r="J724" t="str">
        <f t="shared" si="258"/>
        <v>23/12/2025</v>
      </c>
      <c r="K724">
        <v>46014</v>
      </c>
      <c r="N724">
        <v>125</v>
      </c>
      <c r="O724" t="s">
        <v>99</v>
      </c>
      <c r="Q724">
        <v>6000</v>
      </c>
      <c r="R724" t="str">
        <f>"54.235.509 ROBERT MAGDIEL DE CARVALHO (20004)"</f>
        <v>54.235.509 ROBERT MAGDIEL DE CARVALHO (20004)</v>
      </c>
      <c r="S724" t="s">
        <v>36</v>
      </c>
      <c r="T724">
        <v>3738</v>
      </c>
      <c r="U724">
        <v>3296</v>
      </c>
      <c r="V724" t="s">
        <v>36</v>
      </c>
    </row>
    <row r="725" spans="1:22">
      <c r="A725" t="str">
        <f t="shared" si="247"/>
        <v>23/12/2025</v>
      </c>
      <c r="B725" t="str">
        <f t="shared" si="254"/>
        <v>SAÍDA</v>
      </c>
      <c r="C725" t="str">
        <f t="shared" si="256"/>
        <v>PIX</v>
      </c>
      <c r="D725" t="str">
        <f t="shared" si="257"/>
        <v>23122025</v>
      </c>
      <c r="E725" t="str">
        <f>""</f>
        <v/>
      </c>
      <c r="F725" t="str">
        <f t="shared" si="248"/>
        <v>COM</v>
      </c>
      <c r="G725" t="str">
        <f>"EDSON BARROS DOS SANTOS 10882852604 (20025)"</f>
        <v>EDSON BARROS DOS SANTOS 10882852604 (20025)</v>
      </c>
      <c r="H725" t="str">
        <f>"DISTRIBUIÇÃO DE LUCROS ANUAL "</f>
        <v xml:space="preserve">DISTRIBUIÇÃO DE LUCROS ANUAL </v>
      </c>
      <c r="I725" t="str">
        <f t="shared" si="255"/>
        <v>23/12/2025</v>
      </c>
      <c r="J725" t="str">
        <f t="shared" si="258"/>
        <v>23/12/2025</v>
      </c>
      <c r="K725" t="str">
        <f>("23/12/2025")</f>
        <v>23/12/2025</v>
      </c>
      <c r="L725">
        <v>4110</v>
      </c>
      <c r="M725">
        <v>4110</v>
      </c>
      <c r="N725">
        <v>125</v>
      </c>
      <c r="O725" t="str">
        <f>"DISTRIBUIÇÃO DE LUCRO"</f>
        <v>DISTRIBUIÇÃO DE LUCRO</v>
      </c>
      <c r="P725">
        <v>4110</v>
      </c>
      <c r="S725" t="str">
        <f>"BANCO SICREDI (131)"</f>
        <v>BANCO SICREDI (131)</v>
      </c>
      <c r="T725">
        <v>3739</v>
      </c>
      <c r="U725">
        <v>3297</v>
      </c>
      <c r="V725" t="s">
        <v>36</v>
      </c>
    </row>
    <row r="726" spans="1:22">
      <c r="A726" t="str">
        <f t="shared" si="247"/>
        <v>23/12/2025</v>
      </c>
      <c r="B726" t="str">
        <f t="shared" si="254"/>
        <v>SAÍDA</v>
      </c>
      <c r="C726" t="str">
        <f t="shared" si="256"/>
        <v>PIX</v>
      </c>
      <c r="D726" t="str">
        <f t="shared" si="257"/>
        <v>23122025</v>
      </c>
      <c r="E726" t="str">
        <f>""</f>
        <v/>
      </c>
      <c r="F726" t="str">
        <f t="shared" si="248"/>
        <v>COM</v>
      </c>
      <c r="G726" t="str">
        <f>"EDSON BARROS DOS SANTOS 10882852604 (20025)"</f>
        <v>EDSON BARROS DOS SANTOS 10882852604 (20025)</v>
      </c>
      <c r="H726" t="s">
        <v>229</v>
      </c>
      <c r="I726" t="str">
        <f t="shared" si="255"/>
        <v>23/12/2025</v>
      </c>
      <c r="J726" t="str">
        <f t="shared" si="258"/>
        <v>23/12/2025</v>
      </c>
      <c r="K726">
        <v>46014</v>
      </c>
      <c r="N726">
        <v>125</v>
      </c>
      <c r="O726" t="s">
        <v>99</v>
      </c>
      <c r="Q726">
        <v>4110</v>
      </c>
      <c r="R726" t="str">
        <f>"EDSON BARROS DOS SANTOS 10882852604 (20025)"</f>
        <v>EDSON BARROS DOS SANTOS 10882852604 (20025)</v>
      </c>
      <c r="S726" t="s">
        <v>36</v>
      </c>
      <c r="T726">
        <v>3739</v>
      </c>
      <c r="U726">
        <v>3297</v>
      </c>
      <c r="V726" t="s">
        <v>36</v>
      </c>
    </row>
    <row r="727" spans="1:22">
      <c r="A727" t="str">
        <f t="shared" si="247"/>
        <v>23/12/2025</v>
      </c>
      <c r="B727" t="str">
        <f t="shared" si="254"/>
        <v>SAÍDA</v>
      </c>
      <c r="C727" t="str">
        <f t="shared" si="256"/>
        <v>PIX</v>
      </c>
      <c r="D727" t="str">
        <f t="shared" si="257"/>
        <v>23122025</v>
      </c>
      <c r="E727" t="str">
        <f>""</f>
        <v/>
      </c>
      <c r="F727" t="str">
        <f t="shared" si="248"/>
        <v>COM</v>
      </c>
      <c r="G727" t="str">
        <f>"ALBERTO KENNEDY ALMEIDA DE JESUS (20026)"</f>
        <v>ALBERTO KENNEDY ALMEIDA DE JESUS (20026)</v>
      </c>
      <c r="H727" t="str">
        <f>"DISTRIBUIÇÃO DE LUCROS ANUAL "</f>
        <v xml:space="preserve">DISTRIBUIÇÃO DE LUCROS ANUAL </v>
      </c>
      <c r="I727" t="str">
        <f t="shared" si="255"/>
        <v>23/12/2025</v>
      </c>
      <c r="J727" t="str">
        <f t="shared" si="258"/>
        <v>23/12/2025</v>
      </c>
      <c r="K727" t="str">
        <f>("23/12/2025")</f>
        <v>23/12/2025</v>
      </c>
      <c r="L727">
        <v>6000</v>
      </c>
      <c r="M727">
        <v>6000</v>
      </c>
      <c r="N727">
        <v>125</v>
      </c>
      <c r="O727" t="str">
        <f>"DISTRIBUIÇÃO DE LUCRO"</f>
        <v>DISTRIBUIÇÃO DE LUCRO</v>
      </c>
      <c r="P727">
        <v>6000</v>
      </c>
      <c r="S727" t="str">
        <f>"BANCO SICREDI (131)"</f>
        <v>BANCO SICREDI (131)</v>
      </c>
      <c r="T727">
        <v>3740</v>
      </c>
      <c r="U727">
        <v>3298</v>
      </c>
      <c r="V727" t="s">
        <v>36</v>
      </c>
    </row>
    <row r="728" spans="1:22">
      <c r="A728" t="str">
        <f t="shared" si="247"/>
        <v>23/12/2025</v>
      </c>
      <c r="B728" t="str">
        <f t="shared" si="254"/>
        <v>SAÍDA</v>
      </c>
      <c r="C728" t="str">
        <f t="shared" si="256"/>
        <v>PIX</v>
      </c>
      <c r="D728" t="str">
        <f t="shared" si="257"/>
        <v>23122025</v>
      </c>
      <c r="E728" t="str">
        <f>""</f>
        <v/>
      </c>
      <c r="F728" t="str">
        <f t="shared" si="248"/>
        <v>COM</v>
      </c>
      <c r="G728" t="str">
        <f>"ALBERTO KENNEDY ALMEIDA DE JESUS (20026)"</f>
        <v>ALBERTO KENNEDY ALMEIDA DE JESUS (20026)</v>
      </c>
      <c r="H728" t="s">
        <v>229</v>
      </c>
      <c r="I728" t="str">
        <f t="shared" si="255"/>
        <v>23/12/2025</v>
      </c>
      <c r="J728" t="str">
        <f t="shared" si="258"/>
        <v>23/12/2025</v>
      </c>
      <c r="K728">
        <v>46014</v>
      </c>
      <c r="N728">
        <v>125</v>
      </c>
      <c r="O728" t="s">
        <v>99</v>
      </c>
      <c r="Q728">
        <v>6000</v>
      </c>
      <c r="R728" t="str">
        <f>"ALBERTO KENNEDY ALMEIDA DE JESUS (20026)"</f>
        <v>ALBERTO KENNEDY ALMEIDA DE JESUS (20026)</v>
      </c>
      <c r="S728" t="s">
        <v>36</v>
      </c>
      <c r="T728">
        <v>3740</v>
      </c>
      <c r="U728">
        <v>3298</v>
      </c>
      <c r="V728" t="s">
        <v>36</v>
      </c>
    </row>
    <row r="729" spans="1:22">
      <c r="A729" t="str">
        <f t="shared" si="247"/>
        <v>23/12/2025</v>
      </c>
      <c r="B729" t="str">
        <f t="shared" si="254"/>
        <v>SAÍDA</v>
      </c>
      <c r="C729" t="str">
        <f t="shared" si="256"/>
        <v>PIX</v>
      </c>
      <c r="D729" t="str">
        <f t="shared" si="257"/>
        <v>23122025</v>
      </c>
      <c r="E729" t="str">
        <f>""</f>
        <v/>
      </c>
      <c r="F729" t="str">
        <f t="shared" si="248"/>
        <v>COM</v>
      </c>
      <c r="G729" t="str">
        <f>"MARCELO REZENDE ARANTES (20014)"</f>
        <v>MARCELO REZENDE ARANTES (20014)</v>
      </c>
      <c r="H729" t="str">
        <f>"DISTRIBUIÇÃO DE LUCROS ANUAL "</f>
        <v xml:space="preserve">DISTRIBUIÇÃO DE LUCROS ANUAL </v>
      </c>
      <c r="I729" t="str">
        <f t="shared" si="255"/>
        <v>23/12/2025</v>
      </c>
      <c r="J729" t="str">
        <f t="shared" si="258"/>
        <v>23/12/2025</v>
      </c>
      <c r="K729" t="str">
        <f>("23/12/2025")</f>
        <v>23/12/2025</v>
      </c>
      <c r="L729">
        <v>15000</v>
      </c>
      <c r="M729">
        <v>15000</v>
      </c>
      <c r="N729">
        <v>125</v>
      </c>
      <c r="O729" t="str">
        <f>"DISTRIBUIÇÃO DE LUCRO"</f>
        <v>DISTRIBUIÇÃO DE LUCRO</v>
      </c>
      <c r="P729">
        <v>15000</v>
      </c>
      <c r="S729" t="str">
        <f>"BANCO SICREDI (131)"</f>
        <v>BANCO SICREDI (131)</v>
      </c>
      <c r="T729">
        <v>3741</v>
      </c>
      <c r="U729">
        <v>3299</v>
      </c>
      <c r="V729" t="s">
        <v>36</v>
      </c>
    </row>
    <row r="730" spans="1:22">
      <c r="A730" t="str">
        <f t="shared" si="247"/>
        <v>23/12/2025</v>
      </c>
      <c r="B730" t="str">
        <f t="shared" si="254"/>
        <v>SAÍDA</v>
      </c>
      <c r="C730" t="str">
        <f t="shared" si="256"/>
        <v>PIX</v>
      </c>
      <c r="D730" t="str">
        <f t="shared" si="257"/>
        <v>23122025</v>
      </c>
      <c r="E730" t="str">
        <f>""</f>
        <v/>
      </c>
      <c r="F730" t="str">
        <f t="shared" si="248"/>
        <v>COM</v>
      </c>
      <c r="G730" t="str">
        <f>"MARCELO REZENDE ARANTES (20014)"</f>
        <v>MARCELO REZENDE ARANTES (20014)</v>
      </c>
      <c r="H730" t="s">
        <v>229</v>
      </c>
      <c r="I730" t="str">
        <f t="shared" si="255"/>
        <v>23/12/2025</v>
      </c>
      <c r="J730" t="str">
        <f t="shared" si="258"/>
        <v>23/12/2025</v>
      </c>
      <c r="K730">
        <v>46014</v>
      </c>
      <c r="N730">
        <v>125</v>
      </c>
      <c r="O730" t="s">
        <v>99</v>
      </c>
      <c r="Q730">
        <v>15000</v>
      </c>
      <c r="R730" t="str">
        <f>"MARCELO REZENDE ARANTES (20014)"</f>
        <v>MARCELO REZENDE ARANTES (20014)</v>
      </c>
      <c r="S730" t="s">
        <v>36</v>
      </c>
      <c r="T730">
        <v>3741</v>
      </c>
      <c r="U730">
        <v>3299</v>
      </c>
      <c r="V730" t="s">
        <v>36</v>
      </c>
    </row>
    <row r="731" spans="1:22">
      <c r="A731" t="str">
        <f t="shared" si="247"/>
        <v>23/12/2025</v>
      </c>
      <c r="B731" t="str">
        <f t="shared" si="254"/>
        <v>SAÍDA</v>
      </c>
      <c r="C731" t="str">
        <f t="shared" si="256"/>
        <v>PIX</v>
      </c>
      <c r="D731" t="str">
        <f t="shared" si="257"/>
        <v>23122025</v>
      </c>
      <c r="E731" t="str">
        <f>""</f>
        <v/>
      </c>
      <c r="F731" t="str">
        <f t="shared" si="248"/>
        <v>COM</v>
      </c>
      <c r="G731" t="str">
        <f>"LILIANE DE FATIMA REZENDE JUSTINO (20013)"</f>
        <v>LILIANE DE FATIMA REZENDE JUSTINO (20013)</v>
      </c>
      <c r="H731" t="str">
        <f>"DISTRIBUIÇÃO DE LUCROS ANUAL "</f>
        <v xml:space="preserve">DISTRIBUIÇÃO DE LUCROS ANUAL </v>
      </c>
      <c r="I731" t="str">
        <f t="shared" si="255"/>
        <v>23/12/2025</v>
      </c>
      <c r="J731" t="str">
        <f t="shared" si="258"/>
        <v>23/12/2025</v>
      </c>
      <c r="K731" t="str">
        <f>("23/12/2025")</f>
        <v>23/12/2025</v>
      </c>
      <c r="L731">
        <v>35000</v>
      </c>
      <c r="M731">
        <v>35000</v>
      </c>
      <c r="N731">
        <v>125</v>
      </c>
      <c r="O731" t="str">
        <f>"DISTRIBUIÇÃO DE LUCRO"</f>
        <v>DISTRIBUIÇÃO DE LUCRO</v>
      </c>
      <c r="P731">
        <v>35000</v>
      </c>
      <c r="S731" t="str">
        <f>"BANCO SICREDI (131)"</f>
        <v>BANCO SICREDI (131)</v>
      </c>
      <c r="T731">
        <v>3742</v>
      </c>
      <c r="U731">
        <v>3300</v>
      </c>
      <c r="V731" t="s">
        <v>36</v>
      </c>
    </row>
    <row r="732" spans="1:22">
      <c r="A732" t="str">
        <f t="shared" si="247"/>
        <v>23/12/2025</v>
      </c>
      <c r="B732" t="str">
        <f t="shared" si="254"/>
        <v>SAÍDA</v>
      </c>
      <c r="C732" t="str">
        <f t="shared" si="256"/>
        <v>PIX</v>
      </c>
      <c r="D732" t="str">
        <f t="shared" si="257"/>
        <v>23122025</v>
      </c>
      <c r="E732" t="str">
        <f>""</f>
        <v/>
      </c>
      <c r="F732" t="str">
        <f t="shared" si="248"/>
        <v>COM</v>
      </c>
      <c r="G732" t="str">
        <f>"LILIANE DE FATIMA REZENDE JUSTINO (20013)"</f>
        <v>LILIANE DE FATIMA REZENDE JUSTINO (20013)</v>
      </c>
      <c r="H732" t="s">
        <v>229</v>
      </c>
      <c r="I732" t="str">
        <f t="shared" si="255"/>
        <v>23/12/2025</v>
      </c>
      <c r="J732" t="str">
        <f t="shared" si="258"/>
        <v>23/12/2025</v>
      </c>
      <c r="K732">
        <v>46014</v>
      </c>
      <c r="N732">
        <v>125</v>
      </c>
      <c r="O732" t="s">
        <v>99</v>
      </c>
      <c r="Q732">
        <v>35000</v>
      </c>
      <c r="R732" t="str">
        <f>"LILIANE DE FATIMA REZENDE JUSTINO (20013)"</f>
        <v>LILIANE DE FATIMA REZENDE JUSTINO (20013)</v>
      </c>
      <c r="S732" t="s">
        <v>36</v>
      </c>
      <c r="T732">
        <v>3742</v>
      </c>
      <c r="U732">
        <v>3300</v>
      </c>
      <c r="V732" t="s">
        <v>36</v>
      </c>
    </row>
    <row r="733" spans="1:22">
      <c r="A733" t="str">
        <f t="shared" si="247"/>
        <v>23/12/2025</v>
      </c>
      <c r="B733" t="str">
        <f>"ENTRADA"</f>
        <v>ENTRADA</v>
      </c>
      <c r="C733" t="str">
        <f>"APLICACAO"</f>
        <v>APLICACAO</v>
      </c>
      <c r="D733" t="str">
        <f>""</f>
        <v/>
      </c>
      <c r="F733" t="str">
        <f>"APL"</f>
        <v>APL</v>
      </c>
      <c r="G733" t="str">
        <f>""</f>
        <v/>
      </c>
      <c r="H733" t="str">
        <f>"APLIC.FINANC.AVISO PREVIO"</f>
        <v>APLIC.FINANC.AVISO PREVIO</v>
      </c>
      <c r="I733" t="str">
        <f t="shared" si="255"/>
        <v>23/12/2025</v>
      </c>
      <c r="J733" t="str">
        <f t="shared" si="258"/>
        <v>23/12/2025</v>
      </c>
      <c r="K733" t="str">
        <f>("23/12/2025")</f>
        <v>23/12/2025</v>
      </c>
      <c r="N733">
        <v>121</v>
      </c>
      <c r="O733" t="str">
        <f>"APLICAÇÃO BANCO A"</f>
        <v>APLICAÇÃO BANCO A</v>
      </c>
      <c r="P733">
        <v>31400</v>
      </c>
      <c r="S733" t="str">
        <f>"APLICAÇÃO BANCO A (121)"</f>
        <v>APLICAÇÃO BANCO A (121)</v>
      </c>
      <c r="T733">
        <v>3743</v>
      </c>
      <c r="U733">
        <v>0</v>
      </c>
      <c r="V733" t="s">
        <v>35</v>
      </c>
    </row>
    <row r="734" spans="1:22">
      <c r="A734" t="str">
        <f t="shared" si="247"/>
        <v>23/12/2025</v>
      </c>
      <c r="B734" t="str">
        <f>"SAÍDA"</f>
        <v>SAÍDA</v>
      </c>
      <c r="C734" t="str">
        <f>"APLICACAO"</f>
        <v>APLICACAO</v>
      </c>
      <c r="D734" t="str">
        <f>""</f>
        <v/>
      </c>
      <c r="F734" t="str">
        <f>"APL"</f>
        <v>APL</v>
      </c>
      <c r="G734" t="str">
        <f>""</f>
        <v/>
      </c>
      <c r="H734" t="str">
        <f>"APLIC.FINANC.AVISO PREVIO"</f>
        <v>APLIC.FINANC.AVISO PREVIO</v>
      </c>
      <c r="I734" t="str">
        <f t="shared" si="255"/>
        <v>23/12/2025</v>
      </c>
      <c r="J734" t="str">
        <f t="shared" si="258"/>
        <v>23/12/2025</v>
      </c>
      <c r="K734" t="str">
        <f>("23/12/2025")</f>
        <v>23/12/2025</v>
      </c>
      <c r="N734">
        <v>131</v>
      </c>
      <c r="O734" t="str">
        <f>"BANCO SICREDI"</f>
        <v>BANCO SICREDI</v>
      </c>
      <c r="S734" t="str">
        <f>"BANCO SICREDI (131)"</f>
        <v>BANCO SICREDI (131)</v>
      </c>
      <c r="T734">
        <v>3743</v>
      </c>
      <c r="U734">
        <v>0</v>
      </c>
      <c r="V734" t="s">
        <v>36</v>
      </c>
    </row>
    <row r="735" spans="1:22">
      <c r="A735" t="str">
        <f t="shared" si="247"/>
        <v>23/12/2025</v>
      </c>
      <c r="B735" t="str">
        <f>"ENTRADA"</f>
        <v>ENTRADA</v>
      </c>
      <c r="C735" t="str">
        <f>"NFSE"</f>
        <v>NFSE</v>
      </c>
      <c r="D735" t="str">
        <f>"4061"</f>
        <v>4061</v>
      </c>
      <c r="E735" t="str">
        <f>"1"</f>
        <v>1</v>
      </c>
      <c r="F735" t="str">
        <f t="shared" ref="F735:F798" si="259">"COM"</f>
        <v>COM</v>
      </c>
      <c r="G735" t="str">
        <f>"DROGARIA VAZ (10179)"</f>
        <v>DROGARIA VAZ (10179)</v>
      </c>
      <c r="H735" t="str">
        <f>"Serv.Prest. 08/12/2025 a 14/12/2025 - RPS: 1823 - NFSe: 4061"</f>
        <v>Serv.Prest. 08/12/2025 a 14/12/2025 - RPS: 1823 - NFSe: 4061</v>
      </c>
      <c r="I735" t="str">
        <f>("17/12/2025")</f>
        <v>17/12/2025</v>
      </c>
      <c r="J735" t="str">
        <f>("15/12/2025")</f>
        <v>15/12/2025</v>
      </c>
      <c r="K735" t="str">
        <f>("23/12/2025")</f>
        <v>23/12/2025</v>
      </c>
      <c r="L735">
        <v>351.86</v>
      </c>
      <c r="M735">
        <v>376.48</v>
      </c>
      <c r="N735">
        <v>303</v>
      </c>
      <c r="O735" t="str">
        <f>"RECEITAS COM ENTREGAS"</f>
        <v>RECEITAS COM ENTREGAS</v>
      </c>
      <c r="P735">
        <v>376.48</v>
      </c>
      <c r="S735" t="str">
        <f>"RECEITAS COM ENTREGAS (303)"</f>
        <v>RECEITAS COM ENTREGAS (303)</v>
      </c>
      <c r="T735">
        <v>3871</v>
      </c>
      <c r="U735">
        <v>3076</v>
      </c>
      <c r="V735" t="s">
        <v>36</v>
      </c>
    </row>
    <row r="736" spans="1:22">
      <c r="A736" t="str">
        <f t="shared" si="247"/>
        <v>23/12/2025</v>
      </c>
      <c r="B736" t="str">
        <f>"ENTRADA"</f>
        <v>ENTRADA</v>
      </c>
      <c r="C736" t="str">
        <f>"NFSE"</f>
        <v>NFSE</v>
      </c>
      <c r="D736" t="str">
        <f>"4061"</f>
        <v>4061</v>
      </c>
      <c r="E736" t="str">
        <f>"1"</f>
        <v>1</v>
      </c>
      <c r="F736" t="str">
        <f t="shared" si="259"/>
        <v>COM</v>
      </c>
      <c r="G736" t="str">
        <f>"DROGARIA VAZ (10179)"</f>
        <v>DROGARIA VAZ (10179)</v>
      </c>
      <c r="H736" t="s">
        <v>230</v>
      </c>
      <c r="I736" t="str">
        <f>("17/12/2025")</f>
        <v>17/12/2025</v>
      </c>
      <c r="J736" t="str">
        <f>("15/12/2025")</f>
        <v>15/12/2025</v>
      </c>
      <c r="K736">
        <v>46014</v>
      </c>
      <c r="N736">
        <v>303</v>
      </c>
      <c r="O736" t="s">
        <v>30</v>
      </c>
      <c r="Q736">
        <v>376.48</v>
      </c>
      <c r="R736" t="str">
        <f>"DROGARIA VAZ (10179)"</f>
        <v>DROGARIA VAZ (10179)</v>
      </c>
      <c r="S736" t="s">
        <v>31</v>
      </c>
      <c r="T736">
        <v>3871</v>
      </c>
      <c r="U736">
        <v>3076</v>
      </c>
      <c r="V736" t="s">
        <v>36</v>
      </c>
    </row>
    <row r="737" spans="1:22">
      <c r="A737" t="str">
        <f t="shared" ref="A737:A768" si="260">("24/12/2025")</f>
        <v>24/12/2025</v>
      </c>
      <c r="B737" t="str">
        <f>"SAÍDA"</f>
        <v>SAÍDA</v>
      </c>
      <c r="C737" t="str">
        <f>"BOLETO"</f>
        <v>BOLETO</v>
      </c>
      <c r="D737" t="str">
        <f>"22399"</f>
        <v>22399</v>
      </c>
      <c r="E737" t="str">
        <f>"3"</f>
        <v>3</v>
      </c>
      <c r="F737" t="str">
        <f t="shared" si="259"/>
        <v>COM</v>
      </c>
      <c r="G737" t="str">
        <f>"ABRADILAN ASSOCIACAO BRASILEIRA DE DISTRIBUICAO E LOGIS (20121)"</f>
        <v>ABRADILAN ASSOCIACAO BRASILEIRA DE DISTRIBUICAO E LOGIS (20121)</v>
      </c>
      <c r="H737" t="str">
        <f>"COTA PATROCINIO - EXPOSITOR FARMACIA DO FUTURO"</f>
        <v>COTA PATROCINIO - EXPOSITOR FARMACIA DO FUTURO</v>
      </c>
      <c r="I737" t="str">
        <f>("23/12/2025")</f>
        <v>23/12/2025</v>
      </c>
      <c r="J737" t="str">
        <f>("16/10/2025")</f>
        <v>16/10/2025</v>
      </c>
      <c r="K737" t="str">
        <f>("24/12/2025")</f>
        <v>24/12/2025</v>
      </c>
      <c r="L737">
        <v>3000</v>
      </c>
      <c r="M737">
        <v>3008</v>
      </c>
      <c r="N737">
        <v>127</v>
      </c>
      <c r="O737" t="str">
        <f>"PUBLICIDADE E PROPAGANDAS"</f>
        <v>PUBLICIDADE E PROPAGANDAS</v>
      </c>
      <c r="P737">
        <v>3008</v>
      </c>
      <c r="S737" t="str">
        <f>"BANCO CORA (102)"</f>
        <v>BANCO CORA (102)</v>
      </c>
      <c r="T737">
        <v>3579</v>
      </c>
      <c r="U737">
        <v>2397</v>
      </c>
      <c r="V737" t="s">
        <v>22</v>
      </c>
    </row>
    <row r="738" spans="1:22">
      <c r="A738" t="str">
        <f t="shared" si="260"/>
        <v>24/12/2025</v>
      </c>
      <c r="B738" t="str">
        <f>"SAÍDA"</f>
        <v>SAÍDA</v>
      </c>
      <c r="C738" t="str">
        <f>"BOLETO"</f>
        <v>BOLETO</v>
      </c>
      <c r="D738" t="str">
        <f>"22399"</f>
        <v>22399</v>
      </c>
      <c r="E738" t="str">
        <f>"3"</f>
        <v>3</v>
      </c>
      <c r="F738" t="str">
        <f t="shared" si="259"/>
        <v>COM</v>
      </c>
      <c r="G738" t="str">
        <f>"ABRADILAN ASSOCIACAO BRASILEIRA DE DISTRIBUICAO E LOGIS (20121)"</f>
        <v>ABRADILAN ASSOCIACAO BRASILEIRA DE DISTRIBUICAO E LOGIS (20121)</v>
      </c>
      <c r="H738" t="s">
        <v>231</v>
      </c>
      <c r="I738" t="str">
        <f>("23/12/2025")</f>
        <v>23/12/2025</v>
      </c>
      <c r="J738" t="str">
        <f>("16/10/2025")</f>
        <v>16/10/2025</v>
      </c>
      <c r="K738">
        <v>46015</v>
      </c>
      <c r="N738">
        <v>127</v>
      </c>
      <c r="O738" t="s">
        <v>24</v>
      </c>
      <c r="Q738">
        <v>3008</v>
      </c>
      <c r="R738" t="str">
        <f>"ABRADILAN ASSOCIACAO BRASILEIRA DE DISTRIBUICAO E LOGIS (20121)"</f>
        <v>ABRADILAN ASSOCIACAO BRASILEIRA DE DISTRIBUICAO E LOGIS (20121)</v>
      </c>
      <c r="S738" t="s">
        <v>22</v>
      </c>
      <c r="T738">
        <v>3579</v>
      </c>
      <c r="U738">
        <v>2397</v>
      </c>
      <c r="V738" t="s">
        <v>22</v>
      </c>
    </row>
    <row r="739" spans="1:22">
      <c r="A739" t="str">
        <f t="shared" si="260"/>
        <v>24/12/2025</v>
      </c>
      <c r="B739" t="str">
        <f t="shared" ref="B739:B770" si="261">"ENTRADA"</f>
        <v>ENTRADA</v>
      </c>
      <c r="C739" t="str">
        <f t="shared" ref="C739:C770" si="262">"NFSE"</f>
        <v>NFSE</v>
      </c>
      <c r="D739" t="str">
        <f t="shared" ref="D739:D755" si="263">"4069"</f>
        <v>4069</v>
      </c>
      <c r="E739" t="str">
        <f t="shared" ref="E739:E770" si="264">"1"</f>
        <v>1</v>
      </c>
      <c r="F739" t="str">
        <f t="shared" si="259"/>
        <v>COM</v>
      </c>
      <c r="G739" t="str">
        <f t="shared" ref="G739:G755" si="265">"FARMÁCIA INDIANA LJ 30 (10127)"</f>
        <v>FARMÁCIA INDIANA LJ 30 (10127)</v>
      </c>
      <c r="H739" t="str">
        <f>"Serv.Prest. 08/12/2025 a 14/12/2025 - RPS: 1831 - NFSe: 4069"</f>
        <v>Serv.Prest. 08/12/2025 a 14/12/2025 - RPS: 1831 - NFSe: 4069</v>
      </c>
      <c r="I739" t="str">
        <f t="shared" ref="I739:I770" si="266">("24/12/2025")</f>
        <v>24/12/2025</v>
      </c>
      <c r="J739" t="str">
        <f t="shared" ref="J739:J766" si="267">("16/12/2025")</f>
        <v>16/12/2025</v>
      </c>
      <c r="K739" t="str">
        <f>("24/12/2025")</f>
        <v>24/12/2025</v>
      </c>
      <c r="L739">
        <v>3314.58</v>
      </c>
      <c r="M739">
        <v>3314.58</v>
      </c>
      <c r="N739">
        <v>303</v>
      </c>
      <c r="O739" t="str">
        <f>"RECEITAS COM ENTREGAS"</f>
        <v>RECEITAS COM ENTREGAS</v>
      </c>
      <c r="P739">
        <v>3314.58</v>
      </c>
      <c r="S739" t="str">
        <f>"RECEITAS COM ENTREGAS (303)"</f>
        <v>RECEITAS COM ENTREGAS (303)</v>
      </c>
      <c r="T739">
        <v>3580</v>
      </c>
      <c r="U739">
        <v>3084</v>
      </c>
      <c r="V739" t="s">
        <v>22</v>
      </c>
    </row>
    <row r="740" spans="1:22">
      <c r="A740" t="str">
        <f t="shared" si="260"/>
        <v>24/12/2025</v>
      </c>
      <c r="B740" t="str">
        <f t="shared" si="261"/>
        <v>ENTRADA</v>
      </c>
      <c r="C740" t="str">
        <f t="shared" si="262"/>
        <v>NFSE</v>
      </c>
      <c r="D740" t="str">
        <f t="shared" si="263"/>
        <v>4069</v>
      </c>
      <c r="E740" t="str">
        <f t="shared" si="264"/>
        <v>1</v>
      </c>
      <c r="F740" t="str">
        <f t="shared" si="259"/>
        <v>COM</v>
      </c>
      <c r="G740" t="str">
        <f t="shared" si="265"/>
        <v>FARMÁCIA INDIANA LJ 30 (10127)</v>
      </c>
      <c r="H740" t="s">
        <v>232</v>
      </c>
      <c r="I740" t="str">
        <f t="shared" si="266"/>
        <v>24/12/2025</v>
      </c>
      <c r="J740" t="str">
        <f t="shared" si="267"/>
        <v>16/12/2025</v>
      </c>
      <c r="K740">
        <v>46015</v>
      </c>
      <c r="N740">
        <v>303</v>
      </c>
      <c r="O740" t="s">
        <v>30</v>
      </c>
      <c r="Q740">
        <v>335.09</v>
      </c>
      <c r="R740" t="str">
        <f>"FARMÁCIA INDIANA LJ 34 (10014)"</f>
        <v>FARMÁCIA INDIANA LJ 34 (10014)</v>
      </c>
      <c r="S740" t="s">
        <v>31</v>
      </c>
      <c r="T740">
        <v>3580</v>
      </c>
      <c r="U740">
        <v>3084</v>
      </c>
      <c r="V740" t="s">
        <v>22</v>
      </c>
    </row>
    <row r="741" spans="1:22">
      <c r="A741" t="str">
        <f t="shared" si="260"/>
        <v>24/12/2025</v>
      </c>
      <c r="B741" t="str">
        <f t="shared" si="261"/>
        <v>ENTRADA</v>
      </c>
      <c r="C741" t="str">
        <f t="shared" si="262"/>
        <v>NFSE</v>
      </c>
      <c r="D741" t="str">
        <f t="shared" si="263"/>
        <v>4069</v>
      </c>
      <c r="E741" t="str">
        <f t="shared" si="264"/>
        <v>1</v>
      </c>
      <c r="F741" t="str">
        <f t="shared" si="259"/>
        <v>COM</v>
      </c>
      <c r="G741" t="str">
        <f t="shared" si="265"/>
        <v>FARMÁCIA INDIANA LJ 30 (10127)</v>
      </c>
      <c r="H741" t="s">
        <v>232</v>
      </c>
      <c r="I741" t="str">
        <f t="shared" si="266"/>
        <v>24/12/2025</v>
      </c>
      <c r="J741" t="str">
        <f t="shared" si="267"/>
        <v>16/12/2025</v>
      </c>
      <c r="K741">
        <v>46015</v>
      </c>
      <c r="N741">
        <v>303</v>
      </c>
      <c r="O741" t="s">
        <v>30</v>
      </c>
      <c r="Q741">
        <v>168.05</v>
      </c>
      <c r="R741" t="str">
        <f>"FARMÁCIA INDIANA LJ 35 (10015)"</f>
        <v>FARMÁCIA INDIANA LJ 35 (10015)</v>
      </c>
      <c r="S741" t="s">
        <v>31</v>
      </c>
      <c r="T741">
        <v>3580</v>
      </c>
      <c r="U741">
        <v>3084</v>
      </c>
      <c r="V741" t="s">
        <v>22</v>
      </c>
    </row>
    <row r="742" spans="1:22">
      <c r="A742" t="str">
        <f t="shared" si="260"/>
        <v>24/12/2025</v>
      </c>
      <c r="B742" t="str">
        <f t="shared" si="261"/>
        <v>ENTRADA</v>
      </c>
      <c r="C742" t="str">
        <f t="shared" si="262"/>
        <v>NFSE</v>
      </c>
      <c r="D742" t="str">
        <f t="shared" si="263"/>
        <v>4069</v>
      </c>
      <c r="E742" t="str">
        <f t="shared" si="264"/>
        <v>1</v>
      </c>
      <c r="F742" t="str">
        <f t="shared" si="259"/>
        <v>COM</v>
      </c>
      <c r="G742" t="str">
        <f t="shared" si="265"/>
        <v>FARMÁCIA INDIANA LJ 30 (10127)</v>
      </c>
      <c r="H742" t="s">
        <v>232</v>
      </c>
      <c r="I742" t="str">
        <f t="shared" si="266"/>
        <v>24/12/2025</v>
      </c>
      <c r="J742" t="str">
        <f t="shared" si="267"/>
        <v>16/12/2025</v>
      </c>
      <c r="K742">
        <v>46015</v>
      </c>
      <c r="N742">
        <v>303</v>
      </c>
      <c r="O742" t="s">
        <v>30</v>
      </c>
      <c r="Q742">
        <v>249.59</v>
      </c>
      <c r="R742" t="str">
        <f>"FARMÁCIA INDIANA LJ 48 (10018)"</f>
        <v>FARMÁCIA INDIANA LJ 48 (10018)</v>
      </c>
      <c r="S742" t="s">
        <v>31</v>
      </c>
      <c r="T742">
        <v>3580</v>
      </c>
      <c r="U742">
        <v>3084</v>
      </c>
      <c r="V742" t="s">
        <v>22</v>
      </c>
    </row>
    <row r="743" spans="1:22">
      <c r="A743" t="str">
        <f t="shared" si="260"/>
        <v>24/12/2025</v>
      </c>
      <c r="B743" t="str">
        <f t="shared" si="261"/>
        <v>ENTRADA</v>
      </c>
      <c r="C743" t="str">
        <f t="shared" si="262"/>
        <v>NFSE</v>
      </c>
      <c r="D743" t="str">
        <f t="shared" si="263"/>
        <v>4069</v>
      </c>
      <c r="E743" t="str">
        <f t="shared" si="264"/>
        <v>1</v>
      </c>
      <c r="F743" t="str">
        <f t="shared" si="259"/>
        <v>COM</v>
      </c>
      <c r="G743" t="str">
        <f t="shared" si="265"/>
        <v>FARMÁCIA INDIANA LJ 30 (10127)</v>
      </c>
      <c r="H743" t="s">
        <v>232</v>
      </c>
      <c r="I743" t="str">
        <f t="shared" si="266"/>
        <v>24/12/2025</v>
      </c>
      <c r="J743" t="str">
        <f t="shared" si="267"/>
        <v>16/12/2025</v>
      </c>
      <c r="K743">
        <v>46015</v>
      </c>
      <c r="N743">
        <v>303</v>
      </c>
      <c r="O743" t="s">
        <v>30</v>
      </c>
      <c r="Q743">
        <v>348.69</v>
      </c>
      <c r="R743" t="str">
        <f>"FARMÁCIA INDIANA LJ 65 (10030)"</f>
        <v>FARMÁCIA INDIANA LJ 65 (10030)</v>
      </c>
      <c r="S743" t="s">
        <v>31</v>
      </c>
      <c r="T743">
        <v>3580</v>
      </c>
      <c r="U743">
        <v>3084</v>
      </c>
      <c r="V743" t="s">
        <v>22</v>
      </c>
    </row>
    <row r="744" spans="1:22">
      <c r="A744" t="str">
        <f t="shared" si="260"/>
        <v>24/12/2025</v>
      </c>
      <c r="B744" t="str">
        <f t="shared" si="261"/>
        <v>ENTRADA</v>
      </c>
      <c r="C744" t="str">
        <f t="shared" si="262"/>
        <v>NFSE</v>
      </c>
      <c r="D744" t="str">
        <f t="shared" si="263"/>
        <v>4069</v>
      </c>
      <c r="E744" t="str">
        <f t="shared" si="264"/>
        <v>1</v>
      </c>
      <c r="F744" t="str">
        <f t="shared" si="259"/>
        <v>COM</v>
      </c>
      <c r="G744" t="str">
        <f t="shared" si="265"/>
        <v>FARMÁCIA INDIANA LJ 30 (10127)</v>
      </c>
      <c r="H744" t="s">
        <v>232</v>
      </c>
      <c r="I744" t="str">
        <f t="shared" si="266"/>
        <v>24/12/2025</v>
      </c>
      <c r="J744" t="str">
        <f t="shared" si="267"/>
        <v>16/12/2025</v>
      </c>
      <c r="K744">
        <v>46015</v>
      </c>
      <c r="N744">
        <v>303</v>
      </c>
      <c r="O744" t="s">
        <v>30</v>
      </c>
      <c r="Q744">
        <v>85.85</v>
      </c>
      <c r="R744" t="str">
        <f>"FARMÁCIA INDIANA LJ 77 (10034)"</f>
        <v>FARMÁCIA INDIANA LJ 77 (10034)</v>
      </c>
      <c r="S744" t="s">
        <v>31</v>
      </c>
      <c r="T744">
        <v>3580</v>
      </c>
      <c r="U744">
        <v>3084</v>
      </c>
      <c r="V744" t="s">
        <v>22</v>
      </c>
    </row>
    <row r="745" spans="1:22">
      <c r="A745" t="str">
        <f t="shared" si="260"/>
        <v>24/12/2025</v>
      </c>
      <c r="B745" t="str">
        <f t="shared" si="261"/>
        <v>ENTRADA</v>
      </c>
      <c r="C745" t="str">
        <f t="shared" si="262"/>
        <v>NFSE</v>
      </c>
      <c r="D745" t="str">
        <f t="shared" si="263"/>
        <v>4069</v>
      </c>
      <c r="E745" t="str">
        <f t="shared" si="264"/>
        <v>1</v>
      </c>
      <c r="F745" t="str">
        <f t="shared" si="259"/>
        <v>COM</v>
      </c>
      <c r="G745" t="str">
        <f t="shared" si="265"/>
        <v>FARMÁCIA INDIANA LJ 30 (10127)</v>
      </c>
      <c r="H745" t="s">
        <v>232</v>
      </c>
      <c r="I745" t="str">
        <f t="shared" si="266"/>
        <v>24/12/2025</v>
      </c>
      <c r="J745" t="str">
        <f t="shared" si="267"/>
        <v>16/12/2025</v>
      </c>
      <c r="K745">
        <v>46015</v>
      </c>
      <c r="N745">
        <v>303</v>
      </c>
      <c r="O745" t="s">
        <v>30</v>
      </c>
      <c r="Q745">
        <v>726.56</v>
      </c>
      <c r="R745" t="str">
        <f>"FARMÁCIA INDIANA LJ 91 (10037)"</f>
        <v>FARMÁCIA INDIANA LJ 91 (10037)</v>
      </c>
      <c r="S745" t="s">
        <v>31</v>
      </c>
      <c r="T745">
        <v>3580</v>
      </c>
      <c r="U745">
        <v>3084</v>
      </c>
      <c r="V745" t="s">
        <v>22</v>
      </c>
    </row>
    <row r="746" spans="1:22">
      <c r="A746" t="str">
        <f t="shared" si="260"/>
        <v>24/12/2025</v>
      </c>
      <c r="B746" t="str">
        <f t="shared" si="261"/>
        <v>ENTRADA</v>
      </c>
      <c r="C746" t="str">
        <f t="shared" si="262"/>
        <v>NFSE</v>
      </c>
      <c r="D746" t="str">
        <f t="shared" si="263"/>
        <v>4069</v>
      </c>
      <c r="E746" t="str">
        <f t="shared" si="264"/>
        <v>1</v>
      </c>
      <c r="F746" t="str">
        <f t="shared" si="259"/>
        <v>COM</v>
      </c>
      <c r="G746" t="str">
        <f t="shared" si="265"/>
        <v>FARMÁCIA INDIANA LJ 30 (10127)</v>
      </c>
      <c r="H746" t="s">
        <v>232</v>
      </c>
      <c r="I746" t="str">
        <f t="shared" si="266"/>
        <v>24/12/2025</v>
      </c>
      <c r="J746" t="str">
        <f t="shared" si="267"/>
        <v>16/12/2025</v>
      </c>
      <c r="K746">
        <v>46015</v>
      </c>
      <c r="N746">
        <v>303</v>
      </c>
      <c r="O746" t="s">
        <v>30</v>
      </c>
      <c r="Q746">
        <v>201.53</v>
      </c>
      <c r="R746" t="str">
        <f>"FARMÁCIA INDIANA LJ 95 (10039)"</f>
        <v>FARMÁCIA INDIANA LJ 95 (10039)</v>
      </c>
      <c r="S746" t="s">
        <v>31</v>
      </c>
      <c r="T746">
        <v>3580</v>
      </c>
      <c r="U746">
        <v>3084</v>
      </c>
      <c r="V746" t="s">
        <v>22</v>
      </c>
    </row>
    <row r="747" spans="1:22">
      <c r="A747" t="str">
        <f t="shared" si="260"/>
        <v>24/12/2025</v>
      </c>
      <c r="B747" t="str">
        <f t="shared" si="261"/>
        <v>ENTRADA</v>
      </c>
      <c r="C747" t="str">
        <f t="shared" si="262"/>
        <v>NFSE</v>
      </c>
      <c r="D747" t="str">
        <f t="shared" si="263"/>
        <v>4069</v>
      </c>
      <c r="E747" t="str">
        <f t="shared" si="264"/>
        <v>1</v>
      </c>
      <c r="F747" t="str">
        <f t="shared" si="259"/>
        <v>COM</v>
      </c>
      <c r="G747" t="str">
        <f t="shared" si="265"/>
        <v>FARMÁCIA INDIANA LJ 30 (10127)</v>
      </c>
      <c r="H747" t="s">
        <v>232</v>
      </c>
      <c r="I747" t="str">
        <f t="shared" si="266"/>
        <v>24/12/2025</v>
      </c>
      <c r="J747" t="str">
        <f t="shared" si="267"/>
        <v>16/12/2025</v>
      </c>
      <c r="K747">
        <v>46015</v>
      </c>
      <c r="N747">
        <v>303</v>
      </c>
      <c r="O747" t="s">
        <v>30</v>
      </c>
      <c r="Q747">
        <v>140.87</v>
      </c>
      <c r="R747" t="str">
        <f>"FARMÁCIA INDIANA LJ 145 (10068)"</f>
        <v>FARMÁCIA INDIANA LJ 145 (10068)</v>
      </c>
      <c r="S747" t="s">
        <v>31</v>
      </c>
      <c r="T747">
        <v>3580</v>
      </c>
      <c r="U747">
        <v>3084</v>
      </c>
      <c r="V747" t="s">
        <v>22</v>
      </c>
    </row>
    <row r="748" spans="1:22">
      <c r="A748" t="str">
        <f t="shared" si="260"/>
        <v>24/12/2025</v>
      </c>
      <c r="B748" t="str">
        <f t="shared" si="261"/>
        <v>ENTRADA</v>
      </c>
      <c r="C748" t="str">
        <f t="shared" si="262"/>
        <v>NFSE</v>
      </c>
      <c r="D748" t="str">
        <f t="shared" si="263"/>
        <v>4069</v>
      </c>
      <c r="E748" t="str">
        <f t="shared" si="264"/>
        <v>1</v>
      </c>
      <c r="F748" t="str">
        <f t="shared" si="259"/>
        <v>COM</v>
      </c>
      <c r="G748" t="str">
        <f t="shared" si="265"/>
        <v>FARMÁCIA INDIANA LJ 30 (10127)</v>
      </c>
      <c r="H748" t="s">
        <v>232</v>
      </c>
      <c r="I748" t="str">
        <f t="shared" si="266"/>
        <v>24/12/2025</v>
      </c>
      <c r="J748" t="str">
        <f t="shared" si="267"/>
        <v>16/12/2025</v>
      </c>
      <c r="K748">
        <v>46015</v>
      </c>
      <c r="N748">
        <v>303</v>
      </c>
      <c r="O748" t="s">
        <v>30</v>
      </c>
      <c r="Q748">
        <v>109.38</v>
      </c>
      <c r="R748" t="str">
        <f>"FARMÁCIA INDIANA LJ 169 (10073)"</f>
        <v>FARMÁCIA INDIANA LJ 169 (10073)</v>
      </c>
      <c r="S748" t="s">
        <v>31</v>
      </c>
      <c r="T748">
        <v>3580</v>
      </c>
      <c r="U748">
        <v>3084</v>
      </c>
      <c r="V748" t="s">
        <v>22</v>
      </c>
    </row>
    <row r="749" spans="1:22">
      <c r="A749" t="str">
        <f t="shared" si="260"/>
        <v>24/12/2025</v>
      </c>
      <c r="B749" t="str">
        <f t="shared" si="261"/>
        <v>ENTRADA</v>
      </c>
      <c r="C749" t="str">
        <f t="shared" si="262"/>
        <v>NFSE</v>
      </c>
      <c r="D749" t="str">
        <f t="shared" si="263"/>
        <v>4069</v>
      </c>
      <c r="E749" t="str">
        <f t="shared" si="264"/>
        <v>1</v>
      </c>
      <c r="F749" t="str">
        <f t="shared" si="259"/>
        <v>COM</v>
      </c>
      <c r="G749" t="str">
        <f t="shared" si="265"/>
        <v>FARMÁCIA INDIANA LJ 30 (10127)</v>
      </c>
      <c r="H749" t="s">
        <v>232</v>
      </c>
      <c r="I749" t="str">
        <f t="shared" si="266"/>
        <v>24/12/2025</v>
      </c>
      <c r="J749" t="str">
        <f t="shared" si="267"/>
        <v>16/12/2025</v>
      </c>
      <c r="K749">
        <v>46015</v>
      </c>
      <c r="N749">
        <v>303</v>
      </c>
      <c r="O749" t="s">
        <v>30</v>
      </c>
      <c r="Q749">
        <v>174.35</v>
      </c>
      <c r="R749" t="str">
        <f>"FARMÁCIA INDIANA LJ 173 (10075)"</f>
        <v>FARMÁCIA INDIANA LJ 173 (10075)</v>
      </c>
      <c r="S749" t="s">
        <v>31</v>
      </c>
      <c r="T749">
        <v>3580</v>
      </c>
      <c r="U749">
        <v>3084</v>
      </c>
      <c r="V749" t="s">
        <v>22</v>
      </c>
    </row>
    <row r="750" spans="1:22">
      <c r="A750" t="str">
        <f t="shared" si="260"/>
        <v>24/12/2025</v>
      </c>
      <c r="B750" t="str">
        <f t="shared" si="261"/>
        <v>ENTRADA</v>
      </c>
      <c r="C750" t="str">
        <f t="shared" si="262"/>
        <v>NFSE</v>
      </c>
      <c r="D750" t="str">
        <f t="shared" si="263"/>
        <v>4069</v>
      </c>
      <c r="E750" t="str">
        <f t="shared" si="264"/>
        <v>1</v>
      </c>
      <c r="F750" t="str">
        <f t="shared" si="259"/>
        <v>COM</v>
      </c>
      <c r="G750" t="str">
        <f t="shared" si="265"/>
        <v>FARMÁCIA INDIANA LJ 30 (10127)</v>
      </c>
      <c r="H750" t="s">
        <v>232</v>
      </c>
      <c r="I750" t="str">
        <f t="shared" si="266"/>
        <v>24/12/2025</v>
      </c>
      <c r="J750" t="str">
        <f t="shared" si="267"/>
        <v>16/12/2025</v>
      </c>
      <c r="K750">
        <v>46015</v>
      </c>
      <c r="N750">
        <v>303</v>
      </c>
      <c r="O750" t="s">
        <v>30</v>
      </c>
      <c r="Q750">
        <v>79.88</v>
      </c>
      <c r="R750" t="str">
        <f>"FARMÁCIA INDIANA LJ 213 (10090)"</f>
        <v>FARMÁCIA INDIANA LJ 213 (10090)</v>
      </c>
      <c r="S750" t="s">
        <v>31</v>
      </c>
      <c r="T750">
        <v>3580</v>
      </c>
      <c r="U750">
        <v>3084</v>
      </c>
      <c r="V750" t="s">
        <v>22</v>
      </c>
    </row>
    <row r="751" spans="1:22">
      <c r="A751" t="str">
        <f t="shared" si="260"/>
        <v>24/12/2025</v>
      </c>
      <c r="B751" t="str">
        <f t="shared" si="261"/>
        <v>ENTRADA</v>
      </c>
      <c r="C751" t="str">
        <f t="shared" si="262"/>
        <v>NFSE</v>
      </c>
      <c r="D751" t="str">
        <f t="shared" si="263"/>
        <v>4069</v>
      </c>
      <c r="E751" t="str">
        <f t="shared" si="264"/>
        <v>1</v>
      </c>
      <c r="F751" t="str">
        <f t="shared" si="259"/>
        <v>COM</v>
      </c>
      <c r="G751" t="str">
        <f t="shared" si="265"/>
        <v>FARMÁCIA INDIANA LJ 30 (10127)</v>
      </c>
      <c r="H751" t="s">
        <v>232</v>
      </c>
      <c r="I751" t="str">
        <f t="shared" si="266"/>
        <v>24/12/2025</v>
      </c>
      <c r="J751" t="str">
        <f t="shared" si="267"/>
        <v>16/12/2025</v>
      </c>
      <c r="K751">
        <v>46015</v>
      </c>
      <c r="N751">
        <v>303</v>
      </c>
      <c r="O751" t="s">
        <v>30</v>
      </c>
      <c r="Q751">
        <v>135.9</v>
      </c>
      <c r="R751" t="str">
        <f>"FARMÁCIA INDIANA LJ 200 (10155)"</f>
        <v>FARMÁCIA INDIANA LJ 200 (10155)</v>
      </c>
      <c r="S751" t="s">
        <v>31</v>
      </c>
      <c r="T751">
        <v>3580</v>
      </c>
      <c r="U751">
        <v>3084</v>
      </c>
      <c r="V751" t="s">
        <v>22</v>
      </c>
    </row>
    <row r="752" spans="1:22">
      <c r="A752" t="str">
        <f t="shared" si="260"/>
        <v>24/12/2025</v>
      </c>
      <c r="B752" t="str">
        <f t="shared" si="261"/>
        <v>ENTRADA</v>
      </c>
      <c r="C752" t="str">
        <f t="shared" si="262"/>
        <v>NFSE</v>
      </c>
      <c r="D752" t="str">
        <f t="shared" si="263"/>
        <v>4069</v>
      </c>
      <c r="E752" t="str">
        <f t="shared" si="264"/>
        <v>1</v>
      </c>
      <c r="F752" t="str">
        <f t="shared" si="259"/>
        <v>COM</v>
      </c>
      <c r="G752" t="str">
        <f t="shared" si="265"/>
        <v>FARMÁCIA INDIANA LJ 30 (10127)</v>
      </c>
      <c r="H752" t="s">
        <v>232</v>
      </c>
      <c r="I752" t="str">
        <f t="shared" si="266"/>
        <v>24/12/2025</v>
      </c>
      <c r="J752" t="str">
        <f t="shared" si="267"/>
        <v>16/12/2025</v>
      </c>
      <c r="K752">
        <v>46015</v>
      </c>
      <c r="N752">
        <v>303</v>
      </c>
      <c r="O752" t="s">
        <v>30</v>
      </c>
      <c r="Q752">
        <v>247.6</v>
      </c>
      <c r="R752" t="str">
        <f>"FARMÁCIA INDIANA LJ 33 (10187)"</f>
        <v>FARMÁCIA INDIANA LJ 33 (10187)</v>
      </c>
      <c r="S752" t="s">
        <v>31</v>
      </c>
      <c r="T752">
        <v>3580</v>
      </c>
      <c r="U752">
        <v>3084</v>
      </c>
      <c r="V752" t="s">
        <v>22</v>
      </c>
    </row>
    <row r="753" spans="1:22">
      <c r="A753" t="str">
        <f t="shared" si="260"/>
        <v>24/12/2025</v>
      </c>
      <c r="B753" t="str">
        <f t="shared" si="261"/>
        <v>ENTRADA</v>
      </c>
      <c r="C753" t="str">
        <f t="shared" si="262"/>
        <v>NFSE</v>
      </c>
      <c r="D753" t="str">
        <f t="shared" si="263"/>
        <v>4069</v>
      </c>
      <c r="E753" t="str">
        <f t="shared" si="264"/>
        <v>1</v>
      </c>
      <c r="F753" t="str">
        <f t="shared" si="259"/>
        <v>COM</v>
      </c>
      <c r="G753" t="str">
        <f t="shared" si="265"/>
        <v>FARMÁCIA INDIANA LJ 30 (10127)</v>
      </c>
      <c r="H753" t="s">
        <v>232</v>
      </c>
      <c r="I753" t="str">
        <f t="shared" si="266"/>
        <v>24/12/2025</v>
      </c>
      <c r="J753" t="str">
        <f t="shared" si="267"/>
        <v>16/12/2025</v>
      </c>
      <c r="K753">
        <v>46015</v>
      </c>
      <c r="N753">
        <v>303</v>
      </c>
      <c r="O753" t="s">
        <v>30</v>
      </c>
      <c r="Q753">
        <v>99.77</v>
      </c>
      <c r="R753" t="str">
        <f>"FARMÁCIA INDIANA LJ 283 (10268)"</f>
        <v>FARMÁCIA INDIANA LJ 283 (10268)</v>
      </c>
      <c r="S753" t="s">
        <v>31</v>
      </c>
      <c r="T753">
        <v>3580</v>
      </c>
      <c r="U753">
        <v>3084</v>
      </c>
      <c r="V753" t="s">
        <v>22</v>
      </c>
    </row>
    <row r="754" spans="1:22">
      <c r="A754" t="str">
        <f t="shared" si="260"/>
        <v>24/12/2025</v>
      </c>
      <c r="B754" t="str">
        <f t="shared" si="261"/>
        <v>ENTRADA</v>
      </c>
      <c r="C754" t="str">
        <f t="shared" si="262"/>
        <v>NFSE</v>
      </c>
      <c r="D754" t="str">
        <f t="shared" si="263"/>
        <v>4069</v>
      </c>
      <c r="E754" t="str">
        <f t="shared" si="264"/>
        <v>1</v>
      </c>
      <c r="F754" t="str">
        <f t="shared" si="259"/>
        <v>COM</v>
      </c>
      <c r="G754" t="str">
        <f t="shared" si="265"/>
        <v>FARMÁCIA INDIANA LJ 30 (10127)</v>
      </c>
      <c r="H754" t="s">
        <v>232</v>
      </c>
      <c r="I754" t="str">
        <f t="shared" si="266"/>
        <v>24/12/2025</v>
      </c>
      <c r="J754" t="str">
        <f t="shared" si="267"/>
        <v>16/12/2025</v>
      </c>
      <c r="K754">
        <v>46015</v>
      </c>
      <c r="N754">
        <v>303</v>
      </c>
      <c r="O754" t="s">
        <v>30</v>
      </c>
      <c r="Q754">
        <v>139.88</v>
      </c>
      <c r="R754" t="str">
        <f>"FARMÁCIA INDIANA LJ 155 (10273)"</f>
        <v>FARMÁCIA INDIANA LJ 155 (10273)</v>
      </c>
      <c r="S754" t="s">
        <v>31</v>
      </c>
      <c r="T754">
        <v>3580</v>
      </c>
      <c r="U754">
        <v>3084</v>
      </c>
      <c r="V754" t="s">
        <v>22</v>
      </c>
    </row>
    <row r="755" spans="1:22">
      <c r="A755" t="str">
        <f t="shared" si="260"/>
        <v>24/12/2025</v>
      </c>
      <c r="B755" t="str">
        <f t="shared" si="261"/>
        <v>ENTRADA</v>
      </c>
      <c r="C755" t="str">
        <f t="shared" si="262"/>
        <v>NFSE</v>
      </c>
      <c r="D755" t="str">
        <f t="shared" si="263"/>
        <v>4069</v>
      </c>
      <c r="E755" t="str">
        <f t="shared" si="264"/>
        <v>1</v>
      </c>
      <c r="F755" t="str">
        <f t="shared" si="259"/>
        <v>COM</v>
      </c>
      <c r="G755" t="str">
        <f t="shared" si="265"/>
        <v>FARMÁCIA INDIANA LJ 30 (10127)</v>
      </c>
      <c r="H755" t="s">
        <v>232</v>
      </c>
      <c r="I755" t="str">
        <f t="shared" si="266"/>
        <v>24/12/2025</v>
      </c>
      <c r="J755" t="str">
        <f t="shared" si="267"/>
        <v>16/12/2025</v>
      </c>
      <c r="K755">
        <v>46015</v>
      </c>
      <c r="N755">
        <v>303</v>
      </c>
      <c r="O755" t="s">
        <v>30</v>
      </c>
      <c r="Q755">
        <v>71.59</v>
      </c>
      <c r="R755" t="str">
        <f>"FARMÁCIA INDIANA LJ 158 (10275)"</f>
        <v>FARMÁCIA INDIANA LJ 158 (10275)</v>
      </c>
      <c r="S755" t="s">
        <v>31</v>
      </c>
      <c r="T755">
        <v>3580</v>
      </c>
      <c r="U755">
        <v>3084</v>
      </c>
      <c r="V755" t="s">
        <v>22</v>
      </c>
    </row>
    <row r="756" spans="1:22">
      <c r="A756" t="str">
        <f t="shared" si="260"/>
        <v>24/12/2025</v>
      </c>
      <c r="B756" t="str">
        <f t="shared" si="261"/>
        <v>ENTRADA</v>
      </c>
      <c r="C756" t="str">
        <f t="shared" si="262"/>
        <v>NFSE</v>
      </c>
      <c r="D756" t="str">
        <f t="shared" ref="D756:D766" si="268">"4070"</f>
        <v>4070</v>
      </c>
      <c r="E756" t="str">
        <f t="shared" si="264"/>
        <v>1</v>
      </c>
      <c r="F756" t="str">
        <f t="shared" si="259"/>
        <v>COM</v>
      </c>
      <c r="G756" t="str">
        <f t="shared" ref="G756:G766" si="269">"FARMÁCIA INDIANA LJ 85 (10128)"</f>
        <v>FARMÁCIA INDIANA LJ 85 (10128)</v>
      </c>
      <c r="H756" t="str">
        <f>"Serv.Prest. 08/12/2025 a 14/12/2025 - RPS: 1832 - NFSe: 4070"</f>
        <v>Serv.Prest. 08/12/2025 a 14/12/2025 - RPS: 1832 - NFSe: 4070</v>
      </c>
      <c r="I756" t="str">
        <f t="shared" si="266"/>
        <v>24/12/2025</v>
      </c>
      <c r="J756" t="str">
        <f t="shared" si="267"/>
        <v>16/12/2025</v>
      </c>
      <c r="K756" t="str">
        <f>("24/12/2025")</f>
        <v>24/12/2025</v>
      </c>
      <c r="L756">
        <v>993.48</v>
      </c>
      <c r="M756">
        <v>993.48</v>
      </c>
      <c r="N756">
        <v>303</v>
      </c>
      <c r="O756" t="str">
        <f>"RECEITAS COM ENTREGAS"</f>
        <v>RECEITAS COM ENTREGAS</v>
      </c>
      <c r="P756">
        <v>993.48</v>
      </c>
      <c r="S756" t="str">
        <f>"RECEITAS COM ENTREGAS (303)"</f>
        <v>RECEITAS COM ENTREGAS (303)</v>
      </c>
      <c r="T756">
        <v>3581</v>
      </c>
      <c r="U756">
        <v>3086</v>
      </c>
      <c r="V756" t="s">
        <v>22</v>
      </c>
    </row>
    <row r="757" spans="1:22">
      <c r="A757" t="str">
        <f t="shared" si="260"/>
        <v>24/12/2025</v>
      </c>
      <c r="B757" t="str">
        <f t="shared" si="261"/>
        <v>ENTRADA</v>
      </c>
      <c r="C757" t="str">
        <f t="shared" si="262"/>
        <v>NFSE</v>
      </c>
      <c r="D757" t="str">
        <f t="shared" si="268"/>
        <v>4070</v>
      </c>
      <c r="E757" t="str">
        <f t="shared" si="264"/>
        <v>1</v>
      </c>
      <c r="F757" t="str">
        <f t="shared" si="259"/>
        <v>COM</v>
      </c>
      <c r="G757" t="str">
        <f t="shared" si="269"/>
        <v>FARMÁCIA INDIANA LJ 85 (10128)</v>
      </c>
      <c r="H757" t="s">
        <v>233</v>
      </c>
      <c r="I757" t="str">
        <f t="shared" si="266"/>
        <v>24/12/2025</v>
      </c>
      <c r="J757" t="str">
        <f t="shared" si="267"/>
        <v>16/12/2025</v>
      </c>
      <c r="K757">
        <v>46015</v>
      </c>
      <c r="N757">
        <v>303</v>
      </c>
      <c r="O757" t="s">
        <v>30</v>
      </c>
      <c r="Q757">
        <v>108</v>
      </c>
      <c r="R757" t="str">
        <f>"FARMÁCIA INDIANA LJ 119 (10053)"</f>
        <v>FARMÁCIA INDIANA LJ 119 (10053)</v>
      </c>
      <c r="S757" t="s">
        <v>31</v>
      </c>
      <c r="T757">
        <v>3581</v>
      </c>
      <c r="U757">
        <v>3086</v>
      </c>
      <c r="V757" t="s">
        <v>22</v>
      </c>
    </row>
    <row r="758" spans="1:22">
      <c r="A758" t="str">
        <f t="shared" si="260"/>
        <v>24/12/2025</v>
      </c>
      <c r="B758" t="str">
        <f t="shared" si="261"/>
        <v>ENTRADA</v>
      </c>
      <c r="C758" t="str">
        <f t="shared" si="262"/>
        <v>NFSE</v>
      </c>
      <c r="D758" t="str">
        <f t="shared" si="268"/>
        <v>4070</v>
      </c>
      <c r="E758" t="str">
        <f t="shared" si="264"/>
        <v>1</v>
      </c>
      <c r="F758" t="str">
        <f t="shared" si="259"/>
        <v>COM</v>
      </c>
      <c r="G758" t="str">
        <f t="shared" si="269"/>
        <v>FARMÁCIA INDIANA LJ 85 (10128)</v>
      </c>
      <c r="H758" t="s">
        <v>233</v>
      </c>
      <c r="I758" t="str">
        <f t="shared" si="266"/>
        <v>24/12/2025</v>
      </c>
      <c r="J758" t="str">
        <f t="shared" si="267"/>
        <v>16/12/2025</v>
      </c>
      <c r="K758">
        <v>46015</v>
      </c>
      <c r="N758">
        <v>303</v>
      </c>
      <c r="O758" t="s">
        <v>30</v>
      </c>
      <c r="Q758">
        <v>122.4</v>
      </c>
      <c r="R758" t="str">
        <f>"FARMÁCIA INDIANA LJ 163 (10072)"</f>
        <v>FARMÁCIA INDIANA LJ 163 (10072)</v>
      </c>
      <c r="S758" t="s">
        <v>31</v>
      </c>
      <c r="T758">
        <v>3581</v>
      </c>
      <c r="U758">
        <v>3086</v>
      </c>
      <c r="V758" t="s">
        <v>22</v>
      </c>
    </row>
    <row r="759" spans="1:22">
      <c r="A759" t="str">
        <f t="shared" si="260"/>
        <v>24/12/2025</v>
      </c>
      <c r="B759" t="str">
        <f t="shared" si="261"/>
        <v>ENTRADA</v>
      </c>
      <c r="C759" t="str">
        <f t="shared" si="262"/>
        <v>NFSE</v>
      </c>
      <c r="D759" t="str">
        <f t="shared" si="268"/>
        <v>4070</v>
      </c>
      <c r="E759" t="str">
        <f t="shared" si="264"/>
        <v>1</v>
      </c>
      <c r="F759" t="str">
        <f t="shared" si="259"/>
        <v>COM</v>
      </c>
      <c r="G759" t="str">
        <f t="shared" si="269"/>
        <v>FARMÁCIA INDIANA LJ 85 (10128)</v>
      </c>
      <c r="H759" t="s">
        <v>233</v>
      </c>
      <c r="I759" t="str">
        <f t="shared" si="266"/>
        <v>24/12/2025</v>
      </c>
      <c r="J759" t="str">
        <f t="shared" si="267"/>
        <v>16/12/2025</v>
      </c>
      <c r="K759">
        <v>46015</v>
      </c>
      <c r="N759">
        <v>303</v>
      </c>
      <c r="O759" t="s">
        <v>30</v>
      </c>
      <c r="Q759">
        <v>144.55000000000001</v>
      </c>
      <c r="R759" t="str">
        <f>"FARMÁCIA INDIANA LJ 181 (10078)"</f>
        <v>FARMÁCIA INDIANA LJ 181 (10078)</v>
      </c>
      <c r="S759" t="s">
        <v>31</v>
      </c>
      <c r="T759">
        <v>3581</v>
      </c>
      <c r="U759">
        <v>3086</v>
      </c>
      <c r="V759" t="s">
        <v>22</v>
      </c>
    </row>
    <row r="760" spans="1:22">
      <c r="A760" t="str">
        <f t="shared" si="260"/>
        <v>24/12/2025</v>
      </c>
      <c r="B760" t="str">
        <f t="shared" si="261"/>
        <v>ENTRADA</v>
      </c>
      <c r="C760" t="str">
        <f t="shared" si="262"/>
        <v>NFSE</v>
      </c>
      <c r="D760" t="str">
        <f t="shared" si="268"/>
        <v>4070</v>
      </c>
      <c r="E760" t="str">
        <f t="shared" si="264"/>
        <v>1</v>
      </c>
      <c r="F760" t="str">
        <f t="shared" si="259"/>
        <v>COM</v>
      </c>
      <c r="G760" t="str">
        <f t="shared" si="269"/>
        <v>FARMÁCIA INDIANA LJ 85 (10128)</v>
      </c>
      <c r="H760" t="s">
        <v>233</v>
      </c>
      <c r="I760" t="str">
        <f t="shared" si="266"/>
        <v>24/12/2025</v>
      </c>
      <c r="J760" t="str">
        <f t="shared" si="267"/>
        <v>16/12/2025</v>
      </c>
      <c r="K760">
        <v>46015</v>
      </c>
      <c r="N760">
        <v>303</v>
      </c>
      <c r="O760" t="s">
        <v>30</v>
      </c>
      <c r="Q760">
        <v>107.79</v>
      </c>
      <c r="R760" t="str">
        <f>"FARMÁCIA INDIANA LJ 221 (10093)"</f>
        <v>FARMÁCIA INDIANA LJ 221 (10093)</v>
      </c>
      <c r="S760" t="s">
        <v>31</v>
      </c>
      <c r="T760">
        <v>3581</v>
      </c>
      <c r="U760">
        <v>3086</v>
      </c>
      <c r="V760" t="s">
        <v>22</v>
      </c>
    </row>
    <row r="761" spans="1:22">
      <c r="A761" t="str">
        <f t="shared" si="260"/>
        <v>24/12/2025</v>
      </c>
      <c r="B761" t="str">
        <f t="shared" si="261"/>
        <v>ENTRADA</v>
      </c>
      <c r="C761" t="str">
        <f t="shared" si="262"/>
        <v>NFSE</v>
      </c>
      <c r="D761" t="str">
        <f t="shared" si="268"/>
        <v>4070</v>
      </c>
      <c r="E761" t="str">
        <f t="shared" si="264"/>
        <v>1</v>
      </c>
      <c r="F761" t="str">
        <f t="shared" si="259"/>
        <v>COM</v>
      </c>
      <c r="G761" t="str">
        <f t="shared" si="269"/>
        <v>FARMÁCIA INDIANA LJ 85 (10128)</v>
      </c>
      <c r="H761" t="s">
        <v>233</v>
      </c>
      <c r="I761" t="str">
        <f t="shared" si="266"/>
        <v>24/12/2025</v>
      </c>
      <c r="J761" t="str">
        <f t="shared" si="267"/>
        <v>16/12/2025</v>
      </c>
      <c r="K761">
        <v>46015</v>
      </c>
      <c r="N761">
        <v>303</v>
      </c>
      <c r="O761" t="s">
        <v>30</v>
      </c>
      <c r="Q761">
        <v>127.96</v>
      </c>
      <c r="R761" t="str">
        <f>"FARMÁCIA INDIANA LJ 243 (10142)"</f>
        <v>FARMÁCIA INDIANA LJ 243 (10142)</v>
      </c>
      <c r="S761" t="s">
        <v>31</v>
      </c>
      <c r="T761">
        <v>3581</v>
      </c>
      <c r="U761">
        <v>3086</v>
      </c>
      <c r="V761" t="s">
        <v>22</v>
      </c>
    </row>
    <row r="762" spans="1:22">
      <c r="A762" t="str">
        <f t="shared" si="260"/>
        <v>24/12/2025</v>
      </c>
      <c r="B762" t="str">
        <f t="shared" si="261"/>
        <v>ENTRADA</v>
      </c>
      <c r="C762" t="str">
        <f t="shared" si="262"/>
        <v>NFSE</v>
      </c>
      <c r="D762" t="str">
        <f t="shared" si="268"/>
        <v>4070</v>
      </c>
      <c r="E762" t="str">
        <f t="shared" si="264"/>
        <v>1</v>
      </c>
      <c r="F762" t="str">
        <f t="shared" si="259"/>
        <v>COM</v>
      </c>
      <c r="G762" t="str">
        <f t="shared" si="269"/>
        <v>FARMÁCIA INDIANA LJ 85 (10128)</v>
      </c>
      <c r="H762" t="s">
        <v>233</v>
      </c>
      <c r="I762" t="str">
        <f t="shared" si="266"/>
        <v>24/12/2025</v>
      </c>
      <c r="J762" t="str">
        <f t="shared" si="267"/>
        <v>16/12/2025</v>
      </c>
      <c r="K762">
        <v>46015</v>
      </c>
      <c r="N762">
        <v>303</v>
      </c>
      <c r="O762" t="s">
        <v>30</v>
      </c>
      <c r="Q762">
        <v>57.42</v>
      </c>
      <c r="R762" t="str">
        <f>"FARMÁCIA INDIANA LJ 211 (10168)"</f>
        <v>FARMÁCIA INDIANA LJ 211 (10168)</v>
      </c>
      <c r="S762" t="s">
        <v>31</v>
      </c>
      <c r="T762">
        <v>3581</v>
      </c>
      <c r="U762">
        <v>3086</v>
      </c>
      <c r="V762" t="s">
        <v>22</v>
      </c>
    </row>
    <row r="763" spans="1:22">
      <c r="A763" t="str">
        <f t="shared" si="260"/>
        <v>24/12/2025</v>
      </c>
      <c r="B763" t="str">
        <f t="shared" si="261"/>
        <v>ENTRADA</v>
      </c>
      <c r="C763" t="str">
        <f t="shared" si="262"/>
        <v>NFSE</v>
      </c>
      <c r="D763" t="str">
        <f t="shared" si="268"/>
        <v>4070</v>
      </c>
      <c r="E763" t="str">
        <f t="shared" si="264"/>
        <v>1</v>
      </c>
      <c r="F763" t="str">
        <f t="shared" si="259"/>
        <v>COM</v>
      </c>
      <c r="G763" t="str">
        <f t="shared" si="269"/>
        <v>FARMÁCIA INDIANA LJ 85 (10128)</v>
      </c>
      <c r="H763" t="s">
        <v>233</v>
      </c>
      <c r="I763" t="str">
        <f t="shared" si="266"/>
        <v>24/12/2025</v>
      </c>
      <c r="J763" t="str">
        <f t="shared" si="267"/>
        <v>16/12/2025</v>
      </c>
      <c r="K763">
        <v>46015</v>
      </c>
      <c r="N763">
        <v>303</v>
      </c>
      <c r="O763" t="s">
        <v>30</v>
      </c>
      <c r="Q763">
        <v>57.42</v>
      </c>
      <c r="R763" t="str">
        <f>"FARMÁCIA INDIANA LJ 236 (10169)"</f>
        <v>FARMÁCIA INDIANA LJ 236 (10169)</v>
      </c>
      <c r="S763" t="s">
        <v>31</v>
      </c>
      <c r="T763">
        <v>3581</v>
      </c>
      <c r="U763">
        <v>3086</v>
      </c>
      <c r="V763" t="s">
        <v>22</v>
      </c>
    </row>
    <row r="764" spans="1:22">
      <c r="A764" t="str">
        <f t="shared" si="260"/>
        <v>24/12/2025</v>
      </c>
      <c r="B764" t="str">
        <f t="shared" si="261"/>
        <v>ENTRADA</v>
      </c>
      <c r="C764" t="str">
        <f t="shared" si="262"/>
        <v>NFSE</v>
      </c>
      <c r="D764" t="str">
        <f t="shared" si="268"/>
        <v>4070</v>
      </c>
      <c r="E764" t="str">
        <f t="shared" si="264"/>
        <v>1</v>
      </c>
      <c r="F764" t="str">
        <f t="shared" si="259"/>
        <v>COM</v>
      </c>
      <c r="G764" t="str">
        <f t="shared" si="269"/>
        <v>FARMÁCIA INDIANA LJ 85 (10128)</v>
      </c>
      <c r="H764" t="s">
        <v>233</v>
      </c>
      <c r="I764" t="str">
        <f t="shared" si="266"/>
        <v>24/12/2025</v>
      </c>
      <c r="J764" t="str">
        <f t="shared" si="267"/>
        <v>16/12/2025</v>
      </c>
      <c r="K764">
        <v>46015</v>
      </c>
      <c r="N764">
        <v>303</v>
      </c>
      <c r="O764" t="s">
        <v>30</v>
      </c>
      <c r="Q764">
        <v>114.85</v>
      </c>
      <c r="R764" t="str">
        <f>"FARMÁCIA INDIANA LJ 188 (10176)"</f>
        <v>FARMÁCIA INDIANA LJ 188 (10176)</v>
      </c>
      <c r="S764" t="s">
        <v>31</v>
      </c>
      <c r="T764">
        <v>3581</v>
      </c>
      <c r="U764">
        <v>3086</v>
      </c>
      <c r="V764" t="s">
        <v>22</v>
      </c>
    </row>
    <row r="765" spans="1:22">
      <c r="A765" t="str">
        <f t="shared" si="260"/>
        <v>24/12/2025</v>
      </c>
      <c r="B765" t="str">
        <f t="shared" si="261"/>
        <v>ENTRADA</v>
      </c>
      <c r="C765" t="str">
        <f t="shared" si="262"/>
        <v>NFSE</v>
      </c>
      <c r="D765" t="str">
        <f t="shared" si="268"/>
        <v>4070</v>
      </c>
      <c r="E765" t="str">
        <f t="shared" si="264"/>
        <v>1</v>
      </c>
      <c r="F765" t="str">
        <f t="shared" si="259"/>
        <v>COM</v>
      </c>
      <c r="G765" t="str">
        <f t="shared" si="269"/>
        <v>FARMÁCIA INDIANA LJ 85 (10128)</v>
      </c>
      <c r="H765" t="s">
        <v>233</v>
      </c>
      <c r="I765" t="str">
        <f t="shared" si="266"/>
        <v>24/12/2025</v>
      </c>
      <c r="J765" t="str">
        <f t="shared" si="267"/>
        <v>16/12/2025</v>
      </c>
      <c r="K765">
        <v>46015</v>
      </c>
      <c r="N765">
        <v>303</v>
      </c>
      <c r="O765" t="s">
        <v>30</v>
      </c>
      <c r="Q765">
        <v>135.01</v>
      </c>
      <c r="R765" t="str">
        <f>"FARMÁCIA INDIANA LJ 273 (10188)"</f>
        <v>FARMÁCIA INDIANA LJ 273 (10188)</v>
      </c>
      <c r="S765" t="s">
        <v>31</v>
      </c>
      <c r="T765">
        <v>3581</v>
      </c>
      <c r="U765">
        <v>3086</v>
      </c>
      <c r="V765" t="s">
        <v>22</v>
      </c>
    </row>
    <row r="766" spans="1:22">
      <c r="A766" t="str">
        <f t="shared" si="260"/>
        <v>24/12/2025</v>
      </c>
      <c r="B766" t="str">
        <f t="shared" si="261"/>
        <v>ENTRADA</v>
      </c>
      <c r="C766" t="str">
        <f t="shared" si="262"/>
        <v>NFSE</v>
      </c>
      <c r="D766" t="str">
        <f t="shared" si="268"/>
        <v>4070</v>
      </c>
      <c r="E766" t="str">
        <f t="shared" si="264"/>
        <v>1</v>
      </c>
      <c r="F766" t="str">
        <f t="shared" si="259"/>
        <v>COM</v>
      </c>
      <c r="G766" t="str">
        <f t="shared" si="269"/>
        <v>FARMÁCIA INDIANA LJ 85 (10128)</v>
      </c>
      <c r="H766" t="s">
        <v>233</v>
      </c>
      <c r="I766" t="str">
        <f t="shared" si="266"/>
        <v>24/12/2025</v>
      </c>
      <c r="J766" t="str">
        <f t="shared" si="267"/>
        <v>16/12/2025</v>
      </c>
      <c r="K766">
        <v>46015</v>
      </c>
      <c r="N766">
        <v>303</v>
      </c>
      <c r="O766" t="s">
        <v>30</v>
      </c>
      <c r="Q766">
        <v>18.079999999999998</v>
      </c>
      <c r="R766" t="str">
        <f>"FARMÁCIA INDIANA LJ 235 (10190)"</f>
        <v>FARMÁCIA INDIANA LJ 235 (10190)</v>
      </c>
      <c r="S766" t="s">
        <v>31</v>
      </c>
      <c r="T766">
        <v>3581</v>
      </c>
      <c r="U766">
        <v>3086</v>
      </c>
      <c r="V766" t="s">
        <v>22</v>
      </c>
    </row>
    <row r="767" spans="1:22">
      <c r="A767" t="str">
        <f t="shared" si="260"/>
        <v>24/12/2025</v>
      </c>
      <c r="B767" t="str">
        <f t="shared" si="261"/>
        <v>ENTRADA</v>
      </c>
      <c r="C767" t="str">
        <f t="shared" si="262"/>
        <v>NFSE</v>
      </c>
      <c r="D767" t="str">
        <f>"4074"</f>
        <v>4074</v>
      </c>
      <c r="E767" t="str">
        <f t="shared" si="264"/>
        <v>1</v>
      </c>
      <c r="F767" t="str">
        <f t="shared" si="259"/>
        <v>COM</v>
      </c>
      <c r="G767" t="str">
        <f>"PENSE FARMA 07 (10201)"</f>
        <v>PENSE FARMA 07 (10201)</v>
      </c>
      <c r="H767" t="str">
        <f>"Serv.Prest. 15/12/2025 a 21/12/2025 - RPS: 1836 - NFSe: 4074"</f>
        <v>Serv.Prest. 15/12/2025 a 21/12/2025 - RPS: 1836 - NFSe: 4074</v>
      </c>
      <c r="I767" t="str">
        <f t="shared" si="266"/>
        <v>24/12/2025</v>
      </c>
      <c r="J767" t="str">
        <f t="shared" ref="J767:J798" si="270">("22/12/2025")</f>
        <v>22/12/2025</v>
      </c>
      <c r="K767" t="str">
        <f>("24/12/2025")</f>
        <v>24/12/2025</v>
      </c>
      <c r="L767">
        <v>309.75</v>
      </c>
      <c r="M767">
        <v>309.75</v>
      </c>
      <c r="N767">
        <v>303</v>
      </c>
      <c r="O767" t="str">
        <f>"RECEITAS COM ENTREGAS"</f>
        <v>RECEITAS COM ENTREGAS</v>
      </c>
      <c r="P767">
        <v>309.75</v>
      </c>
      <c r="S767" t="str">
        <f>"RECEITAS COM ENTREGAS (303)"</f>
        <v>RECEITAS COM ENTREGAS (303)</v>
      </c>
      <c r="T767">
        <v>3582</v>
      </c>
      <c r="U767">
        <v>3092</v>
      </c>
      <c r="V767" t="s">
        <v>22</v>
      </c>
    </row>
    <row r="768" spans="1:22">
      <c r="A768" t="str">
        <f t="shared" si="260"/>
        <v>24/12/2025</v>
      </c>
      <c r="B768" t="str">
        <f t="shared" si="261"/>
        <v>ENTRADA</v>
      </c>
      <c r="C768" t="str">
        <f t="shared" si="262"/>
        <v>NFSE</v>
      </c>
      <c r="D768" t="str">
        <f>"4074"</f>
        <v>4074</v>
      </c>
      <c r="E768" t="str">
        <f t="shared" si="264"/>
        <v>1</v>
      </c>
      <c r="F768" t="str">
        <f t="shared" si="259"/>
        <v>COM</v>
      </c>
      <c r="G768" t="str">
        <f>"PENSE FARMA 07 (10201)"</f>
        <v>PENSE FARMA 07 (10201)</v>
      </c>
      <c r="H768" t="s">
        <v>234</v>
      </c>
      <c r="I768" t="str">
        <f t="shared" si="266"/>
        <v>24/12/2025</v>
      </c>
      <c r="J768" t="str">
        <f t="shared" si="270"/>
        <v>22/12/2025</v>
      </c>
      <c r="K768">
        <v>46015</v>
      </c>
      <c r="N768">
        <v>303</v>
      </c>
      <c r="O768" t="s">
        <v>30</v>
      </c>
      <c r="Q768">
        <v>102.9</v>
      </c>
      <c r="R768" t="str">
        <f>"PENSE FARMA 07 (10201)"</f>
        <v>PENSE FARMA 07 (10201)</v>
      </c>
      <c r="S768" t="s">
        <v>31</v>
      </c>
      <c r="T768">
        <v>3582</v>
      </c>
      <c r="U768">
        <v>3092</v>
      </c>
      <c r="V768" t="s">
        <v>22</v>
      </c>
    </row>
    <row r="769" spans="1:22">
      <c r="A769" t="str">
        <f t="shared" ref="A769:A800" si="271">("24/12/2025")</f>
        <v>24/12/2025</v>
      </c>
      <c r="B769" t="str">
        <f t="shared" si="261"/>
        <v>ENTRADA</v>
      </c>
      <c r="C769" t="str">
        <f t="shared" si="262"/>
        <v>NFSE</v>
      </c>
      <c r="D769" t="str">
        <f>"4074"</f>
        <v>4074</v>
      </c>
      <c r="E769" t="str">
        <f t="shared" si="264"/>
        <v>1</v>
      </c>
      <c r="F769" t="str">
        <f t="shared" si="259"/>
        <v>COM</v>
      </c>
      <c r="G769" t="str">
        <f>"PENSE FARMA 07 (10201)"</f>
        <v>PENSE FARMA 07 (10201)</v>
      </c>
      <c r="H769" t="s">
        <v>234</v>
      </c>
      <c r="I769" t="str">
        <f t="shared" si="266"/>
        <v>24/12/2025</v>
      </c>
      <c r="J769" t="str">
        <f t="shared" si="270"/>
        <v>22/12/2025</v>
      </c>
      <c r="K769">
        <v>46015</v>
      </c>
      <c r="N769">
        <v>303</v>
      </c>
      <c r="O769" t="s">
        <v>30</v>
      </c>
      <c r="Q769">
        <v>102.9</v>
      </c>
      <c r="R769" t="str">
        <f>"PENSE FARMA 45 (10209)"</f>
        <v>PENSE FARMA 45 (10209)</v>
      </c>
      <c r="S769" t="s">
        <v>31</v>
      </c>
      <c r="T769">
        <v>3582</v>
      </c>
      <c r="U769">
        <v>3092</v>
      </c>
      <c r="V769" t="s">
        <v>22</v>
      </c>
    </row>
    <row r="770" spans="1:22">
      <c r="A770" t="str">
        <f t="shared" si="271"/>
        <v>24/12/2025</v>
      </c>
      <c r="B770" t="str">
        <f t="shared" si="261"/>
        <v>ENTRADA</v>
      </c>
      <c r="C770" t="str">
        <f t="shared" si="262"/>
        <v>NFSE</v>
      </c>
      <c r="D770" t="str">
        <f>"4074"</f>
        <v>4074</v>
      </c>
      <c r="E770" t="str">
        <f t="shared" si="264"/>
        <v>1</v>
      </c>
      <c r="F770" t="str">
        <f t="shared" si="259"/>
        <v>COM</v>
      </c>
      <c r="G770" t="str">
        <f>"PENSE FARMA 07 (10201)"</f>
        <v>PENSE FARMA 07 (10201)</v>
      </c>
      <c r="H770" t="s">
        <v>234</v>
      </c>
      <c r="I770" t="str">
        <f t="shared" si="266"/>
        <v>24/12/2025</v>
      </c>
      <c r="J770" t="str">
        <f t="shared" si="270"/>
        <v>22/12/2025</v>
      </c>
      <c r="K770">
        <v>46015</v>
      </c>
      <c r="N770">
        <v>303</v>
      </c>
      <c r="O770" t="s">
        <v>30</v>
      </c>
      <c r="Q770">
        <v>103.95</v>
      </c>
      <c r="R770" t="str">
        <f>"PENSE FARMA 50 (10210)"</f>
        <v>PENSE FARMA 50 (10210)</v>
      </c>
      <c r="S770" t="s">
        <v>31</v>
      </c>
      <c r="T770">
        <v>3582</v>
      </c>
      <c r="U770">
        <v>3092</v>
      </c>
      <c r="V770" t="s">
        <v>22</v>
      </c>
    </row>
    <row r="771" spans="1:22">
      <c r="A771" t="str">
        <f t="shared" si="271"/>
        <v>24/12/2025</v>
      </c>
      <c r="B771" t="str">
        <f t="shared" ref="B771:B802" si="272">"ENTRADA"</f>
        <v>ENTRADA</v>
      </c>
      <c r="C771" t="str">
        <f t="shared" ref="C771:C802" si="273">"NFSE"</f>
        <v>NFSE</v>
      </c>
      <c r="D771" t="str">
        <f t="shared" ref="D771:D776" si="274">"4075"</f>
        <v>4075</v>
      </c>
      <c r="E771" t="str">
        <f t="shared" ref="E771:E802" si="275">"1"</f>
        <v>1</v>
      </c>
      <c r="F771" t="str">
        <f t="shared" si="259"/>
        <v>COM</v>
      </c>
      <c r="G771" t="str">
        <f t="shared" ref="G771:G776" si="276">"PENSE FARMA 08 (10217)"</f>
        <v>PENSE FARMA 08 (10217)</v>
      </c>
      <c r="H771" t="str">
        <f>"Serv.Prest. 15/12/2025 a 21/12/2025 - RPS: 1837 - NFSe: 4075"</f>
        <v>Serv.Prest. 15/12/2025 a 21/12/2025 - RPS: 1837 - NFSe: 4075</v>
      </c>
      <c r="I771" t="str">
        <f t="shared" ref="I771:I802" si="277">("24/12/2025")</f>
        <v>24/12/2025</v>
      </c>
      <c r="J771" t="str">
        <f t="shared" si="270"/>
        <v>22/12/2025</v>
      </c>
      <c r="K771" t="str">
        <f>("24/12/2025")</f>
        <v>24/12/2025</v>
      </c>
      <c r="L771">
        <v>589.5</v>
      </c>
      <c r="M771">
        <v>589.5</v>
      </c>
      <c r="N771">
        <v>303</v>
      </c>
      <c r="O771" t="str">
        <f>"RECEITAS COM ENTREGAS"</f>
        <v>RECEITAS COM ENTREGAS</v>
      </c>
      <c r="P771">
        <v>589.5</v>
      </c>
      <c r="S771" t="str">
        <f>"RECEITAS COM ENTREGAS (303)"</f>
        <v>RECEITAS COM ENTREGAS (303)</v>
      </c>
      <c r="T771">
        <v>3583</v>
      </c>
      <c r="U771">
        <v>3093</v>
      </c>
      <c r="V771" t="s">
        <v>22</v>
      </c>
    </row>
    <row r="772" spans="1:22">
      <c r="A772" t="str">
        <f t="shared" si="271"/>
        <v>24/12/2025</v>
      </c>
      <c r="B772" t="str">
        <f t="shared" si="272"/>
        <v>ENTRADA</v>
      </c>
      <c r="C772" t="str">
        <f t="shared" si="273"/>
        <v>NFSE</v>
      </c>
      <c r="D772" t="str">
        <f t="shared" si="274"/>
        <v>4075</v>
      </c>
      <c r="E772" t="str">
        <f t="shared" si="275"/>
        <v>1</v>
      </c>
      <c r="F772" t="str">
        <f t="shared" si="259"/>
        <v>COM</v>
      </c>
      <c r="G772" t="str">
        <f t="shared" si="276"/>
        <v>PENSE FARMA 08 (10217)</v>
      </c>
      <c r="H772" t="s">
        <v>235</v>
      </c>
      <c r="I772" t="str">
        <f t="shared" si="277"/>
        <v>24/12/2025</v>
      </c>
      <c r="J772" t="str">
        <f t="shared" si="270"/>
        <v>22/12/2025</v>
      </c>
      <c r="K772">
        <v>46015</v>
      </c>
      <c r="N772">
        <v>303</v>
      </c>
      <c r="O772" t="s">
        <v>30</v>
      </c>
      <c r="Q772">
        <v>117.9</v>
      </c>
      <c r="R772" t="str">
        <f>"PENSE FARMA 08 (10217)"</f>
        <v>PENSE FARMA 08 (10217)</v>
      </c>
      <c r="S772" t="s">
        <v>31</v>
      </c>
      <c r="T772">
        <v>3583</v>
      </c>
      <c r="U772">
        <v>3093</v>
      </c>
      <c r="V772" t="s">
        <v>22</v>
      </c>
    </row>
    <row r="773" spans="1:22">
      <c r="A773" t="str">
        <f t="shared" si="271"/>
        <v>24/12/2025</v>
      </c>
      <c r="B773" t="str">
        <f t="shared" si="272"/>
        <v>ENTRADA</v>
      </c>
      <c r="C773" t="str">
        <f t="shared" si="273"/>
        <v>NFSE</v>
      </c>
      <c r="D773" t="str">
        <f t="shared" si="274"/>
        <v>4075</v>
      </c>
      <c r="E773" t="str">
        <f t="shared" si="275"/>
        <v>1</v>
      </c>
      <c r="F773" t="str">
        <f t="shared" si="259"/>
        <v>COM</v>
      </c>
      <c r="G773" t="str">
        <f t="shared" si="276"/>
        <v>PENSE FARMA 08 (10217)</v>
      </c>
      <c r="H773" t="s">
        <v>235</v>
      </c>
      <c r="I773" t="str">
        <f t="shared" si="277"/>
        <v>24/12/2025</v>
      </c>
      <c r="J773" t="str">
        <f t="shared" si="270"/>
        <v>22/12/2025</v>
      </c>
      <c r="K773">
        <v>46015</v>
      </c>
      <c r="N773">
        <v>303</v>
      </c>
      <c r="O773" t="s">
        <v>30</v>
      </c>
      <c r="Q773">
        <v>117.9</v>
      </c>
      <c r="R773" t="str">
        <f>"PENSE FARMA 11 (10220)"</f>
        <v>PENSE FARMA 11 (10220)</v>
      </c>
      <c r="S773" t="s">
        <v>31</v>
      </c>
      <c r="T773">
        <v>3583</v>
      </c>
      <c r="U773">
        <v>3093</v>
      </c>
      <c r="V773" t="s">
        <v>22</v>
      </c>
    </row>
    <row r="774" spans="1:22">
      <c r="A774" t="str">
        <f t="shared" si="271"/>
        <v>24/12/2025</v>
      </c>
      <c r="B774" t="str">
        <f t="shared" si="272"/>
        <v>ENTRADA</v>
      </c>
      <c r="C774" t="str">
        <f t="shared" si="273"/>
        <v>NFSE</v>
      </c>
      <c r="D774" t="str">
        <f t="shared" si="274"/>
        <v>4075</v>
      </c>
      <c r="E774" t="str">
        <f t="shared" si="275"/>
        <v>1</v>
      </c>
      <c r="F774" t="str">
        <f t="shared" si="259"/>
        <v>COM</v>
      </c>
      <c r="G774" t="str">
        <f t="shared" si="276"/>
        <v>PENSE FARMA 08 (10217)</v>
      </c>
      <c r="H774" t="s">
        <v>235</v>
      </c>
      <c r="I774" t="str">
        <f t="shared" si="277"/>
        <v>24/12/2025</v>
      </c>
      <c r="J774" t="str">
        <f t="shared" si="270"/>
        <v>22/12/2025</v>
      </c>
      <c r="K774">
        <v>46015</v>
      </c>
      <c r="N774">
        <v>303</v>
      </c>
      <c r="O774" t="s">
        <v>30</v>
      </c>
      <c r="Q774">
        <v>117.9</v>
      </c>
      <c r="R774" t="str">
        <f>"PENSE FARMA 41 (10229)"</f>
        <v>PENSE FARMA 41 (10229)</v>
      </c>
      <c r="S774" t="s">
        <v>31</v>
      </c>
      <c r="T774">
        <v>3583</v>
      </c>
      <c r="U774">
        <v>3093</v>
      </c>
      <c r="V774" t="s">
        <v>22</v>
      </c>
    </row>
    <row r="775" spans="1:22">
      <c r="A775" t="str">
        <f t="shared" si="271"/>
        <v>24/12/2025</v>
      </c>
      <c r="B775" t="str">
        <f t="shared" si="272"/>
        <v>ENTRADA</v>
      </c>
      <c r="C775" t="str">
        <f t="shared" si="273"/>
        <v>NFSE</v>
      </c>
      <c r="D775" t="str">
        <f t="shared" si="274"/>
        <v>4075</v>
      </c>
      <c r="E775" t="str">
        <f t="shared" si="275"/>
        <v>1</v>
      </c>
      <c r="F775" t="str">
        <f t="shared" si="259"/>
        <v>COM</v>
      </c>
      <c r="G775" t="str">
        <f t="shared" si="276"/>
        <v>PENSE FARMA 08 (10217)</v>
      </c>
      <c r="H775" t="s">
        <v>235</v>
      </c>
      <c r="I775" t="str">
        <f t="shared" si="277"/>
        <v>24/12/2025</v>
      </c>
      <c r="J775" t="str">
        <f t="shared" si="270"/>
        <v>22/12/2025</v>
      </c>
      <c r="K775">
        <v>46015</v>
      </c>
      <c r="N775">
        <v>303</v>
      </c>
      <c r="O775" t="s">
        <v>30</v>
      </c>
      <c r="Q775">
        <v>117.9</v>
      </c>
      <c r="R775" t="str">
        <f>"PENSE FARMA 42 (10230)"</f>
        <v>PENSE FARMA 42 (10230)</v>
      </c>
      <c r="S775" t="s">
        <v>31</v>
      </c>
      <c r="T775">
        <v>3583</v>
      </c>
      <c r="U775">
        <v>3093</v>
      </c>
      <c r="V775" t="s">
        <v>22</v>
      </c>
    </row>
    <row r="776" spans="1:22">
      <c r="A776" t="str">
        <f t="shared" si="271"/>
        <v>24/12/2025</v>
      </c>
      <c r="B776" t="str">
        <f t="shared" si="272"/>
        <v>ENTRADA</v>
      </c>
      <c r="C776" t="str">
        <f t="shared" si="273"/>
        <v>NFSE</v>
      </c>
      <c r="D776" t="str">
        <f t="shared" si="274"/>
        <v>4075</v>
      </c>
      <c r="E776" t="str">
        <f t="shared" si="275"/>
        <v>1</v>
      </c>
      <c r="F776" t="str">
        <f t="shared" si="259"/>
        <v>COM</v>
      </c>
      <c r="G776" t="str">
        <f t="shared" si="276"/>
        <v>PENSE FARMA 08 (10217)</v>
      </c>
      <c r="H776" t="s">
        <v>235</v>
      </c>
      <c r="I776" t="str">
        <f t="shared" si="277"/>
        <v>24/12/2025</v>
      </c>
      <c r="J776" t="str">
        <f t="shared" si="270"/>
        <v>22/12/2025</v>
      </c>
      <c r="K776">
        <v>46015</v>
      </c>
      <c r="N776">
        <v>303</v>
      </c>
      <c r="O776" t="s">
        <v>30</v>
      </c>
      <c r="Q776">
        <v>117.9</v>
      </c>
      <c r="R776" t="str">
        <f>"PENSE FARMA 52 (10236)"</f>
        <v>PENSE FARMA 52 (10236)</v>
      </c>
      <c r="S776" t="s">
        <v>31</v>
      </c>
      <c r="T776">
        <v>3583</v>
      </c>
      <c r="U776">
        <v>3093</v>
      </c>
      <c r="V776" t="s">
        <v>22</v>
      </c>
    </row>
    <row r="777" spans="1:22">
      <c r="A777" t="str">
        <f t="shared" si="271"/>
        <v>24/12/2025</v>
      </c>
      <c r="B777" t="str">
        <f t="shared" si="272"/>
        <v>ENTRADA</v>
      </c>
      <c r="C777" t="str">
        <f t="shared" si="273"/>
        <v>NFSE</v>
      </c>
      <c r="D777" t="str">
        <f>"4076"</f>
        <v>4076</v>
      </c>
      <c r="E777" t="str">
        <f t="shared" si="275"/>
        <v>1</v>
      </c>
      <c r="F777" t="str">
        <f t="shared" si="259"/>
        <v>COM</v>
      </c>
      <c r="G777" t="str">
        <f>"PENSE FARMA 09 (10218)"</f>
        <v>PENSE FARMA 09 (10218)</v>
      </c>
      <c r="H777" t="str">
        <f>"Serv.Prest. 15/12/2025 a 21/12/2025 - RPS: 1838 - NFSe: 4076"</f>
        <v>Serv.Prest. 15/12/2025 a 21/12/2025 - RPS: 1838 - NFSe: 4076</v>
      </c>
      <c r="I777" t="str">
        <f t="shared" si="277"/>
        <v>24/12/2025</v>
      </c>
      <c r="J777" t="str">
        <f t="shared" si="270"/>
        <v>22/12/2025</v>
      </c>
      <c r="K777" t="str">
        <f>("24/12/2025")</f>
        <v>24/12/2025</v>
      </c>
      <c r="L777">
        <v>336.54</v>
      </c>
      <c r="M777">
        <v>336.54</v>
      </c>
      <c r="N777">
        <v>303</v>
      </c>
      <c r="O777" t="str">
        <f>"RECEITAS COM ENTREGAS"</f>
        <v>RECEITAS COM ENTREGAS</v>
      </c>
      <c r="P777">
        <v>336.54</v>
      </c>
      <c r="S777" t="str">
        <f>"RECEITAS COM ENTREGAS (303)"</f>
        <v>RECEITAS COM ENTREGAS (303)</v>
      </c>
      <c r="T777">
        <v>3584</v>
      </c>
      <c r="U777">
        <v>3094</v>
      </c>
      <c r="V777" t="s">
        <v>22</v>
      </c>
    </row>
    <row r="778" spans="1:22">
      <c r="A778" t="str">
        <f t="shared" si="271"/>
        <v>24/12/2025</v>
      </c>
      <c r="B778" t="str">
        <f t="shared" si="272"/>
        <v>ENTRADA</v>
      </c>
      <c r="C778" t="str">
        <f t="shared" si="273"/>
        <v>NFSE</v>
      </c>
      <c r="D778" t="str">
        <f>"4076"</f>
        <v>4076</v>
      </c>
      <c r="E778" t="str">
        <f t="shared" si="275"/>
        <v>1</v>
      </c>
      <c r="F778" t="str">
        <f t="shared" si="259"/>
        <v>COM</v>
      </c>
      <c r="G778" t="str">
        <f>"PENSE FARMA 09 (10218)"</f>
        <v>PENSE FARMA 09 (10218)</v>
      </c>
      <c r="H778" t="s">
        <v>236</v>
      </c>
      <c r="I778" t="str">
        <f t="shared" si="277"/>
        <v>24/12/2025</v>
      </c>
      <c r="J778" t="str">
        <f t="shared" si="270"/>
        <v>22/12/2025</v>
      </c>
      <c r="K778">
        <v>46015</v>
      </c>
      <c r="N778">
        <v>303</v>
      </c>
      <c r="O778" t="s">
        <v>30</v>
      </c>
      <c r="Q778">
        <v>168.27</v>
      </c>
      <c r="R778" t="str">
        <f>"PENSE FARMA 09 (10218)"</f>
        <v>PENSE FARMA 09 (10218)</v>
      </c>
      <c r="S778" t="s">
        <v>31</v>
      </c>
      <c r="T778">
        <v>3584</v>
      </c>
      <c r="U778">
        <v>3094</v>
      </c>
      <c r="V778" t="s">
        <v>22</v>
      </c>
    </row>
    <row r="779" spans="1:22">
      <c r="A779" t="str">
        <f t="shared" si="271"/>
        <v>24/12/2025</v>
      </c>
      <c r="B779" t="str">
        <f t="shared" si="272"/>
        <v>ENTRADA</v>
      </c>
      <c r="C779" t="str">
        <f t="shared" si="273"/>
        <v>NFSE</v>
      </c>
      <c r="D779" t="str">
        <f>"4076"</f>
        <v>4076</v>
      </c>
      <c r="E779" t="str">
        <f t="shared" si="275"/>
        <v>1</v>
      </c>
      <c r="F779" t="str">
        <f t="shared" si="259"/>
        <v>COM</v>
      </c>
      <c r="G779" t="str">
        <f>"PENSE FARMA 09 (10218)"</f>
        <v>PENSE FARMA 09 (10218)</v>
      </c>
      <c r="H779" t="s">
        <v>236</v>
      </c>
      <c r="I779" t="str">
        <f t="shared" si="277"/>
        <v>24/12/2025</v>
      </c>
      <c r="J779" t="str">
        <f t="shared" si="270"/>
        <v>22/12/2025</v>
      </c>
      <c r="K779">
        <v>46015</v>
      </c>
      <c r="N779">
        <v>303</v>
      </c>
      <c r="O779" t="s">
        <v>30</v>
      </c>
      <c r="Q779">
        <v>168.27</v>
      </c>
      <c r="R779" t="str">
        <f>"PENSE FARMA 10 (10219)"</f>
        <v>PENSE FARMA 10 (10219)</v>
      </c>
      <c r="S779" t="s">
        <v>31</v>
      </c>
      <c r="T779">
        <v>3584</v>
      </c>
      <c r="U779">
        <v>3094</v>
      </c>
      <c r="V779" t="s">
        <v>22</v>
      </c>
    </row>
    <row r="780" spans="1:22">
      <c r="A780" t="str">
        <f t="shared" si="271"/>
        <v>24/12/2025</v>
      </c>
      <c r="B780" t="str">
        <f t="shared" si="272"/>
        <v>ENTRADA</v>
      </c>
      <c r="C780" t="str">
        <f t="shared" si="273"/>
        <v>NFSE</v>
      </c>
      <c r="D780" t="str">
        <f>"4077"</f>
        <v>4077</v>
      </c>
      <c r="E780" t="str">
        <f t="shared" si="275"/>
        <v>1</v>
      </c>
      <c r="F780" t="str">
        <f t="shared" si="259"/>
        <v>COM</v>
      </c>
      <c r="G780" t="str">
        <f>"PENSE FARMA 19 (10223)"</f>
        <v>PENSE FARMA 19 (10223)</v>
      </c>
      <c r="H780" t="str">
        <f>"Serv.Prest. 15/12/2025 a 21/12/2025 - RPS: 1839 - NFSe: 4077"</f>
        <v>Serv.Prest. 15/12/2025 a 21/12/2025 - RPS: 1839 - NFSe: 4077</v>
      </c>
      <c r="I780" t="str">
        <f t="shared" si="277"/>
        <v>24/12/2025</v>
      </c>
      <c r="J780" t="str">
        <f t="shared" si="270"/>
        <v>22/12/2025</v>
      </c>
      <c r="K780" t="str">
        <f>("24/12/2025")</f>
        <v>24/12/2025</v>
      </c>
      <c r="L780">
        <v>507.65</v>
      </c>
      <c r="M780">
        <v>507.65</v>
      </c>
      <c r="N780">
        <v>303</v>
      </c>
      <c r="O780" t="str">
        <f>"RECEITAS COM ENTREGAS"</f>
        <v>RECEITAS COM ENTREGAS</v>
      </c>
      <c r="P780">
        <v>507.65</v>
      </c>
      <c r="S780" t="str">
        <f>"RECEITAS COM ENTREGAS (303)"</f>
        <v>RECEITAS COM ENTREGAS (303)</v>
      </c>
      <c r="T780">
        <v>3585</v>
      </c>
      <c r="U780">
        <v>3095</v>
      </c>
      <c r="V780" t="s">
        <v>22</v>
      </c>
    </row>
    <row r="781" spans="1:22">
      <c r="A781" t="str">
        <f t="shared" si="271"/>
        <v>24/12/2025</v>
      </c>
      <c r="B781" t="str">
        <f t="shared" si="272"/>
        <v>ENTRADA</v>
      </c>
      <c r="C781" t="str">
        <f t="shared" si="273"/>
        <v>NFSE</v>
      </c>
      <c r="D781" t="str">
        <f>"4077"</f>
        <v>4077</v>
      </c>
      <c r="E781" t="str">
        <f t="shared" si="275"/>
        <v>1</v>
      </c>
      <c r="F781" t="str">
        <f t="shared" si="259"/>
        <v>COM</v>
      </c>
      <c r="G781" t="str">
        <f>"PENSE FARMA 19 (10223)"</f>
        <v>PENSE FARMA 19 (10223)</v>
      </c>
      <c r="H781" t="s">
        <v>237</v>
      </c>
      <c r="I781" t="str">
        <f t="shared" si="277"/>
        <v>24/12/2025</v>
      </c>
      <c r="J781" t="str">
        <f t="shared" si="270"/>
        <v>22/12/2025</v>
      </c>
      <c r="K781">
        <v>46015</v>
      </c>
      <c r="N781">
        <v>303</v>
      </c>
      <c r="O781" t="s">
        <v>30</v>
      </c>
      <c r="Q781">
        <v>507.65</v>
      </c>
      <c r="R781" t="str">
        <f>"PENSE FARMA 19 (10223)"</f>
        <v>PENSE FARMA 19 (10223)</v>
      </c>
      <c r="S781" t="s">
        <v>31</v>
      </c>
      <c r="T781">
        <v>3585</v>
      </c>
      <c r="U781">
        <v>3095</v>
      </c>
      <c r="V781" t="s">
        <v>22</v>
      </c>
    </row>
    <row r="782" spans="1:22">
      <c r="A782" t="str">
        <f t="shared" si="271"/>
        <v>24/12/2025</v>
      </c>
      <c r="B782" t="str">
        <f t="shared" si="272"/>
        <v>ENTRADA</v>
      </c>
      <c r="C782" t="str">
        <f t="shared" si="273"/>
        <v>NFSE</v>
      </c>
      <c r="D782" t="str">
        <f>"4078"</f>
        <v>4078</v>
      </c>
      <c r="E782" t="str">
        <f t="shared" si="275"/>
        <v>1</v>
      </c>
      <c r="F782" t="str">
        <f t="shared" si="259"/>
        <v>COM</v>
      </c>
      <c r="G782" t="str">
        <f>"PENSE FARMA 27 (10204)"</f>
        <v>PENSE FARMA 27 (10204)</v>
      </c>
      <c r="H782" t="str">
        <f>"Serv.Prest. 15/12/2025 a 21/12/2025 - RPS: 1840 - NFSe: 4078"</f>
        <v>Serv.Prest. 15/12/2025 a 21/12/2025 - RPS: 1840 - NFSe: 4078</v>
      </c>
      <c r="I782" t="str">
        <f t="shared" si="277"/>
        <v>24/12/2025</v>
      </c>
      <c r="J782" t="str">
        <f t="shared" si="270"/>
        <v>22/12/2025</v>
      </c>
      <c r="K782" t="str">
        <f>("24/12/2025")</f>
        <v>24/12/2025</v>
      </c>
      <c r="L782">
        <v>577.5</v>
      </c>
      <c r="M782">
        <v>577.5</v>
      </c>
      <c r="N782">
        <v>303</v>
      </c>
      <c r="O782" t="str">
        <f>"RECEITAS COM ENTREGAS"</f>
        <v>RECEITAS COM ENTREGAS</v>
      </c>
      <c r="P782">
        <v>577.5</v>
      </c>
      <c r="S782" t="str">
        <f>"RECEITAS COM ENTREGAS (303)"</f>
        <v>RECEITAS COM ENTREGAS (303)</v>
      </c>
      <c r="T782">
        <v>3586</v>
      </c>
      <c r="U782">
        <v>3096</v>
      </c>
      <c r="V782" t="s">
        <v>22</v>
      </c>
    </row>
    <row r="783" spans="1:22">
      <c r="A783" t="str">
        <f t="shared" si="271"/>
        <v>24/12/2025</v>
      </c>
      <c r="B783" t="str">
        <f t="shared" si="272"/>
        <v>ENTRADA</v>
      </c>
      <c r="C783" t="str">
        <f t="shared" si="273"/>
        <v>NFSE</v>
      </c>
      <c r="D783" t="str">
        <f>"4078"</f>
        <v>4078</v>
      </c>
      <c r="E783" t="str">
        <f t="shared" si="275"/>
        <v>1</v>
      </c>
      <c r="F783" t="str">
        <f t="shared" si="259"/>
        <v>COM</v>
      </c>
      <c r="G783" t="str">
        <f>"PENSE FARMA 27 (10204)"</f>
        <v>PENSE FARMA 27 (10204)</v>
      </c>
      <c r="H783" t="s">
        <v>238</v>
      </c>
      <c r="I783" t="str">
        <f t="shared" si="277"/>
        <v>24/12/2025</v>
      </c>
      <c r="J783" t="str">
        <f t="shared" si="270"/>
        <v>22/12/2025</v>
      </c>
      <c r="K783">
        <v>46015</v>
      </c>
      <c r="N783">
        <v>303</v>
      </c>
      <c r="O783" t="s">
        <v>30</v>
      </c>
      <c r="Q783">
        <v>192.14</v>
      </c>
      <c r="R783" t="str">
        <f>"PENSE FARMA 05 (10200)"</f>
        <v>PENSE FARMA 05 (10200)</v>
      </c>
      <c r="S783" t="s">
        <v>31</v>
      </c>
      <c r="T783">
        <v>3586</v>
      </c>
      <c r="U783">
        <v>3096</v>
      </c>
      <c r="V783" t="s">
        <v>22</v>
      </c>
    </row>
    <row r="784" spans="1:22">
      <c r="A784" t="str">
        <f t="shared" si="271"/>
        <v>24/12/2025</v>
      </c>
      <c r="B784" t="str">
        <f t="shared" si="272"/>
        <v>ENTRADA</v>
      </c>
      <c r="C784" t="str">
        <f t="shared" si="273"/>
        <v>NFSE</v>
      </c>
      <c r="D784" t="str">
        <f>"4078"</f>
        <v>4078</v>
      </c>
      <c r="E784" t="str">
        <f t="shared" si="275"/>
        <v>1</v>
      </c>
      <c r="F784" t="str">
        <f t="shared" si="259"/>
        <v>COM</v>
      </c>
      <c r="G784" t="str">
        <f>"PENSE FARMA 27 (10204)"</f>
        <v>PENSE FARMA 27 (10204)</v>
      </c>
      <c r="H784" t="s">
        <v>238</v>
      </c>
      <c r="I784" t="str">
        <f t="shared" si="277"/>
        <v>24/12/2025</v>
      </c>
      <c r="J784" t="str">
        <f t="shared" si="270"/>
        <v>22/12/2025</v>
      </c>
      <c r="K784">
        <v>46015</v>
      </c>
      <c r="N784">
        <v>303</v>
      </c>
      <c r="O784" t="s">
        <v>30</v>
      </c>
      <c r="Q784">
        <v>192.13</v>
      </c>
      <c r="R784" t="str">
        <f>"PENSE FARMA 13 (10202)"</f>
        <v>PENSE FARMA 13 (10202)</v>
      </c>
      <c r="S784" t="s">
        <v>31</v>
      </c>
      <c r="T784">
        <v>3586</v>
      </c>
      <c r="U784">
        <v>3096</v>
      </c>
      <c r="V784" t="s">
        <v>22</v>
      </c>
    </row>
    <row r="785" spans="1:22">
      <c r="A785" t="str">
        <f t="shared" si="271"/>
        <v>24/12/2025</v>
      </c>
      <c r="B785" t="str">
        <f t="shared" si="272"/>
        <v>ENTRADA</v>
      </c>
      <c r="C785" t="str">
        <f t="shared" si="273"/>
        <v>NFSE</v>
      </c>
      <c r="D785" t="str">
        <f>"4078"</f>
        <v>4078</v>
      </c>
      <c r="E785" t="str">
        <f t="shared" si="275"/>
        <v>1</v>
      </c>
      <c r="F785" t="str">
        <f t="shared" si="259"/>
        <v>COM</v>
      </c>
      <c r="G785" t="str">
        <f>"PENSE FARMA 27 (10204)"</f>
        <v>PENSE FARMA 27 (10204)</v>
      </c>
      <c r="H785" t="s">
        <v>238</v>
      </c>
      <c r="I785" t="str">
        <f t="shared" si="277"/>
        <v>24/12/2025</v>
      </c>
      <c r="J785" t="str">
        <f t="shared" si="270"/>
        <v>22/12/2025</v>
      </c>
      <c r="K785">
        <v>46015</v>
      </c>
      <c r="N785">
        <v>303</v>
      </c>
      <c r="O785" t="s">
        <v>30</v>
      </c>
      <c r="Q785">
        <v>193.23</v>
      </c>
      <c r="R785" t="str">
        <f>"PENSE FARMA 27 (10204)"</f>
        <v>PENSE FARMA 27 (10204)</v>
      </c>
      <c r="S785" t="s">
        <v>31</v>
      </c>
      <c r="T785">
        <v>3586</v>
      </c>
      <c r="U785">
        <v>3096</v>
      </c>
      <c r="V785" t="s">
        <v>22</v>
      </c>
    </row>
    <row r="786" spans="1:22">
      <c r="A786" t="str">
        <f t="shared" si="271"/>
        <v>24/12/2025</v>
      </c>
      <c r="B786" t="str">
        <f t="shared" si="272"/>
        <v>ENTRADA</v>
      </c>
      <c r="C786" t="str">
        <f t="shared" si="273"/>
        <v>NFSE</v>
      </c>
      <c r="D786" t="str">
        <f>"4079"</f>
        <v>4079</v>
      </c>
      <c r="E786" t="str">
        <f t="shared" si="275"/>
        <v>1</v>
      </c>
      <c r="F786" t="str">
        <f t="shared" si="259"/>
        <v>COM</v>
      </c>
      <c r="G786" t="str">
        <f>"PENSE FARMA 31 (10205)"</f>
        <v>PENSE FARMA 31 (10205)</v>
      </c>
      <c r="H786" t="str">
        <f>"Serv.Prest. 15/12/2025 a 21/12/2025 - RPS: 1841 - NFSe: 4079"</f>
        <v>Serv.Prest. 15/12/2025 a 21/12/2025 - RPS: 1841 - NFSe: 4079</v>
      </c>
      <c r="I786" t="str">
        <f t="shared" si="277"/>
        <v>24/12/2025</v>
      </c>
      <c r="J786" t="str">
        <f t="shared" si="270"/>
        <v>22/12/2025</v>
      </c>
      <c r="K786" t="str">
        <f>("24/12/2025")</f>
        <v>24/12/2025</v>
      </c>
      <c r="L786">
        <v>540.16999999999996</v>
      </c>
      <c r="M786">
        <v>540.16999999999996</v>
      </c>
      <c r="N786">
        <v>303</v>
      </c>
      <c r="O786" t="str">
        <f>"RECEITAS COM ENTREGAS"</f>
        <v>RECEITAS COM ENTREGAS</v>
      </c>
      <c r="P786">
        <v>540.16999999999996</v>
      </c>
      <c r="S786" t="str">
        <f>"RECEITAS COM ENTREGAS (303)"</f>
        <v>RECEITAS COM ENTREGAS (303)</v>
      </c>
      <c r="T786">
        <v>3587</v>
      </c>
      <c r="U786">
        <v>3097</v>
      </c>
      <c r="V786" t="s">
        <v>22</v>
      </c>
    </row>
    <row r="787" spans="1:22">
      <c r="A787" t="str">
        <f t="shared" si="271"/>
        <v>24/12/2025</v>
      </c>
      <c r="B787" t="str">
        <f t="shared" si="272"/>
        <v>ENTRADA</v>
      </c>
      <c r="C787" t="str">
        <f t="shared" si="273"/>
        <v>NFSE</v>
      </c>
      <c r="D787" t="str">
        <f>"4079"</f>
        <v>4079</v>
      </c>
      <c r="E787" t="str">
        <f t="shared" si="275"/>
        <v>1</v>
      </c>
      <c r="F787" t="str">
        <f t="shared" si="259"/>
        <v>COM</v>
      </c>
      <c r="G787" t="str">
        <f>"PENSE FARMA 31 (10205)"</f>
        <v>PENSE FARMA 31 (10205)</v>
      </c>
      <c r="H787" t="s">
        <v>239</v>
      </c>
      <c r="I787" t="str">
        <f t="shared" si="277"/>
        <v>24/12/2025</v>
      </c>
      <c r="J787" t="str">
        <f t="shared" si="270"/>
        <v>22/12/2025</v>
      </c>
      <c r="K787">
        <v>46015</v>
      </c>
      <c r="N787">
        <v>303</v>
      </c>
      <c r="O787" t="s">
        <v>30</v>
      </c>
      <c r="Q787">
        <v>134.94</v>
      </c>
      <c r="R787" t="str">
        <f>"PENSE FARMA 31 (10205)"</f>
        <v>PENSE FARMA 31 (10205)</v>
      </c>
      <c r="S787" t="s">
        <v>31</v>
      </c>
      <c r="T787">
        <v>3587</v>
      </c>
      <c r="U787">
        <v>3097</v>
      </c>
      <c r="V787" t="s">
        <v>22</v>
      </c>
    </row>
    <row r="788" spans="1:22">
      <c r="A788" t="str">
        <f t="shared" si="271"/>
        <v>24/12/2025</v>
      </c>
      <c r="B788" t="str">
        <f t="shared" si="272"/>
        <v>ENTRADA</v>
      </c>
      <c r="C788" t="str">
        <f t="shared" si="273"/>
        <v>NFSE</v>
      </c>
      <c r="D788" t="str">
        <f>"4079"</f>
        <v>4079</v>
      </c>
      <c r="E788" t="str">
        <f t="shared" si="275"/>
        <v>1</v>
      </c>
      <c r="F788" t="str">
        <f t="shared" si="259"/>
        <v>COM</v>
      </c>
      <c r="G788" t="str">
        <f>"PENSE FARMA 31 (10205)"</f>
        <v>PENSE FARMA 31 (10205)</v>
      </c>
      <c r="H788" t="s">
        <v>239</v>
      </c>
      <c r="I788" t="str">
        <f t="shared" si="277"/>
        <v>24/12/2025</v>
      </c>
      <c r="J788" t="str">
        <f t="shared" si="270"/>
        <v>22/12/2025</v>
      </c>
      <c r="K788">
        <v>46015</v>
      </c>
      <c r="N788">
        <v>303</v>
      </c>
      <c r="O788" t="s">
        <v>30</v>
      </c>
      <c r="Q788">
        <v>134.93</v>
      </c>
      <c r="R788" t="str">
        <f>"PENSE FARMA 16 (10221)"</f>
        <v>PENSE FARMA 16 (10221)</v>
      </c>
      <c r="S788" t="s">
        <v>31</v>
      </c>
      <c r="T788">
        <v>3587</v>
      </c>
      <c r="U788">
        <v>3097</v>
      </c>
      <c r="V788" t="s">
        <v>22</v>
      </c>
    </row>
    <row r="789" spans="1:22">
      <c r="A789" t="str">
        <f t="shared" si="271"/>
        <v>24/12/2025</v>
      </c>
      <c r="B789" t="str">
        <f t="shared" si="272"/>
        <v>ENTRADA</v>
      </c>
      <c r="C789" t="str">
        <f t="shared" si="273"/>
        <v>NFSE</v>
      </c>
      <c r="D789" t="str">
        <f>"4079"</f>
        <v>4079</v>
      </c>
      <c r="E789" t="str">
        <f t="shared" si="275"/>
        <v>1</v>
      </c>
      <c r="F789" t="str">
        <f t="shared" si="259"/>
        <v>COM</v>
      </c>
      <c r="G789" t="str">
        <f>"PENSE FARMA 31 (10205)"</f>
        <v>PENSE FARMA 31 (10205)</v>
      </c>
      <c r="H789" t="s">
        <v>239</v>
      </c>
      <c r="I789" t="str">
        <f t="shared" si="277"/>
        <v>24/12/2025</v>
      </c>
      <c r="J789" t="str">
        <f t="shared" si="270"/>
        <v>22/12/2025</v>
      </c>
      <c r="K789">
        <v>46015</v>
      </c>
      <c r="N789">
        <v>303</v>
      </c>
      <c r="O789" t="s">
        <v>30</v>
      </c>
      <c r="Q789">
        <v>134.93</v>
      </c>
      <c r="R789" t="str">
        <f>"PENSE FARMA 17 (10222)"</f>
        <v>PENSE FARMA 17 (10222)</v>
      </c>
      <c r="S789" t="s">
        <v>31</v>
      </c>
      <c r="T789">
        <v>3587</v>
      </c>
      <c r="U789">
        <v>3097</v>
      </c>
      <c r="V789" t="s">
        <v>22</v>
      </c>
    </row>
    <row r="790" spans="1:22">
      <c r="A790" t="str">
        <f t="shared" si="271"/>
        <v>24/12/2025</v>
      </c>
      <c r="B790" t="str">
        <f t="shared" si="272"/>
        <v>ENTRADA</v>
      </c>
      <c r="C790" t="str">
        <f t="shared" si="273"/>
        <v>NFSE</v>
      </c>
      <c r="D790" t="str">
        <f>"4079"</f>
        <v>4079</v>
      </c>
      <c r="E790" t="str">
        <f t="shared" si="275"/>
        <v>1</v>
      </c>
      <c r="F790" t="str">
        <f t="shared" si="259"/>
        <v>COM</v>
      </c>
      <c r="G790" t="str">
        <f>"PENSE FARMA 31 (10205)"</f>
        <v>PENSE FARMA 31 (10205)</v>
      </c>
      <c r="H790" t="s">
        <v>239</v>
      </c>
      <c r="I790" t="str">
        <f t="shared" si="277"/>
        <v>24/12/2025</v>
      </c>
      <c r="J790" t="str">
        <f t="shared" si="270"/>
        <v>22/12/2025</v>
      </c>
      <c r="K790">
        <v>46015</v>
      </c>
      <c r="N790">
        <v>303</v>
      </c>
      <c r="O790" t="s">
        <v>30</v>
      </c>
      <c r="Q790">
        <v>135.37</v>
      </c>
      <c r="R790" t="str">
        <f>"PENSE FARMA 62 (10274)"</f>
        <v>PENSE FARMA 62 (10274)</v>
      </c>
      <c r="S790" t="s">
        <v>31</v>
      </c>
      <c r="T790">
        <v>3587</v>
      </c>
      <c r="U790">
        <v>3097</v>
      </c>
      <c r="V790" t="s">
        <v>22</v>
      </c>
    </row>
    <row r="791" spans="1:22">
      <c r="A791" t="str">
        <f t="shared" si="271"/>
        <v>24/12/2025</v>
      </c>
      <c r="B791" t="str">
        <f t="shared" si="272"/>
        <v>ENTRADA</v>
      </c>
      <c r="C791" t="str">
        <f t="shared" si="273"/>
        <v>NFSE</v>
      </c>
      <c r="D791" t="str">
        <f>"4080"</f>
        <v>4080</v>
      </c>
      <c r="E791" t="str">
        <f t="shared" si="275"/>
        <v>1</v>
      </c>
      <c r="F791" t="str">
        <f t="shared" si="259"/>
        <v>COM</v>
      </c>
      <c r="G791" t="str">
        <f>"PENSE FARMA 35 (10227)"</f>
        <v>PENSE FARMA 35 (10227)</v>
      </c>
      <c r="H791" t="str">
        <f>"Serv.Prest. 15/12/2025 a 21/12/2025 - RPS: 1842 - NFSe: 4080"</f>
        <v>Serv.Prest. 15/12/2025 a 21/12/2025 - RPS: 1842 - NFSe: 4080</v>
      </c>
      <c r="I791" t="str">
        <f t="shared" si="277"/>
        <v>24/12/2025</v>
      </c>
      <c r="J791" t="str">
        <f t="shared" si="270"/>
        <v>22/12/2025</v>
      </c>
      <c r="K791" t="str">
        <f>("24/12/2025")</f>
        <v>24/12/2025</v>
      </c>
      <c r="L791">
        <v>171.45</v>
      </c>
      <c r="M791">
        <v>171.45</v>
      </c>
      <c r="N791">
        <v>303</v>
      </c>
      <c r="O791" t="str">
        <f>"RECEITAS COM ENTREGAS"</f>
        <v>RECEITAS COM ENTREGAS</v>
      </c>
      <c r="P791">
        <v>171.45</v>
      </c>
      <c r="S791" t="str">
        <f>"RECEITAS COM ENTREGAS (303)"</f>
        <v>RECEITAS COM ENTREGAS (303)</v>
      </c>
      <c r="T791">
        <v>3588</v>
      </c>
      <c r="U791">
        <v>3098</v>
      </c>
      <c r="V791" t="s">
        <v>22</v>
      </c>
    </row>
    <row r="792" spans="1:22">
      <c r="A792" t="str">
        <f t="shared" si="271"/>
        <v>24/12/2025</v>
      </c>
      <c r="B792" t="str">
        <f t="shared" si="272"/>
        <v>ENTRADA</v>
      </c>
      <c r="C792" t="str">
        <f t="shared" si="273"/>
        <v>NFSE</v>
      </c>
      <c r="D792" t="str">
        <f>"4080"</f>
        <v>4080</v>
      </c>
      <c r="E792" t="str">
        <f t="shared" si="275"/>
        <v>1</v>
      </c>
      <c r="F792" t="str">
        <f t="shared" si="259"/>
        <v>COM</v>
      </c>
      <c r="G792" t="str">
        <f>"PENSE FARMA 35 (10227)"</f>
        <v>PENSE FARMA 35 (10227)</v>
      </c>
      <c r="H792" t="s">
        <v>240</v>
      </c>
      <c r="I792" t="str">
        <f t="shared" si="277"/>
        <v>24/12/2025</v>
      </c>
      <c r="J792" t="str">
        <f t="shared" si="270"/>
        <v>22/12/2025</v>
      </c>
      <c r="K792">
        <v>46015</v>
      </c>
      <c r="N792">
        <v>303</v>
      </c>
      <c r="O792" t="s">
        <v>30</v>
      </c>
      <c r="Q792">
        <v>171.45</v>
      </c>
      <c r="R792" t="str">
        <f>"PENSE FARMA 35 (10227)"</f>
        <v>PENSE FARMA 35 (10227)</v>
      </c>
      <c r="S792" t="s">
        <v>31</v>
      </c>
      <c r="T792">
        <v>3588</v>
      </c>
      <c r="U792">
        <v>3098</v>
      </c>
      <c r="V792" t="s">
        <v>22</v>
      </c>
    </row>
    <row r="793" spans="1:22">
      <c r="A793" t="str">
        <f t="shared" si="271"/>
        <v>24/12/2025</v>
      </c>
      <c r="B793" t="str">
        <f t="shared" si="272"/>
        <v>ENTRADA</v>
      </c>
      <c r="C793" t="str">
        <f t="shared" si="273"/>
        <v>NFSE</v>
      </c>
      <c r="D793" t="str">
        <f t="shared" ref="D793:D799" si="278">"4081"</f>
        <v>4081</v>
      </c>
      <c r="E793" t="str">
        <f t="shared" si="275"/>
        <v>1</v>
      </c>
      <c r="F793" t="str">
        <f t="shared" si="259"/>
        <v>COM</v>
      </c>
      <c r="G793" t="str">
        <f t="shared" ref="G793:G799" si="279">"PENSE FARMA 36 (10206)"</f>
        <v>PENSE FARMA 36 (10206)</v>
      </c>
      <c r="H793" t="str">
        <f>"Serv.Prest. 15/12/2025 a 21/12/2025 - RPS: 1843 - NFSe: 4081"</f>
        <v>Serv.Prest. 15/12/2025 a 21/12/2025 - RPS: 1843 - NFSe: 4081</v>
      </c>
      <c r="I793" t="str">
        <f t="shared" si="277"/>
        <v>24/12/2025</v>
      </c>
      <c r="J793" t="str">
        <f t="shared" si="270"/>
        <v>22/12/2025</v>
      </c>
      <c r="K793" t="str">
        <f>("24/12/2025")</f>
        <v>24/12/2025</v>
      </c>
      <c r="L793">
        <v>894.35</v>
      </c>
      <c r="M793">
        <v>894.35</v>
      </c>
      <c r="N793">
        <v>303</v>
      </c>
      <c r="O793" t="str">
        <f>"RECEITAS COM ENTREGAS"</f>
        <v>RECEITAS COM ENTREGAS</v>
      </c>
      <c r="P793">
        <v>894.35</v>
      </c>
      <c r="S793" t="str">
        <f>"RECEITAS COM ENTREGAS (303)"</f>
        <v>RECEITAS COM ENTREGAS (303)</v>
      </c>
      <c r="T793">
        <v>3589</v>
      </c>
      <c r="U793">
        <v>3099</v>
      </c>
      <c r="V793" t="s">
        <v>22</v>
      </c>
    </row>
    <row r="794" spans="1:22">
      <c r="A794" t="str">
        <f t="shared" si="271"/>
        <v>24/12/2025</v>
      </c>
      <c r="B794" t="str">
        <f t="shared" si="272"/>
        <v>ENTRADA</v>
      </c>
      <c r="C794" t="str">
        <f t="shared" si="273"/>
        <v>NFSE</v>
      </c>
      <c r="D794" t="str">
        <f t="shared" si="278"/>
        <v>4081</v>
      </c>
      <c r="E794" t="str">
        <f t="shared" si="275"/>
        <v>1</v>
      </c>
      <c r="F794" t="str">
        <f t="shared" si="259"/>
        <v>COM</v>
      </c>
      <c r="G794" t="str">
        <f t="shared" si="279"/>
        <v>PENSE FARMA 36 (10206)</v>
      </c>
      <c r="H794" t="s">
        <v>241</v>
      </c>
      <c r="I794" t="str">
        <f t="shared" si="277"/>
        <v>24/12/2025</v>
      </c>
      <c r="J794" t="str">
        <f t="shared" si="270"/>
        <v>22/12/2025</v>
      </c>
      <c r="K794">
        <v>46015</v>
      </c>
      <c r="N794">
        <v>303</v>
      </c>
      <c r="O794" t="s">
        <v>30</v>
      </c>
      <c r="Q794">
        <v>148.30000000000001</v>
      </c>
      <c r="R794" t="str">
        <f>"PENSE FARMA 20 (10203)"</f>
        <v>PENSE FARMA 20 (10203)</v>
      </c>
      <c r="S794" t="s">
        <v>31</v>
      </c>
      <c r="T794">
        <v>3589</v>
      </c>
      <c r="U794">
        <v>3099</v>
      </c>
      <c r="V794" t="s">
        <v>22</v>
      </c>
    </row>
    <row r="795" spans="1:22">
      <c r="A795" t="str">
        <f t="shared" si="271"/>
        <v>24/12/2025</v>
      </c>
      <c r="B795" t="str">
        <f t="shared" si="272"/>
        <v>ENTRADA</v>
      </c>
      <c r="C795" t="str">
        <f t="shared" si="273"/>
        <v>NFSE</v>
      </c>
      <c r="D795" t="str">
        <f t="shared" si="278"/>
        <v>4081</v>
      </c>
      <c r="E795" t="str">
        <f t="shared" si="275"/>
        <v>1</v>
      </c>
      <c r="F795" t="str">
        <f t="shared" si="259"/>
        <v>COM</v>
      </c>
      <c r="G795" t="str">
        <f t="shared" si="279"/>
        <v>PENSE FARMA 36 (10206)</v>
      </c>
      <c r="H795" t="s">
        <v>241</v>
      </c>
      <c r="I795" t="str">
        <f t="shared" si="277"/>
        <v>24/12/2025</v>
      </c>
      <c r="J795" t="str">
        <f t="shared" si="270"/>
        <v>22/12/2025</v>
      </c>
      <c r="K795">
        <v>46015</v>
      </c>
      <c r="N795">
        <v>303</v>
      </c>
      <c r="O795" t="s">
        <v>30</v>
      </c>
      <c r="Q795">
        <v>148.28</v>
      </c>
      <c r="R795" t="str">
        <f>"PENSE FARMA 36 (10206)"</f>
        <v>PENSE FARMA 36 (10206)</v>
      </c>
      <c r="S795" t="s">
        <v>31</v>
      </c>
      <c r="T795">
        <v>3589</v>
      </c>
      <c r="U795">
        <v>3099</v>
      </c>
      <c r="V795" t="s">
        <v>22</v>
      </c>
    </row>
    <row r="796" spans="1:22">
      <c r="A796" t="str">
        <f t="shared" si="271"/>
        <v>24/12/2025</v>
      </c>
      <c r="B796" t="str">
        <f t="shared" si="272"/>
        <v>ENTRADA</v>
      </c>
      <c r="C796" t="str">
        <f t="shared" si="273"/>
        <v>NFSE</v>
      </c>
      <c r="D796" t="str">
        <f t="shared" si="278"/>
        <v>4081</v>
      </c>
      <c r="E796" t="str">
        <f t="shared" si="275"/>
        <v>1</v>
      </c>
      <c r="F796" t="str">
        <f t="shared" si="259"/>
        <v>COM</v>
      </c>
      <c r="G796" t="str">
        <f t="shared" si="279"/>
        <v>PENSE FARMA 36 (10206)</v>
      </c>
      <c r="H796" t="s">
        <v>241</v>
      </c>
      <c r="I796" t="str">
        <f t="shared" si="277"/>
        <v>24/12/2025</v>
      </c>
      <c r="J796" t="str">
        <f t="shared" si="270"/>
        <v>22/12/2025</v>
      </c>
      <c r="K796">
        <v>46015</v>
      </c>
      <c r="N796">
        <v>303</v>
      </c>
      <c r="O796" t="s">
        <v>30</v>
      </c>
      <c r="Q796">
        <v>148.28</v>
      </c>
      <c r="R796" t="str">
        <f>"PENSE FARMA 40 (10207)"</f>
        <v>PENSE FARMA 40 (10207)</v>
      </c>
      <c r="S796" t="s">
        <v>31</v>
      </c>
      <c r="T796">
        <v>3589</v>
      </c>
      <c r="U796">
        <v>3099</v>
      </c>
      <c r="V796" t="s">
        <v>22</v>
      </c>
    </row>
    <row r="797" spans="1:22">
      <c r="A797" t="str">
        <f t="shared" si="271"/>
        <v>24/12/2025</v>
      </c>
      <c r="B797" t="str">
        <f t="shared" si="272"/>
        <v>ENTRADA</v>
      </c>
      <c r="C797" t="str">
        <f t="shared" si="273"/>
        <v>NFSE</v>
      </c>
      <c r="D797" t="str">
        <f t="shared" si="278"/>
        <v>4081</v>
      </c>
      <c r="E797" t="str">
        <f t="shared" si="275"/>
        <v>1</v>
      </c>
      <c r="F797" t="str">
        <f t="shared" si="259"/>
        <v>COM</v>
      </c>
      <c r="G797" t="str">
        <f t="shared" si="279"/>
        <v>PENSE FARMA 36 (10206)</v>
      </c>
      <c r="H797" t="s">
        <v>241</v>
      </c>
      <c r="I797" t="str">
        <f t="shared" si="277"/>
        <v>24/12/2025</v>
      </c>
      <c r="J797" t="str">
        <f t="shared" si="270"/>
        <v>22/12/2025</v>
      </c>
      <c r="K797">
        <v>46015</v>
      </c>
      <c r="N797">
        <v>303</v>
      </c>
      <c r="O797" t="s">
        <v>30</v>
      </c>
      <c r="Q797">
        <v>148.28</v>
      </c>
      <c r="R797" t="str">
        <f>"PENSE FARMA 43 (10208)"</f>
        <v>PENSE FARMA 43 (10208)</v>
      </c>
      <c r="S797" t="s">
        <v>31</v>
      </c>
      <c r="T797">
        <v>3589</v>
      </c>
      <c r="U797">
        <v>3099</v>
      </c>
      <c r="V797" t="s">
        <v>22</v>
      </c>
    </row>
    <row r="798" spans="1:22">
      <c r="A798" t="str">
        <f t="shared" si="271"/>
        <v>24/12/2025</v>
      </c>
      <c r="B798" t="str">
        <f t="shared" si="272"/>
        <v>ENTRADA</v>
      </c>
      <c r="C798" t="str">
        <f t="shared" si="273"/>
        <v>NFSE</v>
      </c>
      <c r="D798" t="str">
        <f t="shared" si="278"/>
        <v>4081</v>
      </c>
      <c r="E798" t="str">
        <f t="shared" si="275"/>
        <v>1</v>
      </c>
      <c r="F798" t="str">
        <f t="shared" si="259"/>
        <v>COM</v>
      </c>
      <c r="G798" t="str">
        <f t="shared" si="279"/>
        <v>PENSE FARMA 36 (10206)</v>
      </c>
      <c r="H798" t="s">
        <v>241</v>
      </c>
      <c r="I798" t="str">
        <f t="shared" si="277"/>
        <v>24/12/2025</v>
      </c>
      <c r="J798" t="str">
        <f t="shared" si="270"/>
        <v>22/12/2025</v>
      </c>
      <c r="K798">
        <v>46015</v>
      </c>
      <c r="N798">
        <v>303</v>
      </c>
      <c r="O798" t="s">
        <v>30</v>
      </c>
      <c r="Q798">
        <v>148.28</v>
      </c>
      <c r="R798" t="str">
        <f>"PENSE FARMA 59 (10211)"</f>
        <v>PENSE FARMA 59 (10211)</v>
      </c>
      <c r="S798" t="s">
        <v>31</v>
      </c>
      <c r="T798">
        <v>3589</v>
      </c>
      <c r="U798">
        <v>3099</v>
      </c>
      <c r="V798" t="s">
        <v>22</v>
      </c>
    </row>
    <row r="799" spans="1:22">
      <c r="A799" t="str">
        <f t="shared" si="271"/>
        <v>24/12/2025</v>
      </c>
      <c r="B799" t="str">
        <f t="shared" si="272"/>
        <v>ENTRADA</v>
      </c>
      <c r="C799" t="str">
        <f t="shared" si="273"/>
        <v>NFSE</v>
      </c>
      <c r="D799" t="str">
        <f t="shared" si="278"/>
        <v>4081</v>
      </c>
      <c r="E799" t="str">
        <f t="shared" si="275"/>
        <v>1</v>
      </c>
      <c r="F799" t="str">
        <f t="shared" ref="F799:F862" si="280">"COM"</f>
        <v>COM</v>
      </c>
      <c r="G799" t="str">
        <f t="shared" si="279"/>
        <v>PENSE FARMA 36 (10206)</v>
      </c>
      <c r="H799" t="s">
        <v>241</v>
      </c>
      <c r="I799" t="str">
        <f t="shared" si="277"/>
        <v>24/12/2025</v>
      </c>
      <c r="J799" t="str">
        <f t="shared" ref="J799:J830" si="281">("22/12/2025")</f>
        <v>22/12/2025</v>
      </c>
      <c r="K799">
        <v>46015</v>
      </c>
      <c r="N799">
        <v>303</v>
      </c>
      <c r="O799" t="s">
        <v>30</v>
      </c>
      <c r="Q799">
        <v>152.93</v>
      </c>
      <c r="R799" t="str">
        <f>"PENSE FARMA DARK STORE 361 (10212)"</f>
        <v>PENSE FARMA DARK STORE 361 (10212)</v>
      </c>
      <c r="S799" t="s">
        <v>31</v>
      </c>
      <c r="T799">
        <v>3589</v>
      </c>
      <c r="U799">
        <v>3099</v>
      </c>
      <c r="V799" t="s">
        <v>22</v>
      </c>
    </row>
    <row r="800" spans="1:22">
      <c r="A800" t="str">
        <f t="shared" si="271"/>
        <v>24/12/2025</v>
      </c>
      <c r="B800" t="str">
        <f t="shared" si="272"/>
        <v>ENTRADA</v>
      </c>
      <c r="C800" t="str">
        <f t="shared" si="273"/>
        <v>NFSE</v>
      </c>
      <c r="D800" t="str">
        <f>"4082"</f>
        <v>4082</v>
      </c>
      <c r="E800" t="str">
        <f t="shared" si="275"/>
        <v>1</v>
      </c>
      <c r="F800" t="str">
        <f t="shared" si="280"/>
        <v>COM</v>
      </c>
      <c r="G800" t="str">
        <f>"PENSE FARMA 39 (10228)"</f>
        <v>PENSE FARMA 39 (10228)</v>
      </c>
      <c r="H800" t="str">
        <f>"Serv.Prest. 15/12/2025 a 21/12/2025 - RPS: 1844 - NFSe: 4082"</f>
        <v>Serv.Prest. 15/12/2025 a 21/12/2025 - RPS: 1844 - NFSe: 4082</v>
      </c>
      <c r="I800" t="str">
        <f t="shared" si="277"/>
        <v>24/12/2025</v>
      </c>
      <c r="J800" t="str">
        <f t="shared" si="281"/>
        <v>22/12/2025</v>
      </c>
      <c r="K800" t="str">
        <f>("24/12/2025")</f>
        <v>24/12/2025</v>
      </c>
      <c r="L800">
        <v>599.98</v>
      </c>
      <c r="M800">
        <v>599.98</v>
      </c>
      <c r="N800">
        <v>303</v>
      </c>
      <c r="O800" t="str">
        <f>"RECEITAS COM ENTREGAS"</f>
        <v>RECEITAS COM ENTREGAS</v>
      </c>
      <c r="P800">
        <v>599.98</v>
      </c>
      <c r="S800" t="str">
        <f>"RECEITAS COM ENTREGAS (303)"</f>
        <v>RECEITAS COM ENTREGAS (303)</v>
      </c>
      <c r="T800">
        <v>3590</v>
      </c>
      <c r="U800">
        <v>3100</v>
      </c>
      <c r="V800" t="s">
        <v>22</v>
      </c>
    </row>
    <row r="801" spans="1:22">
      <c r="A801" t="str">
        <f t="shared" ref="A801:A832" si="282">("24/12/2025")</f>
        <v>24/12/2025</v>
      </c>
      <c r="B801" t="str">
        <f t="shared" si="272"/>
        <v>ENTRADA</v>
      </c>
      <c r="C801" t="str">
        <f t="shared" si="273"/>
        <v>NFSE</v>
      </c>
      <c r="D801" t="str">
        <f>"4082"</f>
        <v>4082</v>
      </c>
      <c r="E801" t="str">
        <f t="shared" si="275"/>
        <v>1</v>
      </c>
      <c r="F801" t="str">
        <f t="shared" si="280"/>
        <v>COM</v>
      </c>
      <c r="G801" t="str">
        <f>"PENSE FARMA 39 (10228)"</f>
        <v>PENSE FARMA 39 (10228)</v>
      </c>
      <c r="H801" t="s">
        <v>242</v>
      </c>
      <c r="I801" t="str">
        <f t="shared" si="277"/>
        <v>24/12/2025</v>
      </c>
      <c r="J801" t="str">
        <f t="shared" si="281"/>
        <v>22/12/2025</v>
      </c>
      <c r="K801">
        <v>46015</v>
      </c>
      <c r="N801">
        <v>303</v>
      </c>
      <c r="O801" t="s">
        <v>30</v>
      </c>
      <c r="Q801">
        <v>148.85</v>
      </c>
      <c r="R801" t="str">
        <f>"PENSE FARMA 02 (10199)"</f>
        <v>PENSE FARMA 02 (10199)</v>
      </c>
      <c r="S801" t="s">
        <v>31</v>
      </c>
      <c r="T801">
        <v>3590</v>
      </c>
      <c r="U801">
        <v>3100</v>
      </c>
      <c r="V801" t="s">
        <v>22</v>
      </c>
    </row>
    <row r="802" spans="1:22">
      <c r="A802" t="str">
        <f t="shared" si="282"/>
        <v>24/12/2025</v>
      </c>
      <c r="B802" t="str">
        <f t="shared" si="272"/>
        <v>ENTRADA</v>
      </c>
      <c r="C802" t="str">
        <f t="shared" si="273"/>
        <v>NFSE</v>
      </c>
      <c r="D802" t="str">
        <f>"4082"</f>
        <v>4082</v>
      </c>
      <c r="E802" t="str">
        <f t="shared" si="275"/>
        <v>1</v>
      </c>
      <c r="F802" t="str">
        <f t="shared" si="280"/>
        <v>COM</v>
      </c>
      <c r="G802" t="str">
        <f>"PENSE FARMA 39 (10228)"</f>
        <v>PENSE FARMA 39 (10228)</v>
      </c>
      <c r="H802" t="s">
        <v>242</v>
      </c>
      <c r="I802" t="str">
        <f t="shared" si="277"/>
        <v>24/12/2025</v>
      </c>
      <c r="J802" t="str">
        <f t="shared" si="281"/>
        <v>22/12/2025</v>
      </c>
      <c r="K802">
        <v>46015</v>
      </c>
      <c r="N802">
        <v>303</v>
      </c>
      <c r="O802" t="s">
        <v>30</v>
      </c>
      <c r="Q802">
        <v>148.86000000000001</v>
      </c>
      <c r="R802" t="str">
        <f>"PENSE FARMA 01 (10215)"</f>
        <v>PENSE FARMA 01 (10215)</v>
      </c>
      <c r="S802" t="s">
        <v>31</v>
      </c>
      <c r="T802">
        <v>3590</v>
      </c>
      <c r="U802">
        <v>3100</v>
      </c>
      <c r="V802" t="s">
        <v>22</v>
      </c>
    </row>
    <row r="803" spans="1:22">
      <c r="A803" t="str">
        <f t="shared" si="282"/>
        <v>24/12/2025</v>
      </c>
      <c r="B803" t="str">
        <f t="shared" ref="B803:B834" si="283">"ENTRADA"</f>
        <v>ENTRADA</v>
      </c>
      <c r="C803" t="str">
        <f t="shared" ref="C803:C834" si="284">"NFSE"</f>
        <v>NFSE</v>
      </c>
      <c r="D803" t="str">
        <f>"4082"</f>
        <v>4082</v>
      </c>
      <c r="E803" t="str">
        <f t="shared" ref="E803:E834" si="285">"1"</f>
        <v>1</v>
      </c>
      <c r="F803" t="str">
        <f t="shared" si="280"/>
        <v>COM</v>
      </c>
      <c r="G803" t="str">
        <f>"PENSE FARMA 39 (10228)"</f>
        <v>PENSE FARMA 39 (10228)</v>
      </c>
      <c r="H803" t="s">
        <v>242</v>
      </c>
      <c r="I803" t="str">
        <f t="shared" ref="I803:I834" si="286">("24/12/2025")</f>
        <v>24/12/2025</v>
      </c>
      <c r="J803" t="str">
        <f t="shared" si="281"/>
        <v>22/12/2025</v>
      </c>
      <c r="K803">
        <v>46015</v>
      </c>
      <c r="N803">
        <v>303</v>
      </c>
      <c r="O803" t="s">
        <v>30</v>
      </c>
      <c r="Q803">
        <v>148.86000000000001</v>
      </c>
      <c r="R803" t="str">
        <f>"PENSE FARMA 03 (10216)"</f>
        <v>PENSE FARMA 03 (10216)</v>
      </c>
      <c r="S803" t="s">
        <v>31</v>
      </c>
      <c r="T803">
        <v>3590</v>
      </c>
      <c r="U803">
        <v>3100</v>
      </c>
      <c r="V803" t="s">
        <v>22</v>
      </c>
    </row>
    <row r="804" spans="1:22">
      <c r="A804" t="str">
        <f t="shared" si="282"/>
        <v>24/12/2025</v>
      </c>
      <c r="B804" t="str">
        <f t="shared" si="283"/>
        <v>ENTRADA</v>
      </c>
      <c r="C804" t="str">
        <f t="shared" si="284"/>
        <v>NFSE</v>
      </c>
      <c r="D804" t="str">
        <f>"4082"</f>
        <v>4082</v>
      </c>
      <c r="E804" t="str">
        <f t="shared" si="285"/>
        <v>1</v>
      </c>
      <c r="F804" t="str">
        <f t="shared" si="280"/>
        <v>COM</v>
      </c>
      <c r="G804" t="str">
        <f>"PENSE FARMA 39 (10228)"</f>
        <v>PENSE FARMA 39 (10228)</v>
      </c>
      <c r="H804" t="s">
        <v>242</v>
      </c>
      <c r="I804" t="str">
        <f t="shared" si="286"/>
        <v>24/12/2025</v>
      </c>
      <c r="J804" t="str">
        <f t="shared" si="281"/>
        <v>22/12/2025</v>
      </c>
      <c r="K804">
        <v>46015</v>
      </c>
      <c r="N804">
        <v>303</v>
      </c>
      <c r="O804" t="s">
        <v>30</v>
      </c>
      <c r="Q804">
        <v>153.41</v>
      </c>
      <c r="R804" t="str">
        <f>"PENSE FARMA 39 (10228)"</f>
        <v>PENSE FARMA 39 (10228)</v>
      </c>
      <c r="S804" t="s">
        <v>31</v>
      </c>
      <c r="T804">
        <v>3590</v>
      </c>
      <c r="U804">
        <v>3100</v>
      </c>
      <c r="V804" t="s">
        <v>22</v>
      </c>
    </row>
    <row r="805" spans="1:22">
      <c r="A805" t="str">
        <f t="shared" si="282"/>
        <v>24/12/2025</v>
      </c>
      <c r="B805" t="str">
        <f t="shared" si="283"/>
        <v>ENTRADA</v>
      </c>
      <c r="C805" t="str">
        <f t="shared" si="284"/>
        <v>NFSE</v>
      </c>
      <c r="D805" t="str">
        <f>"4083"</f>
        <v>4083</v>
      </c>
      <c r="E805" t="str">
        <f t="shared" si="285"/>
        <v>1</v>
      </c>
      <c r="F805" t="str">
        <f t="shared" si="280"/>
        <v>COM</v>
      </c>
      <c r="G805" t="str">
        <f>"PENSE FARMA 44 (10231)"</f>
        <v>PENSE FARMA 44 (10231)</v>
      </c>
      <c r="H805" t="str">
        <f>"Serv.Prest. 15/12/2025 a 21/12/2025 - RPS: 1845 - NFSe: 4083"</f>
        <v>Serv.Prest. 15/12/2025 a 21/12/2025 - RPS: 1845 - NFSe: 4083</v>
      </c>
      <c r="I805" t="str">
        <f t="shared" si="286"/>
        <v>24/12/2025</v>
      </c>
      <c r="J805" t="str">
        <f t="shared" si="281"/>
        <v>22/12/2025</v>
      </c>
      <c r="K805" t="str">
        <f>("24/12/2025")</f>
        <v>24/12/2025</v>
      </c>
      <c r="L805">
        <v>630.80999999999995</v>
      </c>
      <c r="M805">
        <v>630.80999999999995</v>
      </c>
      <c r="N805">
        <v>303</v>
      </c>
      <c r="O805" t="str">
        <f>"RECEITAS COM ENTREGAS"</f>
        <v>RECEITAS COM ENTREGAS</v>
      </c>
      <c r="P805">
        <v>630.80999999999995</v>
      </c>
      <c r="S805" t="str">
        <f>"RECEITAS COM ENTREGAS (303)"</f>
        <v>RECEITAS COM ENTREGAS (303)</v>
      </c>
      <c r="T805">
        <v>3591</v>
      </c>
      <c r="U805">
        <v>3101</v>
      </c>
      <c r="V805" t="s">
        <v>22</v>
      </c>
    </row>
    <row r="806" spans="1:22">
      <c r="A806" t="str">
        <f t="shared" si="282"/>
        <v>24/12/2025</v>
      </c>
      <c r="B806" t="str">
        <f t="shared" si="283"/>
        <v>ENTRADA</v>
      </c>
      <c r="C806" t="str">
        <f t="shared" si="284"/>
        <v>NFSE</v>
      </c>
      <c r="D806" t="str">
        <f>"4083"</f>
        <v>4083</v>
      </c>
      <c r="E806" t="str">
        <f t="shared" si="285"/>
        <v>1</v>
      </c>
      <c r="F806" t="str">
        <f t="shared" si="280"/>
        <v>COM</v>
      </c>
      <c r="G806" t="str">
        <f>"PENSE FARMA 44 (10231)"</f>
        <v>PENSE FARMA 44 (10231)</v>
      </c>
      <c r="H806" t="s">
        <v>243</v>
      </c>
      <c r="I806" t="str">
        <f t="shared" si="286"/>
        <v>24/12/2025</v>
      </c>
      <c r="J806" t="str">
        <f t="shared" si="281"/>
        <v>22/12/2025</v>
      </c>
      <c r="K806">
        <v>46015</v>
      </c>
      <c r="N806">
        <v>303</v>
      </c>
      <c r="O806" t="s">
        <v>30</v>
      </c>
      <c r="Q806">
        <v>314.89999999999998</v>
      </c>
      <c r="R806" t="str">
        <f>"PENSE FARMA 44 (10231)"</f>
        <v>PENSE FARMA 44 (10231)</v>
      </c>
      <c r="S806" t="s">
        <v>31</v>
      </c>
      <c r="T806">
        <v>3591</v>
      </c>
      <c r="U806">
        <v>3101</v>
      </c>
      <c r="V806" t="s">
        <v>22</v>
      </c>
    </row>
    <row r="807" spans="1:22">
      <c r="A807" t="str">
        <f t="shared" si="282"/>
        <v>24/12/2025</v>
      </c>
      <c r="B807" t="str">
        <f t="shared" si="283"/>
        <v>ENTRADA</v>
      </c>
      <c r="C807" t="str">
        <f t="shared" si="284"/>
        <v>NFSE</v>
      </c>
      <c r="D807" t="str">
        <f>"4083"</f>
        <v>4083</v>
      </c>
      <c r="E807" t="str">
        <f t="shared" si="285"/>
        <v>1</v>
      </c>
      <c r="F807" t="str">
        <f t="shared" si="280"/>
        <v>COM</v>
      </c>
      <c r="G807" t="str">
        <f>"PENSE FARMA 44 (10231)"</f>
        <v>PENSE FARMA 44 (10231)</v>
      </c>
      <c r="H807" t="s">
        <v>243</v>
      </c>
      <c r="I807" t="str">
        <f t="shared" si="286"/>
        <v>24/12/2025</v>
      </c>
      <c r="J807" t="str">
        <f t="shared" si="281"/>
        <v>22/12/2025</v>
      </c>
      <c r="K807">
        <v>46015</v>
      </c>
      <c r="N807">
        <v>303</v>
      </c>
      <c r="O807" t="s">
        <v>30</v>
      </c>
      <c r="Q807">
        <v>315.91000000000003</v>
      </c>
      <c r="R807" t="str">
        <f>"PENSE FARMA 48 (10233)"</f>
        <v>PENSE FARMA 48 (10233)</v>
      </c>
      <c r="S807" t="s">
        <v>31</v>
      </c>
      <c r="T807">
        <v>3591</v>
      </c>
      <c r="U807">
        <v>3101</v>
      </c>
      <c r="V807" t="s">
        <v>22</v>
      </c>
    </row>
    <row r="808" spans="1:22">
      <c r="A808" t="str">
        <f t="shared" si="282"/>
        <v>24/12/2025</v>
      </c>
      <c r="B808" t="str">
        <f t="shared" si="283"/>
        <v>ENTRADA</v>
      </c>
      <c r="C808" t="str">
        <f t="shared" si="284"/>
        <v>NFSE</v>
      </c>
      <c r="D808" t="str">
        <f>"4084"</f>
        <v>4084</v>
      </c>
      <c r="E808" t="str">
        <f t="shared" si="285"/>
        <v>1</v>
      </c>
      <c r="F808" t="str">
        <f t="shared" si="280"/>
        <v>COM</v>
      </c>
      <c r="G808" t="str">
        <f>"PENSE FARMA 46 (10194)"</f>
        <v>PENSE FARMA 46 (10194)</v>
      </c>
      <c r="H808" t="str">
        <f>"Serv.Prest. 15/12/2025 a 21/12/2025 - RPS: 1846 - NFSe: 4084"</f>
        <v>Serv.Prest. 15/12/2025 a 21/12/2025 - RPS: 1846 - NFSe: 4084</v>
      </c>
      <c r="I808" t="str">
        <f t="shared" si="286"/>
        <v>24/12/2025</v>
      </c>
      <c r="J808" t="str">
        <f t="shared" si="281"/>
        <v>22/12/2025</v>
      </c>
      <c r="K808" t="str">
        <f>("24/12/2025")</f>
        <v>24/12/2025</v>
      </c>
      <c r="L808">
        <v>342</v>
      </c>
      <c r="M808">
        <v>342</v>
      </c>
      <c r="N808">
        <v>303</v>
      </c>
      <c r="O808" t="str">
        <f>"RECEITAS COM ENTREGAS"</f>
        <v>RECEITAS COM ENTREGAS</v>
      </c>
      <c r="P808">
        <v>342</v>
      </c>
      <c r="S808" t="str">
        <f>"RECEITAS COM ENTREGAS (303)"</f>
        <v>RECEITAS COM ENTREGAS (303)</v>
      </c>
      <c r="T808">
        <v>3592</v>
      </c>
      <c r="U808">
        <v>3102</v>
      </c>
      <c r="V808" t="s">
        <v>22</v>
      </c>
    </row>
    <row r="809" spans="1:22">
      <c r="A809" t="str">
        <f t="shared" si="282"/>
        <v>24/12/2025</v>
      </c>
      <c r="B809" t="str">
        <f t="shared" si="283"/>
        <v>ENTRADA</v>
      </c>
      <c r="C809" t="str">
        <f t="shared" si="284"/>
        <v>NFSE</v>
      </c>
      <c r="D809" t="str">
        <f>"4084"</f>
        <v>4084</v>
      </c>
      <c r="E809" t="str">
        <f t="shared" si="285"/>
        <v>1</v>
      </c>
      <c r="F809" t="str">
        <f t="shared" si="280"/>
        <v>COM</v>
      </c>
      <c r="G809" t="str">
        <f>"PENSE FARMA 46 (10194)"</f>
        <v>PENSE FARMA 46 (10194)</v>
      </c>
      <c r="H809" t="s">
        <v>244</v>
      </c>
      <c r="I809" t="str">
        <f t="shared" si="286"/>
        <v>24/12/2025</v>
      </c>
      <c r="J809" t="str">
        <f t="shared" si="281"/>
        <v>22/12/2025</v>
      </c>
      <c r="K809">
        <v>46015</v>
      </c>
      <c r="N809">
        <v>303</v>
      </c>
      <c r="O809" t="s">
        <v>30</v>
      </c>
      <c r="Q809">
        <v>342</v>
      </c>
      <c r="R809" t="str">
        <f>"PENSE FARMA 46 (10194)"</f>
        <v>PENSE FARMA 46 (10194)</v>
      </c>
      <c r="S809" t="s">
        <v>31</v>
      </c>
      <c r="T809">
        <v>3592</v>
      </c>
      <c r="U809">
        <v>3102</v>
      </c>
      <c r="V809" t="s">
        <v>22</v>
      </c>
    </row>
    <row r="810" spans="1:22">
      <c r="A810" t="str">
        <f t="shared" si="282"/>
        <v>24/12/2025</v>
      </c>
      <c r="B810" t="str">
        <f t="shared" si="283"/>
        <v>ENTRADA</v>
      </c>
      <c r="C810" t="str">
        <f t="shared" si="284"/>
        <v>NFSE</v>
      </c>
      <c r="D810" t="str">
        <f>"4085"</f>
        <v>4085</v>
      </c>
      <c r="E810" t="str">
        <f t="shared" si="285"/>
        <v>1</v>
      </c>
      <c r="F810" t="str">
        <f t="shared" si="280"/>
        <v>COM</v>
      </c>
      <c r="G810" t="str">
        <f>"PENSE FARMA 47 (10232)"</f>
        <v>PENSE FARMA 47 (10232)</v>
      </c>
      <c r="H810" t="str">
        <f>"Serv.Prest. 15/12/2025 a 21/12/2025 - RPS: 1847 - NFSe: 4085"</f>
        <v>Serv.Prest. 15/12/2025 a 21/12/2025 - RPS: 1847 - NFSe: 4085</v>
      </c>
      <c r="I810" t="str">
        <f t="shared" si="286"/>
        <v>24/12/2025</v>
      </c>
      <c r="J810" t="str">
        <f t="shared" si="281"/>
        <v>22/12/2025</v>
      </c>
      <c r="K810" t="str">
        <f>("24/12/2025")</f>
        <v>24/12/2025</v>
      </c>
      <c r="L810">
        <v>320.23</v>
      </c>
      <c r="M810">
        <v>320.23</v>
      </c>
      <c r="N810">
        <v>303</v>
      </c>
      <c r="O810" t="str">
        <f>"RECEITAS COM ENTREGAS"</f>
        <v>RECEITAS COM ENTREGAS</v>
      </c>
      <c r="P810">
        <v>320.23</v>
      </c>
      <c r="S810" t="str">
        <f>"RECEITAS COM ENTREGAS (303)"</f>
        <v>RECEITAS COM ENTREGAS (303)</v>
      </c>
      <c r="T810">
        <v>3593</v>
      </c>
      <c r="U810">
        <v>3103</v>
      </c>
      <c r="V810" t="s">
        <v>22</v>
      </c>
    </row>
    <row r="811" spans="1:22">
      <c r="A811" t="str">
        <f t="shared" si="282"/>
        <v>24/12/2025</v>
      </c>
      <c r="B811" t="str">
        <f t="shared" si="283"/>
        <v>ENTRADA</v>
      </c>
      <c r="C811" t="str">
        <f t="shared" si="284"/>
        <v>NFSE</v>
      </c>
      <c r="D811" t="str">
        <f>"4085"</f>
        <v>4085</v>
      </c>
      <c r="E811" t="str">
        <f t="shared" si="285"/>
        <v>1</v>
      </c>
      <c r="F811" t="str">
        <f t="shared" si="280"/>
        <v>COM</v>
      </c>
      <c r="G811" t="str">
        <f>"PENSE FARMA 47 (10232)"</f>
        <v>PENSE FARMA 47 (10232)</v>
      </c>
      <c r="H811" t="s">
        <v>245</v>
      </c>
      <c r="I811" t="str">
        <f t="shared" si="286"/>
        <v>24/12/2025</v>
      </c>
      <c r="J811" t="str">
        <f t="shared" si="281"/>
        <v>22/12/2025</v>
      </c>
      <c r="K811">
        <v>46015</v>
      </c>
      <c r="N811">
        <v>303</v>
      </c>
      <c r="O811" t="s">
        <v>30</v>
      </c>
      <c r="Q811">
        <v>320.23</v>
      </c>
      <c r="R811" t="str">
        <f>"PENSE FARMA 47 (10232)"</f>
        <v>PENSE FARMA 47 (10232)</v>
      </c>
      <c r="S811" t="s">
        <v>31</v>
      </c>
      <c r="T811">
        <v>3593</v>
      </c>
      <c r="U811">
        <v>3103</v>
      </c>
      <c r="V811" t="s">
        <v>22</v>
      </c>
    </row>
    <row r="812" spans="1:22">
      <c r="A812" t="str">
        <f t="shared" si="282"/>
        <v>24/12/2025</v>
      </c>
      <c r="B812" t="str">
        <f t="shared" si="283"/>
        <v>ENTRADA</v>
      </c>
      <c r="C812" t="str">
        <f t="shared" si="284"/>
        <v>NFSE</v>
      </c>
      <c r="D812" t="str">
        <f>"4086"</f>
        <v>4086</v>
      </c>
      <c r="E812" t="str">
        <f t="shared" si="285"/>
        <v>1</v>
      </c>
      <c r="F812" t="str">
        <f t="shared" si="280"/>
        <v>COM</v>
      </c>
      <c r="G812" t="str">
        <f>"PENSE FARMA 49 (10234)"</f>
        <v>PENSE FARMA 49 (10234)</v>
      </c>
      <c r="H812" t="str">
        <f>"Serv.Prest. 15/12/2025 a 21/12/2025 - RPS: 1848 - NFSe: 4086"</f>
        <v>Serv.Prest. 15/12/2025 a 21/12/2025 - RPS: 1848 - NFSe: 4086</v>
      </c>
      <c r="I812" t="str">
        <f t="shared" si="286"/>
        <v>24/12/2025</v>
      </c>
      <c r="J812" t="str">
        <f t="shared" si="281"/>
        <v>22/12/2025</v>
      </c>
      <c r="K812" t="str">
        <f>("24/12/2025")</f>
        <v>24/12/2025</v>
      </c>
      <c r="L812">
        <v>213.43</v>
      </c>
      <c r="M812">
        <v>213.43</v>
      </c>
      <c r="N812">
        <v>303</v>
      </c>
      <c r="O812" t="str">
        <f>"RECEITAS COM ENTREGAS"</f>
        <v>RECEITAS COM ENTREGAS</v>
      </c>
      <c r="P812">
        <v>213.43</v>
      </c>
      <c r="S812" t="str">
        <f>"RECEITAS COM ENTREGAS (303)"</f>
        <v>RECEITAS COM ENTREGAS (303)</v>
      </c>
      <c r="T812">
        <v>3594</v>
      </c>
      <c r="U812">
        <v>3104</v>
      </c>
      <c r="V812" t="s">
        <v>22</v>
      </c>
    </row>
    <row r="813" spans="1:22">
      <c r="A813" t="str">
        <f t="shared" si="282"/>
        <v>24/12/2025</v>
      </c>
      <c r="B813" t="str">
        <f t="shared" si="283"/>
        <v>ENTRADA</v>
      </c>
      <c r="C813" t="str">
        <f t="shared" si="284"/>
        <v>NFSE</v>
      </c>
      <c r="D813" t="str">
        <f>"4086"</f>
        <v>4086</v>
      </c>
      <c r="E813" t="str">
        <f t="shared" si="285"/>
        <v>1</v>
      </c>
      <c r="F813" t="str">
        <f t="shared" si="280"/>
        <v>COM</v>
      </c>
      <c r="G813" t="str">
        <f>"PENSE FARMA 49 (10234)"</f>
        <v>PENSE FARMA 49 (10234)</v>
      </c>
      <c r="H813" t="s">
        <v>246</v>
      </c>
      <c r="I813" t="str">
        <f t="shared" si="286"/>
        <v>24/12/2025</v>
      </c>
      <c r="J813" t="str">
        <f t="shared" si="281"/>
        <v>22/12/2025</v>
      </c>
      <c r="K813">
        <v>46015</v>
      </c>
      <c r="N813">
        <v>303</v>
      </c>
      <c r="O813" t="s">
        <v>30</v>
      </c>
      <c r="Q813">
        <v>213.43</v>
      </c>
      <c r="R813" t="str">
        <f>"PENSE FARMA 49 (10234)"</f>
        <v>PENSE FARMA 49 (10234)</v>
      </c>
      <c r="S813" t="s">
        <v>31</v>
      </c>
      <c r="T813">
        <v>3594</v>
      </c>
      <c r="U813">
        <v>3104</v>
      </c>
      <c r="V813" t="s">
        <v>22</v>
      </c>
    </row>
    <row r="814" spans="1:22">
      <c r="A814" t="str">
        <f t="shared" si="282"/>
        <v>24/12/2025</v>
      </c>
      <c r="B814" t="str">
        <f t="shared" si="283"/>
        <v>ENTRADA</v>
      </c>
      <c r="C814" t="str">
        <f t="shared" si="284"/>
        <v>NFSE</v>
      </c>
      <c r="D814" t="str">
        <f>"4089"</f>
        <v>4089</v>
      </c>
      <c r="E814" t="str">
        <f t="shared" si="285"/>
        <v>1</v>
      </c>
      <c r="F814" t="str">
        <f t="shared" si="280"/>
        <v>COM</v>
      </c>
      <c r="G814" t="str">
        <f>"LBL FARMACIA LTDA (10189)"</f>
        <v>LBL FARMACIA LTDA (10189)</v>
      </c>
      <c r="H814" t="str">
        <f>"Serv.Prest. 15/12/2025 a 21/12/2025 - RPS: 1851 - NFSe: 4089"</f>
        <v>Serv.Prest. 15/12/2025 a 21/12/2025 - RPS: 1851 - NFSe: 4089</v>
      </c>
      <c r="I814" t="str">
        <f t="shared" si="286"/>
        <v>24/12/2025</v>
      </c>
      <c r="J814" t="str">
        <f t="shared" si="281"/>
        <v>22/12/2025</v>
      </c>
      <c r="K814" t="str">
        <f>("24/12/2025")</f>
        <v>24/12/2025</v>
      </c>
      <c r="L814">
        <v>214.2</v>
      </c>
      <c r="M814">
        <v>214.2</v>
      </c>
      <c r="N814">
        <v>303</v>
      </c>
      <c r="O814" t="str">
        <f>"RECEITAS COM ENTREGAS"</f>
        <v>RECEITAS COM ENTREGAS</v>
      </c>
      <c r="P814">
        <v>214.2</v>
      </c>
      <c r="S814" t="str">
        <f>"RECEITAS COM ENTREGAS (303)"</f>
        <v>RECEITAS COM ENTREGAS (303)</v>
      </c>
      <c r="T814">
        <v>3595</v>
      </c>
      <c r="U814">
        <v>3107</v>
      </c>
      <c r="V814" t="s">
        <v>22</v>
      </c>
    </row>
    <row r="815" spans="1:22">
      <c r="A815" t="str">
        <f t="shared" si="282"/>
        <v>24/12/2025</v>
      </c>
      <c r="B815" t="str">
        <f t="shared" si="283"/>
        <v>ENTRADA</v>
      </c>
      <c r="C815" t="str">
        <f t="shared" si="284"/>
        <v>NFSE</v>
      </c>
      <c r="D815" t="str">
        <f>"4089"</f>
        <v>4089</v>
      </c>
      <c r="E815" t="str">
        <f t="shared" si="285"/>
        <v>1</v>
      </c>
      <c r="F815" t="str">
        <f t="shared" si="280"/>
        <v>COM</v>
      </c>
      <c r="G815" t="str">
        <f>"LBL FARMACIA LTDA (10189)"</f>
        <v>LBL FARMACIA LTDA (10189)</v>
      </c>
      <c r="H815" t="s">
        <v>247</v>
      </c>
      <c r="I815" t="str">
        <f t="shared" si="286"/>
        <v>24/12/2025</v>
      </c>
      <c r="J815" t="str">
        <f t="shared" si="281"/>
        <v>22/12/2025</v>
      </c>
      <c r="K815">
        <v>46015</v>
      </c>
      <c r="N815">
        <v>303</v>
      </c>
      <c r="O815" t="s">
        <v>30</v>
      </c>
      <c r="Q815">
        <v>214.2</v>
      </c>
      <c r="R815" t="str">
        <f>"LBL FARMACIA LTDA (10189)"</f>
        <v>LBL FARMACIA LTDA (10189)</v>
      </c>
      <c r="S815" t="s">
        <v>31</v>
      </c>
      <c r="T815">
        <v>3595</v>
      </c>
      <c r="U815">
        <v>3107</v>
      </c>
      <c r="V815" t="s">
        <v>22</v>
      </c>
    </row>
    <row r="816" spans="1:22">
      <c r="A816" t="str">
        <f t="shared" si="282"/>
        <v>24/12/2025</v>
      </c>
      <c r="B816" t="str">
        <f t="shared" si="283"/>
        <v>ENTRADA</v>
      </c>
      <c r="C816" t="str">
        <f t="shared" si="284"/>
        <v>NFSE</v>
      </c>
      <c r="D816" t="str">
        <f>"4090"</f>
        <v>4090</v>
      </c>
      <c r="E816" t="str">
        <f t="shared" si="285"/>
        <v>1</v>
      </c>
      <c r="F816" t="str">
        <f t="shared" si="280"/>
        <v>COM</v>
      </c>
      <c r="G816" t="str">
        <f>"LBL FARMACIA LTDA FILIAL (10192)"</f>
        <v>LBL FARMACIA LTDA FILIAL (10192)</v>
      </c>
      <c r="H816" t="str">
        <f>"Serv.Prest. 15/12/2025 a 21/12/2025 - RPS: 1852 - NFSe: 4090"</f>
        <v>Serv.Prest. 15/12/2025 a 21/12/2025 - RPS: 1852 - NFSe: 4090</v>
      </c>
      <c r="I816" t="str">
        <f t="shared" si="286"/>
        <v>24/12/2025</v>
      </c>
      <c r="J816" t="str">
        <f t="shared" si="281"/>
        <v>22/12/2025</v>
      </c>
      <c r="K816" t="str">
        <f>("24/12/2025")</f>
        <v>24/12/2025</v>
      </c>
      <c r="L816">
        <v>256.2</v>
      </c>
      <c r="M816">
        <v>256.2</v>
      </c>
      <c r="N816">
        <v>303</v>
      </c>
      <c r="O816" t="str">
        <f>"RECEITAS COM ENTREGAS"</f>
        <v>RECEITAS COM ENTREGAS</v>
      </c>
      <c r="P816">
        <v>256.2</v>
      </c>
      <c r="S816" t="str">
        <f>"RECEITAS COM ENTREGAS (303)"</f>
        <v>RECEITAS COM ENTREGAS (303)</v>
      </c>
      <c r="T816">
        <v>3596</v>
      </c>
      <c r="U816">
        <v>3108</v>
      </c>
      <c r="V816" t="s">
        <v>22</v>
      </c>
    </row>
    <row r="817" spans="1:22">
      <c r="A817" t="str">
        <f t="shared" si="282"/>
        <v>24/12/2025</v>
      </c>
      <c r="B817" t="str">
        <f t="shared" si="283"/>
        <v>ENTRADA</v>
      </c>
      <c r="C817" t="str">
        <f t="shared" si="284"/>
        <v>NFSE</v>
      </c>
      <c r="D817" t="str">
        <f>"4090"</f>
        <v>4090</v>
      </c>
      <c r="E817" t="str">
        <f t="shared" si="285"/>
        <v>1</v>
      </c>
      <c r="F817" t="str">
        <f t="shared" si="280"/>
        <v>COM</v>
      </c>
      <c r="G817" t="str">
        <f>"LBL FARMACIA LTDA FILIAL (10192)"</f>
        <v>LBL FARMACIA LTDA FILIAL (10192)</v>
      </c>
      <c r="H817" t="s">
        <v>248</v>
      </c>
      <c r="I817" t="str">
        <f t="shared" si="286"/>
        <v>24/12/2025</v>
      </c>
      <c r="J817" t="str">
        <f t="shared" si="281"/>
        <v>22/12/2025</v>
      </c>
      <c r="K817">
        <v>46015</v>
      </c>
      <c r="N817">
        <v>303</v>
      </c>
      <c r="O817" t="s">
        <v>30</v>
      </c>
      <c r="Q817">
        <v>256.2</v>
      </c>
      <c r="R817" t="str">
        <f>"LBL FARMACIA LTDA FILIAL (10192)"</f>
        <v>LBL FARMACIA LTDA FILIAL (10192)</v>
      </c>
      <c r="S817" t="s">
        <v>31</v>
      </c>
      <c r="T817">
        <v>3596</v>
      </c>
      <c r="U817">
        <v>3108</v>
      </c>
      <c r="V817" t="s">
        <v>22</v>
      </c>
    </row>
    <row r="818" spans="1:22">
      <c r="A818" t="str">
        <f t="shared" si="282"/>
        <v>24/12/2025</v>
      </c>
      <c r="B818" t="str">
        <f t="shared" si="283"/>
        <v>ENTRADA</v>
      </c>
      <c r="C818" t="str">
        <f t="shared" si="284"/>
        <v>NFSE</v>
      </c>
      <c r="D818" t="str">
        <f>"4091"</f>
        <v>4091</v>
      </c>
      <c r="E818" t="str">
        <f t="shared" si="285"/>
        <v>1</v>
      </c>
      <c r="F818" t="str">
        <f t="shared" si="280"/>
        <v>COM</v>
      </c>
      <c r="G818" t="str">
        <f>"PENSE FARMA 15 (10195)"</f>
        <v>PENSE FARMA 15 (10195)</v>
      </c>
      <c r="H818" t="str">
        <f>"Serv.Prest. 15/12/2025 a 21/12/2025 - RPS: 1853 - NFSe: 4091"</f>
        <v>Serv.Prest. 15/12/2025 a 21/12/2025 - RPS: 1853 - NFSe: 4091</v>
      </c>
      <c r="I818" t="str">
        <f t="shared" si="286"/>
        <v>24/12/2025</v>
      </c>
      <c r="J818" t="str">
        <f t="shared" si="281"/>
        <v>22/12/2025</v>
      </c>
      <c r="K818" t="str">
        <f>("24/12/2025")</f>
        <v>24/12/2025</v>
      </c>
      <c r="L818">
        <v>642</v>
      </c>
      <c r="M818">
        <v>642</v>
      </c>
      <c r="N818">
        <v>303</v>
      </c>
      <c r="O818" t="str">
        <f>"RECEITAS COM ENTREGAS"</f>
        <v>RECEITAS COM ENTREGAS</v>
      </c>
      <c r="P818">
        <v>642</v>
      </c>
      <c r="S818" t="str">
        <f>"RECEITAS COM ENTREGAS (303)"</f>
        <v>RECEITAS COM ENTREGAS (303)</v>
      </c>
      <c r="T818">
        <v>3597</v>
      </c>
      <c r="U818">
        <v>3109</v>
      </c>
      <c r="V818" t="s">
        <v>22</v>
      </c>
    </row>
    <row r="819" spans="1:22">
      <c r="A819" t="str">
        <f t="shared" si="282"/>
        <v>24/12/2025</v>
      </c>
      <c r="B819" t="str">
        <f t="shared" si="283"/>
        <v>ENTRADA</v>
      </c>
      <c r="C819" t="str">
        <f t="shared" si="284"/>
        <v>NFSE</v>
      </c>
      <c r="D819" t="str">
        <f>"4091"</f>
        <v>4091</v>
      </c>
      <c r="E819" t="str">
        <f t="shared" si="285"/>
        <v>1</v>
      </c>
      <c r="F819" t="str">
        <f t="shared" si="280"/>
        <v>COM</v>
      </c>
      <c r="G819" t="str">
        <f>"PENSE FARMA 15 (10195)"</f>
        <v>PENSE FARMA 15 (10195)</v>
      </c>
      <c r="H819" t="s">
        <v>249</v>
      </c>
      <c r="I819" t="str">
        <f t="shared" si="286"/>
        <v>24/12/2025</v>
      </c>
      <c r="J819" t="str">
        <f t="shared" si="281"/>
        <v>22/12/2025</v>
      </c>
      <c r="K819">
        <v>46015</v>
      </c>
      <c r="N819">
        <v>303</v>
      </c>
      <c r="O819" t="s">
        <v>30</v>
      </c>
      <c r="Q819">
        <v>160.5</v>
      </c>
      <c r="R819" t="str">
        <f>"PENSE FARMA 15 (10195)"</f>
        <v>PENSE FARMA 15 (10195)</v>
      </c>
      <c r="S819" t="s">
        <v>31</v>
      </c>
      <c r="T819">
        <v>3597</v>
      </c>
      <c r="U819">
        <v>3109</v>
      </c>
      <c r="V819" t="s">
        <v>22</v>
      </c>
    </row>
    <row r="820" spans="1:22">
      <c r="A820" t="str">
        <f t="shared" si="282"/>
        <v>24/12/2025</v>
      </c>
      <c r="B820" t="str">
        <f t="shared" si="283"/>
        <v>ENTRADA</v>
      </c>
      <c r="C820" t="str">
        <f t="shared" si="284"/>
        <v>NFSE</v>
      </c>
      <c r="D820" t="str">
        <f>"4091"</f>
        <v>4091</v>
      </c>
      <c r="E820" t="str">
        <f t="shared" si="285"/>
        <v>1</v>
      </c>
      <c r="F820" t="str">
        <f t="shared" si="280"/>
        <v>COM</v>
      </c>
      <c r="G820" t="str">
        <f>"PENSE FARMA 15 (10195)"</f>
        <v>PENSE FARMA 15 (10195)</v>
      </c>
      <c r="H820" t="s">
        <v>249</v>
      </c>
      <c r="I820" t="str">
        <f t="shared" si="286"/>
        <v>24/12/2025</v>
      </c>
      <c r="J820" t="str">
        <f t="shared" si="281"/>
        <v>22/12/2025</v>
      </c>
      <c r="K820">
        <v>46015</v>
      </c>
      <c r="N820">
        <v>303</v>
      </c>
      <c r="O820" t="s">
        <v>30</v>
      </c>
      <c r="Q820">
        <v>160.5</v>
      </c>
      <c r="R820" t="str">
        <f>"PENSE FARMA 26 (10196)"</f>
        <v>PENSE FARMA 26 (10196)</v>
      </c>
      <c r="S820" t="s">
        <v>31</v>
      </c>
      <c r="T820">
        <v>3597</v>
      </c>
      <c r="U820">
        <v>3109</v>
      </c>
      <c r="V820" t="s">
        <v>22</v>
      </c>
    </row>
    <row r="821" spans="1:22">
      <c r="A821" t="str">
        <f t="shared" si="282"/>
        <v>24/12/2025</v>
      </c>
      <c r="B821" t="str">
        <f t="shared" si="283"/>
        <v>ENTRADA</v>
      </c>
      <c r="C821" t="str">
        <f t="shared" si="284"/>
        <v>NFSE</v>
      </c>
      <c r="D821" t="str">
        <f>"4091"</f>
        <v>4091</v>
      </c>
      <c r="E821" t="str">
        <f t="shared" si="285"/>
        <v>1</v>
      </c>
      <c r="F821" t="str">
        <f t="shared" si="280"/>
        <v>COM</v>
      </c>
      <c r="G821" t="str">
        <f>"PENSE FARMA 15 (10195)"</f>
        <v>PENSE FARMA 15 (10195)</v>
      </c>
      <c r="H821" t="s">
        <v>249</v>
      </c>
      <c r="I821" t="str">
        <f t="shared" si="286"/>
        <v>24/12/2025</v>
      </c>
      <c r="J821" t="str">
        <f t="shared" si="281"/>
        <v>22/12/2025</v>
      </c>
      <c r="K821">
        <v>46015</v>
      </c>
      <c r="N821">
        <v>303</v>
      </c>
      <c r="O821" t="s">
        <v>30</v>
      </c>
      <c r="Q821">
        <v>160.5</v>
      </c>
      <c r="R821" t="str">
        <f>"PENSE FARMA 60 (10197)"</f>
        <v>PENSE FARMA 60 (10197)</v>
      </c>
      <c r="S821" t="s">
        <v>31</v>
      </c>
      <c r="T821">
        <v>3597</v>
      </c>
      <c r="U821">
        <v>3109</v>
      </c>
      <c r="V821" t="s">
        <v>22</v>
      </c>
    </row>
    <row r="822" spans="1:22">
      <c r="A822" t="str">
        <f t="shared" si="282"/>
        <v>24/12/2025</v>
      </c>
      <c r="B822" t="str">
        <f t="shared" si="283"/>
        <v>ENTRADA</v>
      </c>
      <c r="C822" t="str">
        <f t="shared" si="284"/>
        <v>NFSE</v>
      </c>
      <c r="D822" t="str">
        <f>"4091"</f>
        <v>4091</v>
      </c>
      <c r="E822" t="str">
        <f t="shared" si="285"/>
        <v>1</v>
      </c>
      <c r="F822" t="str">
        <f t="shared" si="280"/>
        <v>COM</v>
      </c>
      <c r="G822" t="str">
        <f>"PENSE FARMA 15 (10195)"</f>
        <v>PENSE FARMA 15 (10195)</v>
      </c>
      <c r="H822" t="s">
        <v>249</v>
      </c>
      <c r="I822" t="str">
        <f t="shared" si="286"/>
        <v>24/12/2025</v>
      </c>
      <c r="J822" t="str">
        <f t="shared" si="281"/>
        <v>22/12/2025</v>
      </c>
      <c r="K822">
        <v>46015</v>
      </c>
      <c r="N822">
        <v>303</v>
      </c>
      <c r="O822" t="s">
        <v>30</v>
      </c>
      <c r="Q822">
        <v>160.5</v>
      </c>
      <c r="R822" t="str">
        <f>"PENSE FARMA 61 (10243)"</f>
        <v>PENSE FARMA 61 (10243)</v>
      </c>
      <c r="S822" t="s">
        <v>31</v>
      </c>
      <c r="T822">
        <v>3597</v>
      </c>
      <c r="U822">
        <v>3109</v>
      </c>
      <c r="V822" t="s">
        <v>22</v>
      </c>
    </row>
    <row r="823" spans="1:22">
      <c r="A823" t="str">
        <f t="shared" si="282"/>
        <v>24/12/2025</v>
      </c>
      <c r="B823" t="str">
        <f t="shared" si="283"/>
        <v>ENTRADA</v>
      </c>
      <c r="C823" t="str">
        <f t="shared" si="284"/>
        <v>NFSE</v>
      </c>
      <c r="D823" t="str">
        <f>"4094"</f>
        <v>4094</v>
      </c>
      <c r="E823" t="str">
        <f t="shared" si="285"/>
        <v>1</v>
      </c>
      <c r="F823" t="str">
        <f t="shared" si="280"/>
        <v>COM</v>
      </c>
      <c r="G823" t="str">
        <f>"DROGARIA AGAPEAMA (10167)"</f>
        <v>DROGARIA AGAPEAMA (10167)</v>
      </c>
      <c r="H823" t="str">
        <f>"Serv.Prest. 15/12/2025 a 21/12/2025 - RPS: 1856 - NFSe: 4094"</f>
        <v>Serv.Prest. 15/12/2025 a 21/12/2025 - RPS: 1856 - NFSe: 4094</v>
      </c>
      <c r="I823" t="str">
        <f t="shared" si="286"/>
        <v>24/12/2025</v>
      </c>
      <c r="J823" t="str">
        <f t="shared" si="281"/>
        <v>22/12/2025</v>
      </c>
      <c r="K823" t="str">
        <f>("24/12/2025")</f>
        <v>24/12/2025</v>
      </c>
      <c r="L823">
        <v>367.2</v>
      </c>
      <c r="M823">
        <v>367.2</v>
      </c>
      <c r="N823">
        <v>303</v>
      </c>
      <c r="O823" t="str">
        <f>"RECEITAS COM ENTREGAS"</f>
        <v>RECEITAS COM ENTREGAS</v>
      </c>
      <c r="P823">
        <v>367.2</v>
      </c>
      <c r="S823" t="str">
        <f>"RECEITAS COM ENTREGAS (303)"</f>
        <v>RECEITAS COM ENTREGAS (303)</v>
      </c>
      <c r="T823">
        <v>3598</v>
      </c>
      <c r="U823">
        <v>3112</v>
      </c>
      <c r="V823" t="s">
        <v>22</v>
      </c>
    </row>
    <row r="824" spans="1:22">
      <c r="A824" t="str">
        <f t="shared" si="282"/>
        <v>24/12/2025</v>
      </c>
      <c r="B824" t="str">
        <f t="shared" si="283"/>
        <v>ENTRADA</v>
      </c>
      <c r="C824" t="str">
        <f t="shared" si="284"/>
        <v>NFSE</v>
      </c>
      <c r="D824" t="str">
        <f>"4094"</f>
        <v>4094</v>
      </c>
      <c r="E824" t="str">
        <f t="shared" si="285"/>
        <v>1</v>
      </c>
      <c r="F824" t="str">
        <f t="shared" si="280"/>
        <v>COM</v>
      </c>
      <c r="G824" t="str">
        <f>"DROGARIA AGAPEAMA (10167)"</f>
        <v>DROGARIA AGAPEAMA (10167)</v>
      </c>
      <c r="H824" t="s">
        <v>250</v>
      </c>
      <c r="I824" t="str">
        <f t="shared" si="286"/>
        <v>24/12/2025</v>
      </c>
      <c r="J824" t="str">
        <f t="shared" si="281"/>
        <v>22/12/2025</v>
      </c>
      <c r="K824">
        <v>46015</v>
      </c>
      <c r="N824">
        <v>303</v>
      </c>
      <c r="O824" t="s">
        <v>30</v>
      </c>
      <c r="Q824">
        <v>367.2</v>
      </c>
      <c r="R824" t="str">
        <f>"DROGARIA AGAPEAMA (10167)"</f>
        <v>DROGARIA AGAPEAMA (10167)</v>
      </c>
      <c r="S824" t="s">
        <v>31</v>
      </c>
      <c r="T824">
        <v>3598</v>
      </c>
      <c r="U824">
        <v>3112</v>
      </c>
      <c r="V824" t="s">
        <v>22</v>
      </c>
    </row>
    <row r="825" spans="1:22">
      <c r="A825" t="str">
        <f t="shared" si="282"/>
        <v>24/12/2025</v>
      </c>
      <c r="B825" t="str">
        <f t="shared" si="283"/>
        <v>ENTRADA</v>
      </c>
      <c r="C825" t="str">
        <f t="shared" si="284"/>
        <v>NFSE</v>
      </c>
      <c r="D825" t="str">
        <f>"4102"</f>
        <v>4102</v>
      </c>
      <c r="E825" t="str">
        <f t="shared" si="285"/>
        <v>1</v>
      </c>
      <c r="F825" t="str">
        <f t="shared" si="280"/>
        <v>COM</v>
      </c>
      <c r="G825" t="str">
        <f>"DROGARIA MEDIC CENTER LTDA (10172)"</f>
        <v>DROGARIA MEDIC CENTER LTDA (10172)</v>
      </c>
      <c r="H825" t="str">
        <f>"Serv.Prest. 15/12/2025 a 21/12/2025 - RPS: 1864 - NFSe: 4102"</f>
        <v>Serv.Prest. 15/12/2025 a 21/12/2025 - RPS: 1864 - NFSe: 4102</v>
      </c>
      <c r="I825" t="str">
        <f t="shared" si="286"/>
        <v>24/12/2025</v>
      </c>
      <c r="J825" t="str">
        <f t="shared" si="281"/>
        <v>22/12/2025</v>
      </c>
      <c r="K825" t="str">
        <f>("24/12/2025")</f>
        <v>24/12/2025</v>
      </c>
      <c r="L825">
        <v>99.9</v>
      </c>
      <c r="M825">
        <v>99.9</v>
      </c>
      <c r="N825">
        <v>303</v>
      </c>
      <c r="O825" t="str">
        <f>"RECEITAS COM ENTREGAS"</f>
        <v>RECEITAS COM ENTREGAS</v>
      </c>
      <c r="P825">
        <v>99.9</v>
      </c>
      <c r="S825" t="str">
        <f>"RECEITAS COM ENTREGAS (303)"</f>
        <v>RECEITAS COM ENTREGAS (303)</v>
      </c>
      <c r="T825">
        <v>3599</v>
      </c>
      <c r="U825">
        <v>3120</v>
      </c>
      <c r="V825" t="s">
        <v>22</v>
      </c>
    </row>
    <row r="826" spans="1:22">
      <c r="A826" t="str">
        <f t="shared" si="282"/>
        <v>24/12/2025</v>
      </c>
      <c r="B826" t="str">
        <f t="shared" si="283"/>
        <v>ENTRADA</v>
      </c>
      <c r="C826" t="str">
        <f t="shared" si="284"/>
        <v>NFSE</v>
      </c>
      <c r="D826" t="str">
        <f>"4102"</f>
        <v>4102</v>
      </c>
      <c r="E826" t="str">
        <f t="shared" si="285"/>
        <v>1</v>
      </c>
      <c r="F826" t="str">
        <f t="shared" si="280"/>
        <v>COM</v>
      </c>
      <c r="G826" t="str">
        <f>"DROGARIA MEDIC CENTER LTDA (10172)"</f>
        <v>DROGARIA MEDIC CENTER LTDA (10172)</v>
      </c>
      <c r="H826" t="s">
        <v>251</v>
      </c>
      <c r="I826" t="str">
        <f t="shared" si="286"/>
        <v>24/12/2025</v>
      </c>
      <c r="J826" t="str">
        <f t="shared" si="281"/>
        <v>22/12/2025</v>
      </c>
      <c r="K826">
        <v>46015</v>
      </c>
      <c r="N826">
        <v>303</v>
      </c>
      <c r="O826" t="s">
        <v>30</v>
      </c>
      <c r="Q826">
        <v>99.9</v>
      </c>
      <c r="R826" t="str">
        <f>"DROGARIA MEDIC CENTER LTDA (10172)"</f>
        <v>DROGARIA MEDIC CENTER LTDA (10172)</v>
      </c>
      <c r="S826" t="s">
        <v>31</v>
      </c>
      <c r="T826">
        <v>3599</v>
      </c>
      <c r="U826">
        <v>3120</v>
      </c>
      <c r="V826" t="s">
        <v>22</v>
      </c>
    </row>
    <row r="827" spans="1:22">
      <c r="A827" t="str">
        <f t="shared" si="282"/>
        <v>24/12/2025</v>
      </c>
      <c r="B827" t="str">
        <f t="shared" si="283"/>
        <v>ENTRADA</v>
      </c>
      <c r="C827" t="str">
        <f t="shared" si="284"/>
        <v>NFSE</v>
      </c>
      <c r="D827" t="str">
        <f>"4103"</f>
        <v>4103</v>
      </c>
      <c r="E827" t="str">
        <f t="shared" si="285"/>
        <v>1</v>
      </c>
      <c r="F827" t="str">
        <f t="shared" si="280"/>
        <v>COM</v>
      </c>
      <c r="G827" t="str">
        <f>"DROGARIA MORENO LTDA (10171)"</f>
        <v>DROGARIA MORENO LTDA (10171)</v>
      </c>
      <c r="H827" t="str">
        <f>"Serv.Prest. 15/12/2025 a 21/12/2025 - RPS: 1865 - NFSe: 4103"</f>
        <v>Serv.Prest. 15/12/2025 a 21/12/2025 - RPS: 1865 - NFSe: 4103</v>
      </c>
      <c r="I827" t="str">
        <f t="shared" si="286"/>
        <v>24/12/2025</v>
      </c>
      <c r="J827" t="str">
        <f t="shared" si="281"/>
        <v>22/12/2025</v>
      </c>
      <c r="K827" t="str">
        <f>("24/12/2025")</f>
        <v>24/12/2025</v>
      </c>
      <c r="L827">
        <v>383.4</v>
      </c>
      <c r="M827">
        <v>383.4</v>
      </c>
      <c r="N827">
        <v>303</v>
      </c>
      <c r="O827" t="str">
        <f>"RECEITAS COM ENTREGAS"</f>
        <v>RECEITAS COM ENTREGAS</v>
      </c>
      <c r="P827">
        <v>383.4</v>
      </c>
      <c r="S827" t="str">
        <f>"RECEITAS COM ENTREGAS (303)"</f>
        <v>RECEITAS COM ENTREGAS (303)</v>
      </c>
      <c r="T827">
        <v>3600</v>
      </c>
      <c r="U827">
        <v>3121</v>
      </c>
      <c r="V827" t="s">
        <v>22</v>
      </c>
    </row>
    <row r="828" spans="1:22">
      <c r="A828" t="str">
        <f t="shared" si="282"/>
        <v>24/12/2025</v>
      </c>
      <c r="B828" t="str">
        <f t="shared" si="283"/>
        <v>ENTRADA</v>
      </c>
      <c r="C828" t="str">
        <f t="shared" si="284"/>
        <v>NFSE</v>
      </c>
      <c r="D828" t="str">
        <f>"4103"</f>
        <v>4103</v>
      </c>
      <c r="E828" t="str">
        <f t="shared" si="285"/>
        <v>1</v>
      </c>
      <c r="F828" t="str">
        <f t="shared" si="280"/>
        <v>COM</v>
      </c>
      <c r="G828" t="str">
        <f>"DROGARIA MORENO LTDA (10171)"</f>
        <v>DROGARIA MORENO LTDA (10171)</v>
      </c>
      <c r="H828" t="s">
        <v>252</v>
      </c>
      <c r="I828" t="str">
        <f t="shared" si="286"/>
        <v>24/12/2025</v>
      </c>
      <c r="J828" t="str">
        <f t="shared" si="281"/>
        <v>22/12/2025</v>
      </c>
      <c r="K828">
        <v>46015</v>
      </c>
      <c r="N828">
        <v>303</v>
      </c>
      <c r="O828" t="s">
        <v>30</v>
      </c>
      <c r="Q828">
        <v>383.4</v>
      </c>
      <c r="R828" t="str">
        <f>"DROGARIA MORENO LTDA (10171)"</f>
        <v>DROGARIA MORENO LTDA (10171)</v>
      </c>
      <c r="S828" t="s">
        <v>31</v>
      </c>
      <c r="T828">
        <v>3600</v>
      </c>
      <c r="U828">
        <v>3121</v>
      </c>
      <c r="V828" t="s">
        <v>22</v>
      </c>
    </row>
    <row r="829" spans="1:22">
      <c r="A829" t="str">
        <f t="shared" si="282"/>
        <v>24/12/2025</v>
      </c>
      <c r="B829" t="str">
        <f t="shared" si="283"/>
        <v>ENTRADA</v>
      </c>
      <c r="C829" t="str">
        <f t="shared" si="284"/>
        <v>NFSE</v>
      </c>
      <c r="D829" t="str">
        <f t="shared" ref="D829:D834" si="287">"4108"</f>
        <v>4108</v>
      </c>
      <c r="E829" t="str">
        <f t="shared" si="285"/>
        <v>1</v>
      </c>
      <c r="F829" t="str">
        <f t="shared" si="280"/>
        <v>COM</v>
      </c>
      <c r="G829" t="str">
        <f t="shared" ref="G829:G834" si="288">"DROGALIDER 31 (10256)"</f>
        <v>DROGALIDER 31 (10256)</v>
      </c>
      <c r="H829" t="str">
        <f>"Serv.Prest. 15/12/2025 a 21/12/2025 - RPS: 1870 - NFSe: 4108"</f>
        <v>Serv.Prest. 15/12/2025 a 21/12/2025 - RPS: 1870 - NFSe: 4108</v>
      </c>
      <c r="I829" t="str">
        <f t="shared" si="286"/>
        <v>24/12/2025</v>
      </c>
      <c r="J829" t="str">
        <f t="shared" si="281"/>
        <v>22/12/2025</v>
      </c>
      <c r="K829" t="str">
        <f>("24/12/2025")</f>
        <v>24/12/2025</v>
      </c>
      <c r="L829">
        <v>600</v>
      </c>
      <c r="M829">
        <v>600</v>
      </c>
      <c r="N829">
        <v>303</v>
      </c>
      <c r="O829" t="str">
        <f>"RECEITAS COM ENTREGAS"</f>
        <v>RECEITAS COM ENTREGAS</v>
      </c>
      <c r="P829">
        <v>600</v>
      </c>
      <c r="S829" t="str">
        <f>"RECEITAS COM ENTREGAS (303)"</f>
        <v>RECEITAS COM ENTREGAS (303)</v>
      </c>
      <c r="T829">
        <v>3601</v>
      </c>
      <c r="U829">
        <v>3126</v>
      </c>
      <c r="V829" t="s">
        <v>22</v>
      </c>
    </row>
    <row r="830" spans="1:22">
      <c r="A830" t="str">
        <f t="shared" si="282"/>
        <v>24/12/2025</v>
      </c>
      <c r="B830" t="str">
        <f t="shared" si="283"/>
        <v>ENTRADA</v>
      </c>
      <c r="C830" t="str">
        <f t="shared" si="284"/>
        <v>NFSE</v>
      </c>
      <c r="D830" t="str">
        <f t="shared" si="287"/>
        <v>4108</v>
      </c>
      <c r="E830" t="str">
        <f t="shared" si="285"/>
        <v>1</v>
      </c>
      <c r="F830" t="str">
        <f t="shared" si="280"/>
        <v>COM</v>
      </c>
      <c r="G830" t="str">
        <f t="shared" si="288"/>
        <v>DROGALIDER 31 (10256)</v>
      </c>
      <c r="H830" t="s">
        <v>253</v>
      </c>
      <c r="I830" t="str">
        <f t="shared" si="286"/>
        <v>24/12/2025</v>
      </c>
      <c r="J830" t="str">
        <f t="shared" si="281"/>
        <v>22/12/2025</v>
      </c>
      <c r="K830">
        <v>46015</v>
      </c>
      <c r="N830">
        <v>303</v>
      </c>
      <c r="O830" t="s">
        <v>30</v>
      </c>
      <c r="Q830">
        <v>115.5</v>
      </c>
      <c r="R830" t="str">
        <f>"DROGALIDER 42 (10247)"</f>
        <v>DROGALIDER 42 (10247)</v>
      </c>
      <c r="S830" t="s">
        <v>31</v>
      </c>
      <c r="T830">
        <v>3601</v>
      </c>
      <c r="U830">
        <v>3126</v>
      </c>
      <c r="V830" t="s">
        <v>22</v>
      </c>
    </row>
    <row r="831" spans="1:22">
      <c r="A831" t="str">
        <f t="shared" si="282"/>
        <v>24/12/2025</v>
      </c>
      <c r="B831" t="str">
        <f t="shared" si="283"/>
        <v>ENTRADA</v>
      </c>
      <c r="C831" t="str">
        <f t="shared" si="284"/>
        <v>NFSE</v>
      </c>
      <c r="D831" t="str">
        <f t="shared" si="287"/>
        <v>4108</v>
      </c>
      <c r="E831" t="str">
        <f t="shared" si="285"/>
        <v>1</v>
      </c>
      <c r="F831" t="str">
        <f t="shared" si="280"/>
        <v>COM</v>
      </c>
      <c r="G831" t="str">
        <f t="shared" si="288"/>
        <v>DROGALIDER 31 (10256)</v>
      </c>
      <c r="H831" t="s">
        <v>253</v>
      </c>
      <c r="I831" t="str">
        <f t="shared" si="286"/>
        <v>24/12/2025</v>
      </c>
      <c r="J831" t="str">
        <f t="shared" ref="J831:J836" si="289">("22/12/2025")</f>
        <v>22/12/2025</v>
      </c>
      <c r="K831">
        <v>46015</v>
      </c>
      <c r="N831">
        <v>303</v>
      </c>
      <c r="O831" t="s">
        <v>30</v>
      </c>
      <c r="Q831">
        <v>114.78</v>
      </c>
      <c r="R831" t="str">
        <f>"DROGALIDER 55 (10249)"</f>
        <v>DROGALIDER 55 (10249)</v>
      </c>
      <c r="S831" t="s">
        <v>31</v>
      </c>
      <c r="T831">
        <v>3601</v>
      </c>
      <c r="U831">
        <v>3126</v>
      </c>
      <c r="V831" t="s">
        <v>22</v>
      </c>
    </row>
    <row r="832" spans="1:22">
      <c r="A832" t="str">
        <f t="shared" si="282"/>
        <v>24/12/2025</v>
      </c>
      <c r="B832" t="str">
        <f t="shared" si="283"/>
        <v>ENTRADA</v>
      </c>
      <c r="C832" t="str">
        <f t="shared" si="284"/>
        <v>NFSE</v>
      </c>
      <c r="D832" t="str">
        <f t="shared" si="287"/>
        <v>4108</v>
      </c>
      <c r="E832" t="str">
        <f t="shared" si="285"/>
        <v>1</v>
      </c>
      <c r="F832" t="str">
        <f t="shared" si="280"/>
        <v>COM</v>
      </c>
      <c r="G832" t="str">
        <f t="shared" si="288"/>
        <v>DROGALIDER 31 (10256)</v>
      </c>
      <c r="H832" t="s">
        <v>253</v>
      </c>
      <c r="I832" t="str">
        <f t="shared" si="286"/>
        <v>24/12/2025</v>
      </c>
      <c r="J832" t="str">
        <f t="shared" si="289"/>
        <v>22/12/2025</v>
      </c>
      <c r="K832">
        <v>46015</v>
      </c>
      <c r="N832">
        <v>303</v>
      </c>
      <c r="O832" t="s">
        <v>30</v>
      </c>
      <c r="Q832">
        <v>115.5</v>
      </c>
      <c r="R832" t="str">
        <f>"DROGALIDER 67 (10252)"</f>
        <v>DROGALIDER 67 (10252)</v>
      </c>
      <c r="S832" t="s">
        <v>31</v>
      </c>
      <c r="T832">
        <v>3601</v>
      </c>
      <c r="U832">
        <v>3126</v>
      </c>
      <c r="V832" t="s">
        <v>22</v>
      </c>
    </row>
    <row r="833" spans="1:22">
      <c r="A833" t="str">
        <f t="shared" ref="A833:A846" si="290">("24/12/2025")</f>
        <v>24/12/2025</v>
      </c>
      <c r="B833" t="str">
        <f t="shared" si="283"/>
        <v>ENTRADA</v>
      </c>
      <c r="C833" t="str">
        <f t="shared" si="284"/>
        <v>NFSE</v>
      </c>
      <c r="D833" t="str">
        <f t="shared" si="287"/>
        <v>4108</v>
      </c>
      <c r="E833" t="str">
        <f t="shared" si="285"/>
        <v>1</v>
      </c>
      <c r="F833" t="str">
        <f t="shared" si="280"/>
        <v>COM</v>
      </c>
      <c r="G833" t="str">
        <f t="shared" si="288"/>
        <v>DROGALIDER 31 (10256)</v>
      </c>
      <c r="H833" t="s">
        <v>253</v>
      </c>
      <c r="I833" t="str">
        <f t="shared" si="286"/>
        <v>24/12/2025</v>
      </c>
      <c r="J833" t="str">
        <f t="shared" si="289"/>
        <v>22/12/2025</v>
      </c>
      <c r="K833">
        <v>46015</v>
      </c>
      <c r="N833">
        <v>303</v>
      </c>
      <c r="O833" t="s">
        <v>30</v>
      </c>
      <c r="Q833">
        <v>114.78</v>
      </c>
      <c r="R833" t="str">
        <f>"DROGALIDER 68 (10253)"</f>
        <v>DROGALIDER 68 (10253)</v>
      </c>
      <c r="S833" t="s">
        <v>31</v>
      </c>
      <c r="T833">
        <v>3601</v>
      </c>
      <c r="U833">
        <v>3126</v>
      </c>
      <c r="V833" t="s">
        <v>22</v>
      </c>
    </row>
    <row r="834" spans="1:22">
      <c r="A834" t="str">
        <f t="shared" si="290"/>
        <v>24/12/2025</v>
      </c>
      <c r="B834" t="str">
        <f t="shared" si="283"/>
        <v>ENTRADA</v>
      </c>
      <c r="C834" t="str">
        <f t="shared" si="284"/>
        <v>NFSE</v>
      </c>
      <c r="D834" t="str">
        <f t="shared" si="287"/>
        <v>4108</v>
      </c>
      <c r="E834" t="str">
        <f t="shared" si="285"/>
        <v>1</v>
      </c>
      <c r="F834" t="str">
        <f t="shared" si="280"/>
        <v>COM</v>
      </c>
      <c r="G834" t="str">
        <f t="shared" si="288"/>
        <v>DROGALIDER 31 (10256)</v>
      </c>
      <c r="H834" t="s">
        <v>253</v>
      </c>
      <c r="I834" t="str">
        <f t="shared" si="286"/>
        <v>24/12/2025</v>
      </c>
      <c r="J834" t="str">
        <f t="shared" si="289"/>
        <v>22/12/2025</v>
      </c>
      <c r="K834">
        <v>46015</v>
      </c>
      <c r="N834">
        <v>303</v>
      </c>
      <c r="O834" t="s">
        <v>30</v>
      </c>
      <c r="Q834">
        <v>139.44</v>
      </c>
      <c r="R834" t="str">
        <f>"DROGALIDER 31 (10256)"</f>
        <v>DROGALIDER 31 (10256)</v>
      </c>
      <c r="S834" t="s">
        <v>31</v>
      </c>
      <c r="T834">
        <v>3601</v>
      </c>
      <c r="U834">
        <v>3126</v>
      </c>
      <c r="V834" t="s">
        <v>22</v>
      </c>
    </row>
    <row r="835" spans="1:22">
      <c r="A835" t="str">
        <f t="shared" si="290"/>
        <v>24/12/2025</v>
      </c>
      <c r="B835" t="str">
        <f t="shared" ref="B835:B844" si="291">"ENTRADA"</f>
        <v>ENTRADA</v>
      </c>
      <c r="C835" t="str">
        <f t="shared" ref="C835:C844" si="292">"NFSE"</f>
        <v>NFSE</v>
      </c>
      <c r="D835" t="str">
        <f>"4109"</f>
        <v>4109</v>
      </c>
      <c r="E835" t="str">
        <f t="shared" ref="E835:E844" si="293">"1"</f>
        <v>1</v>
      </c>
      <c r="F835" t="str">
        <f t="shared" si="280"/>
        <v>COM</v>
      </c>
      <c r="G835" t="str">
        <f>"PENSE FARMA 22 (10198)"</f>
        <v>PENSE FARMA 22 (10198)</v>
      </c>
      <c r="H835" t="str">
        <f>"Serv.Prest. 15/12/2025 a 21/12/2025 - RPS: 1871 - NFSe: 4109"</f>
        <v>Serv.Prest. 15/12/2025 a 21/12/2025 - RPS: 1871 - NFSe: 4109</v>
      </c>
      <c r="I835" t="str">
        <f t="shared" ref="I835:I866" si="294">("24/12/2025")</f>
        <v>24/12/2025</v>
      </c>
      <c r="J835" t="str">
        <f t="shared" si="289"/>
        <v>22/12/2025</v>
      </c>
      <c r="K835" t="str">
        <f>("24/12/2025")</f>
        <v>24/12/2025</v>
      </c>
      <c r="L835">
        <v>329.18</v>
      </c>
      <c r="M835">
        <v>329.18</v>
      </c>
      <c r="N835">
        <v>303</v>
      </c>
      <c r="O835" t="str">
        <f>"RECEITAS COM ENTREGAS"</f>
        <v>RECEITAS COM ENTREGAS</v>
      </c>
      <c r="P835">
        <v>329.18</v>
      </c>
      <c r="S835" t="str">
        <f>"RECEITAS COM ENTREGAS (303)"</f>
        <v>RECEITAS COM ENTREGAS (303)</v>
      </c>
      <c r="T835">
        <v>3602</v>
      </c>
      <c r="U835">
        <v>3127</v>
      </c>
      <c r="V835" t="s">
        <v>22</v>
      </c>
    </row>
    <row r="836" spans="1:22">
      <c r="A836" t="str">
        <f t="shared" si="290"/>
        <v>24/12/2025</v>
      </c>
      <c r="B836" t="str">
        <f t="shared" si="291"/>
        <v>ENTRADA</v>
      </c>
      <c r="C836" t="str">
        <f t="shared" si="292"/>
        <v>NFSE</v>
      </c>
      <c r="D836" t="str">
        <f>"4109"</f>
        <v>4109</v>
      </c>
      <c r="E836" t="str">
        <f t="shared" si="293"/>
        <v>1</v>
      </c>
      <c r="F836" t="str">
        <f t="shared" si="280"/>
        <v>COM</v>
      </c>
      <c r="G836" t="str">
        <f>"PENSE FARMA 22 (10198)"</f>
        <v>PENSE FARMA 22 (10198)</v>
      </c>
      <c r="H836" t="s">
        <v>254</v>
      </c>
      <c r="I836" t="str">
        <f t="shared" si="294"/>
        <v>24/12/2025</v>
      </c>
      <c r="J836" t="str">
        <f t="shared" si="289"/>
        <v>22/12/2025</v>
      </c>
      <c r="K836">
        <v>46015</v>
      </c>
      <c r="N836">
        <v>303</v>
      </c>
      <c r="O836" t="s">
        <v>30</v>
      </c>
      <c r="Q836">
        <v>329.18</v>
      </c>
      <c r="R836" t="str">
        <f>"PENSE FARMA 22 (10198)"</f>
        <v>PENSE FARMA 22 (10198)</v>
      </c>
      <c r="S836" t="s">
        <v>31</v>
      </c>
      <c r="T836">
        <v>3602</v>
      </c>
      <c r="U836">
        <v>3127</v>
      </c>
      <c r="V836" t="s">
        <v>22</v>
      </c>
    </row>
    <row r="837" spans="1:22">
      <c r="A837" t="str">
        <f t="shared" si="290"/>
        <v>24/12/2025</v>
      </c>
      <c r="B837" t="str">
        <f t="shared" si="291"/>
        <v>ENTRADA</v>
      </c>
      <c r="C837" t="str">
        <f t="shared" si="292"/>
        <v>NFSE</v>
      </c>
      <c r="D837" t="str">
        <f t="shared" ref="D837:D842" si="295">"4114"</f>
        <v>4114</v>
      </c>
      <c r="E837" t="str">
        <f t="shared" si="293"/>
        <v>1</v>
      </c>
      <c r="F837" t="str">
        <f t="shared" si="280"/>
        <v>COM</v>
      </c>
      <c r="G837" t="str">
        <f t="shared" ref="G837:G842" si="296">"DROGALIDER 25 (10246)"</f>
        <v>DROGALIDER 25 (10246)</v>
      </c>
      <c r="H837" t="str">
        <f>"Serv.Prest. 15/12/2025 a 21/12/2025 - RPS: 1876 - NFSe: 4114"</f>
        <v>Serv.Prest. 15/12/2025 a 21/12/2025 - RPS: 1876 - NFSe: 4114</v>
      </c>
      <c r="I837" t="str">
        <f t="shared" si="294"/>
        <v>24/12/2025</v>
      </c>
      <c r="J837" t="str">
        <f t="shared" ref="J837:J842" si="297">("23/12/2025")</f>
        <v>23/12/2025</v>
      </c>
      <c r="K837" t="str">
        <f>("24/12/2025")</f>
        <v>24/12/2025</v>
      </c>
      <c r="L837">
        <v>586</v>
      </c>
      <c r="M837">
        <v>586</v>
      </c>
      <c r="N837">
        <v>303</v>
      </c>
      <c r="O837" t="str">
        <f>"RECEITAS COM ENTREGAS"</f>
        <v>RECEITAS COM ENTREGAS</v>
      </c>
      <c r="P837">
        <v>586</v>
      </c>
      <c r="S837" t="str">
        <f>"RECEITAS COM ENTREGAS (303)"</f>
        <v>RECEITAS COM ENTREGAS (303)</v>
      </c>
      <c r="T837">
        <v>3603</v>
      </c>
      <c r="U837">
        <v>3132</v>
      </c>
      <c r="V837" t="s">
        <v>22</v>
      </c>
    </row>
    <row r="838" spans="1:22">
      <c r="A838" t="str">
        <f t="shared" si="290"/>
        <v>24/12/2025</v>
      </c>
      <c r="B838" t="str">
        <f t="shared" si="291"/>
        <v>ENTRADA</v>
      </c>
      <c r="C838" t="str">
        <f t="shared" si="292"/>
        <v>NFSE</v>
      </c>
      <c r="D838" t="str">
        <f t="shared" si="295"/>
        <v>4114</v>
      </c>
      <c r="E838" t="str">
        <f t="shared" si="293"/>
        <v>1</v>
      </c>
      <c r="F838" t="str">
        <f t="shared" si="280"/>
        <v>COM</v>
      </c>
      <c r="G838" t="str">
        <f t="shared" si="296"/>
        <v>DROGALIDER 25 (10246)</v>
      </c>
      <c r="H838" t="s">
        <v>255</v>
      </c>
      <c r="I838" t="str">
        <f t="shared" si="294"/>
        <v>24/12/2025</v>
      </c>
      <c r="J838" t="str">
        <f t="shared" si="297"/>
        <v>23/12/2025</v>
      </c>
      <c r="K838">
        <v>46015</v>
      </c>
      <c r="N838">
        <v>303</v>
      </c>
      <c r="O838" t="s">
        <v>30</v>
      </c>
      <c r="Q838">
        <v>96.98</v>
      </c>
      <c r="R838" t="str">
        <f>"DROGALIDER 58 (10213)"</f>
        <v>DROGALIDER 58 (10213)</v>
      </c>
      <c r="S838" t="s">
        <v>31</v>
      </c>
      <c r="T838">
        <v>3603</v>
      </c>
      <c r="U838">
        <v>3132</v>
      </c>
      <c r="V838" t="s">
        <v>22</v>
      </c>
    </row>
    <row r="839" spans="1:22">
      <c r="A839" t="str">
        <f t="shared" si="290"/>
        <v>24/12/2025</v>
      </c>
      <c r="B839" t="str">
        <f t="shared" si="291"/>
        <v>ENTRADA</v>
      </c>
      <c r="C839" t="str">
        <f t="shared" si="292"/>
        <v>NFSE</v>
      </c>
      <c r="D839" t="str">
        <f t="shared" si="295"/>
        <v>4114</v>
      </c>
      <c r="E839" t="str">
        <f t="shared" si="293"/>
        <v>1</v>
      </c>
      <c r="F839" t="str">
        <f t="shared" si="280"/>
        <v>COM</v>
      </c>
      <c r="G839" t="str">
        <f t="shared" si="296"/>
        <v>DROGALIDER 25 (10246)</v>
      </c>
      <c r="H839" t="s">
        <v>255</v>
      </c>
      <c r="I839" t="str">
        <f t="shared" si="294"/>
        <v>24/12/2025</v>
      </c>
      <c r="J839" t="str">
        <f t="shared" si="297"/>
        <v>23/12/2025</v>
      </c>
      <c r="K839">
        <v>46015</v>
      </c>
      <c r="N839">
        <v>303</v>
      </c>
      <c r="O839" t="s">
        <v>30</v>
      </c>
      <c r="Q839">
        <v>144.97999999999999</v>
      </c>
      <c r="R839" t="str">
        <f>"DROGALIDER 25 (10246)"</f>
        <v>DROGALIDER 25 (10246)</v>
      </c>
      <c r="S839" t="s">
        <v>31</v>
      </c>
      <c r="T839">
        <v>3603</v>
      </c>
      <c r="U839">
        <v>3132</v>
      </c>
      <c r="V839" t="s">
        <v>22</v>
      </c>
    </row>
    <row r="840" spans="1:22">
      <c r="A840" t="str">
        <f t="shared" si="290"/>
        <v>24/12/2025</v>
      </c>
      <c r="B840" t="str">
        <f t="shared" si="291"/>
        <v>ENTRADA</v>
      </c>
      <c r="C840" t="str">
        <f t="shared" si="292"/>
        <v>NFSE</v>
      </c>
      <c r="D840" t="str">
        <f t="shared" si="295"/>
        <v>4114</v>
      </c>
      <c r="E840" t="str">
        <f t="shared" si="293"/>
        <v>1</v>
      </c>
      <c r="F840" t="str">
        <f t="shared" si="280"/>
        <v>COM</v>
      </c>
      <c r="G840" t="str">
        <f t="shared" si="296"/>
        <v>DROGALIDER 25 (10246)</v>
      </c>
      <c r="H840" t="s">
        <v>255</v>
      </c>
      <c r="I840" t="str">
        <f t="shared" si="294"/>
        <v>24/12/2025</v>
      </c>
      <c r="J840" t="str">
        <f t="shared" si="297"/>
        <v>23/12/2025</v>
      </c>
      <c r="K840">
        <v>46015</v>
      </c>
      <c r="N840">
        <v>303</v>
      </c>
      <c r="O840" t="s">
        <v>30</v>
      </c>
      <c r="Q840">
        <v>150.02000000000001</v>
      </c>
      <c r="R840" t="str">
        <f>"DROGALIDER 46 (10248)"</f>
        <v>DROGALIDER 46 (10248)</v>
      </c>
      <c r="S840" t="s">
        <v>31</v>
      </c>
      <c r="T840">
        <v>3603</v>
      </c>
      <c r="U840">
        <v>3132</v>
      </c>
      <c r="V840" t="s">
        <v>22</v>
      </c>
    </row>
    <row r="841" spans="1:22">
      <c r="A841" t="str">
        <f t="shared" si="290"/>
        <v>24/12/2025</v>
      </c>
      <c r="B841" t="str">
        <f t="shared" si="291"/>
        <v>ENTRADA</v>
      </c>
      <c r="C841" t="str">
        <f t="shared" si="292"/>
        <v>NFSE</v>
      </c>
      <c r="D841" t="str">
        <f t="shared" si="295"/>
        <v>4114</v>
      </c>
      <c r="E841" t="str">
        <f t="shared" si="293"/>
        <v>1</v>
      </c>
      <c r="F841" t="str">
        <f t="shared" si="280"/>
        <v>COM</v>
      </c>
      <c r="G841" t="str">
        <f t="shared" si="296"/>
        <v>DROGALIDER 25 (10246)</v>
      </c>
      <c r="H841" t="s">
        <v>255</v>
      </c>
      <c r="I841" t="str">
        <f t="shared" si="294"/>
        <v>24/12/2025</v>
      </c>
      <c r="J841" t="str">
        <f t="shared" si="297"/>
        <v>23/12/2025</v>
      </c>
      <c r="K841">
        <v>46015</v>
      </c>
      <c r="N841">
        <v>303</v>
      </c>
      <c r="O841" t="s">
        <v>30</v>
      </c>
      <c r="Q841">
        <v>96.98</v>
      </c>
      <c r="R841" t="str">
        <f>"DROGALIDER 64 (10250)"</f>
        <v>DROGALIDER 64 (10250)</v>
      </c>
      <c r="S841" t="s">
        <v>31</v>
      </c>
      <c r="T841">
        <v>3603</v>
      </c>
      <c r="U841">
        <v>3132</v>
      </c>
      <c r="V841" t="s">
        <v>22</v>
      </c>
    </row>
    <row r="842" spans="1:22">
      <c r="A842" t="str">
        <f t="shared" si="290"/>
        <v>24/12/2025</v>
      </c>
      <c r="B842" t="str">
        <f t="shared" si="291"/>
        <v>ENTRADA</v>
      </c>
      <c r="C842" t="str">
        <f t="shared" si="292"/>
        <v>NFSE</v>
      </c>
      <c r="D842" t="str">
        <f t="shared" si="295"/>
        <v>4114</v>
      </c>
      <c r="E842" t="str">
        <f t="shared" si="293"/>
        <v>1</v>
      </c>
      <c r="F842" t="str">
        <f t="shared" si="280"/>
        <v>COM</v>
      </c>
      <c r="G842" t="str">
        <f t="shared" si="296"/>
        <v>DROGALIDER 25 (10246)</v>
      </c>
      <c r="H842" t="s">
        <v>255</v>
      </c>
      <c r="I842" t="str">
        <f t="shared" si="294"/>
        <v>24/12/2025</v>
      </c>
      <c r="J842" t="str">
        <f t="shared" si="297"/>
        <v>23/12/2025</v>
      </c>
      <c r="K842">
        <v>46015</v>
      </c>
      <c r="N842">
        <v>303</v>
      </c>
      <c r="O842" t="s">
        <v>30</v>
      </c>
      <c r="Q842">
        <v>97.04</v>
      </c>
      <c r="R842" t="str">
        <f>"DROGALIDER 66 (10251)"</f>
        <v>DROGALIDER 66 (10251)</v>
      </c>
      <c r="S842" t="s">
        <v>31</v>
      </c>
      <c r="T842">
        <v>3603</v>
      </c>
      <c r="U842">
        <v>3132</v>
      </c>
      <c r="V842" t="s">
        <v>22</v>
      </c>
    </row>
    <row r="843" spans="1:22">
      <c r="A843" t="str">
        <f t="shared" si="290"/>
        <v>24/12/2025</v>
      </c>
      <c r="B843" t="str">
        <f t="shared" si="291"/>
        <v>ENTRADA</v>
      </c>
      <c r="C843" t="str">
        <f t="shared" si="292"/>
        <v>NFSE</v>
      </c>
      <c r="D843" t="str">
        <f>"4073"</f>
        <v>4073</v>
      </c>
      <c r="E843" t="str">
        <f t="shared" si="293"/>
        <v>1</v>
      </c>
      <c r="F843" t="str">
        <f t="shared" si="280"/>
        <v>COM</v>
      </c>
      <c r="G843" t="str">
        <f>"PENSE FARMA 25 (10224)"</f>
        <v>PENSE FARMA 25 (10224)</v>
      </c>
      <c r="H843" t="str">
        <f>"Serv.Prest. 15/12/2025 a 21/12/2025 - RPS: 1835 - NFSe: 4073"</f>
        <v>Serv.Prest. 15/12/2025 a 21/12/2025 - RPS: 1835 - NFSe: 4073</v>
      </c>
      <c r="I843" t="str">
        <f t="shared" si="294"/>
        <v>24/12/2025</v>
      </c>
      <c r="J843" t="str">
        <f>("22/12/2025")</f>
        <v>22/12/2025</v>
      </c>
      <c r="K843" t="str">
        <f>("24/12/2025")</f>
        <v>24/12/2025</v>
      </c>
      <c r="L843">
        <v>320.5</v>
      </c>
      <c r="M843">
        <v>320.5</v>
      </c>
      <c r="N843">
        <v>303</v>
      </c>
      <c r="O843" t="str">
        <f>"RECEITAS COM ENTREGAS"</f>
        <v>RECEITAS COM ENTREGAS</v>
      </c>
      <c r="P843">
        <v>320.5</v>
      </c>
      <c r="S843" t="str">
        <f>"RECEITAS COM ENTREGAS (303)"</f>
        <v>RECEITAS COM ENTREGAS (303)</v>
      </c>
      <c r="T843">
        <v>3734</v>
      </c>
      <c r="U843">
        <v>3091</v>
      </c>
      <c r="V843" t="s">
        <v>22</v>
      </c>
    </row>
    <row r="844" spans="1:22">
      <c r="A844" t="str">
        <f t="shared" si="290"/>
        <v>24/12/2025</v>
      </c>
      <c r="B844" t="str">
        <f t="shared" si="291"/>
        <v>ENTRADA</v>
      </c>
      <c r="C844" t="str">
        <f t="shared" si="292"/>
        <v>NFSE</v>
      </c>
      <c r="D844" t="str">
        <f>"4073"</f>
        <v>4073</v>
      </c>
      <c r="E844" t="str">
        <f t="shared" si="293"/>
        <v>1</v>
      </c>
      <c r="F844" t="str">
        <f t="shared" si="280"/>
        <v>COM</v>
      </c>
      <c r="G844" t="str">
        <f>"PENSE FARMA 25 (10224)"</f>
        <v>PENSE FARMA 25 (10224)</v>
      </c>
      <c r="H844" t="s">
        <v>256</v>
      </c>
      <c r="I844" t="str">
        <f t="shared" si="294"/>
        <v>24/12/2025</v>
      </c>
      <c r="J844" t="str">
        <f>("22/12/2025")</f>
        <v>22/12/2025</v>
      </c>
      <c r="K844">
        <v>46015</v>
      </c>
      <c r="N844">
        <v>303</v>
      </c>
      <c r="O844" t="s">
        <v>30</v>
      </c>
      <c r="Q844">
        <v>320.5</v>
      </c>
      <c r="R844" t="str">
        <f>"PENSE FARMA 25 (10224)"</f>
        <v>PENSE FARMA 25 (10224)</v>
      </c>
      <c r="S844" t="s">
        <v>31</v>
      </c>
      <c r="T844">
        <v>3734</v>
      </c>
      <c r="U844">
        <v>3091</v>
      </c>
      <c r="V844" t="s">
        <v>22</v>
      </c>
    </row>
    <row r="845" spans="1:22">
      <c r="A845" t="str">
        <f t="shared" si="290"/>
        <v>24/12/2025</v>
      </c>
      <c r="B845" t="str">
        <f>"SAÍDA"</f>
        <v>SAÍDA</v>
      </c>
      <c r="C845" t="str">
        <f>"BOLETO"</f>
        <v>BOLETO</v>
      </c>
      <c r="D845" t="str">
        <f>"011125"</f>
        <v>011125</v>
      </c>
      <c r="E845" t="str">
        <f>"2"</f>
        <v>2</v>
      </c>
      <c r="F845" t="str">
        <f t="shared" si="280"/>
        <v>COM</v>
      </c>
      <c r="G845" t="str">
        <f>"CORA SOCIEDADE DE CREDITO, FINANCIAMENTO E INVESTIMENTO (20035)"</f>
        <v>CORA SOCIEDADE DE CREDITO, FINANCIAMENTO E INVESTIMENTO (20035)</v>
      </c>
      <c r="H845" t="str">
        <f>"TAXA BOLETO CORA (23x1,7)"</f>
        <v>TAXA BOLETO CORA (23x1,7)</v>
      </c>
      <c r="I845" t="str">
        <f t="shared" si="294"/>
        <v>24/12/2025</v>
      </c>
      <c r="J845" t="str">
        <f>("01/11/2025")</f>
        <v>01/11/2025</v>
      </c>
      <c r="K845" t="str">
        <f>("24/12/2025")</f>
        <v>24/12/2025</v>
      </c>
      <c r="L845">
        <v>39.1</v>
      </c>
      <c r="M845">
        <v>39.1</v>
      </c>
      <c r="N845">
        <v>401</v>
      </c>
      <c r="O845" t="str">
        <f>"IOF/JUROS/DESP.FINANCEIRA"</f>
        <v>IOF/JUROS/DESP.FINANCEIRA</v>
      </c>
      <c r="P845">
        <v>39.1</v>
      </c>
      <c r="S845" t="str">
        <f>"BANCO CORA (102)"</f>
        <v>BANCO CORA (102)</v>
      </c>
      <c r="T845">
        <v>3735</v>
      </c>
      <c r="U845">
        <v>3290</v>
      </c>
      <c r="V845" t="s">
        <v>22</v>
      </c>
    </row>
    <row r="846" spans="1:22">
      <c r="A846" t="str">
        <f t="shared" si="290"/>
        <v>24/12/2025</v>
      </c>
      <c r="B846" t="str">
        <f>"SAÍDA"</f>
        <v>SAÍDA</v>
      </c>
      <c r="C846" t="str">
        <f>"BOLETO"</f>
        <v>BOLETO</v>
      </c>
      <c r="D846" t="str">
        <f>"011125"</f>
        <v>011125</v>
      </c>
      <c r="E846" t="str">
        <f>"2"</f>
        <v>2</v>
      </c>
      <c r="F846" t="str">
        <f t="shared" si="280"/>
        <v>COM</v>
      </c>
      <c r="G846" t="str">
        <f>"CORA SOCIEDADE DE CREDITO, FINANCIAMENTO E INVESTIMENTO (20035)"</f>
        <v>CORA SOCIEDADE DE CREDITO, FINANCIAMENTO E INVESTIMENTO (20035)</v>
      </c>
      <c r="H846" t="s">
        <v>257</v>
      </c>
      <c r="I846" t="str">
        <f t="shared" si="294"/>
        <v>24/12/2025</v>
      </c>
      <c r="J846" t="str">
        <f>("01/11/2025")</f>
        <v>01/11/2025</v>
      </c>
      <c r="K846">
        <v>46015</v>
      </c>
      <c r="N846">
        <v>401</v>
      </c>
      <c r="O846" t="s">
        <v>34</v>
      </c>
      <c r="Q846">
        <v>39.1</v>
      </c>
      <c r="R846" t="str">
        <f>"CORA SOCIEDADE DE CREDITO, FINANCIAMENTO E INVESTIMENTO (20035)"</f>
        <v>CORA SOCIEDADE DE CREDITO, FINANCIAMENTO E INVESTIMENTO (20035)</v>
      </c>
      <c r="S846" t="s">
        <v>22</v>
      </c>
      <c r="T846">
        <v>3735</v>
      </c>
      <c r="U846">
        <v>3290</v>
      </c>
      <c r="V846" t="s">
        <v>22</v>
      </c>
    </row>
    <row r="847" spans="1:22">
      <c r="A847" t="str">
        <f t="shared" ref="A847:A878" si="298">("26/12/2025")</f>
        <v>26/12/2025</v>
      </c>
      <c r="B847" t="str">
        <f t="shared" ref="B847:B878" si="299">"ENTRADA"</f>
        <v>ENTRADA</v>
      </c>
      <c r="C847" t="str">
        <f t="shared" ref="C847:C878" si="300">"NFSE"</f>
        <v>NFSE</v>
      </c>
      <c r="D847" t="str">
        <f>"4072"</f>
        <v>4072</v>
      </c>
      <c r="E847" t="str">
        <f t="shared" ref="E847:E878" si="301">"1"</f>
        <v>1</v>
      </c>
      <c r="F847" t="str">
        <f t="shared" si="280"/>
        <v>COM</v>
      </c>
      <c r="G847" t="str">
        <f>"FARMACIA ECONOMIZE (10103)"</f>
        <v>FARMACIA ECONOMIZE (10103)</v>
      </c>
      <c r="H847" t="str">
        <f>"Serv.Prest. 15/12/2025 a 21/12/2025 - RPS: 1834 - NFSe: 4072"</f>
        <v>Serv.Prest. 15/12/2025 a 21/12/2025 - RPS: 1834 - NFSe: 4072</v>
      </c>
      <c r="I847" t="str">
        <f t="shared" si="294"/>
        <v>24/12/2025</v>
      </c>
      <c r="J847" t="str">
        <f>("22/12/2025")</f>
        <v>22/12/2025</v>
      </c>
      <c r="K847" t="str">
        <f>("26/12/2025")</f>
        <v>26/12/2025</v>
      </c>
      <c r="L847">
        <v>21.04</v>
      </c>
      <c r="M847">
        <v>21.04</v>
      </c>
      <c r="N847">
        <v>303</v>
      </c>
      <c r="O847" t="str">
        <f>"RECEITAS COM ENTREGAS"</f>
        <v>RECEITAS COM ENTREGAS</v>
      </c>
      <c r="P847">
        <v>21.04</v>
      </c>
      <c r="S847" t="str">
        <f>"RECEITAS COM ENTREGAS (303)"</f>
        <v>RECEITAS COM ENTREGAS (303)</v>
      </c>
      <c r="T847">
        <v>3604</v>
      </c>
      <c r="U847">
        <v>3090</v>
      </c>
      <c r="V847" t="s">
        <v>22</v>
      </c>
    </row>
    <row r="848" spans="1:22">
      <c r="A848" t="str">
        <f t="shared" si="298"/>
        <v>26/12/2025</v>
      </c>
      <c r="B848" t="str">
        <f t="shared" si="299"/>
        <v>ENTRADA</v>
      </c>
      <c r="C848" t="str">
        <f t="shared" si="300"/>
        <v>NFSE</v>
      </c>
      <c r="D848" t="str">
        <f>"4072"</f>
        <v>4072</v>
      </c>
      <c r="E848" t="str">
        <f t="shared" si="301"/>
        <v>1</v>
      </c>
      <c r="F848" t="str">
        <f t="shared" si="280"/>
        <v>COM</v>
      </c>
      <c r="G848" t="str">
        <f>"FARMACIA ECONOMIZE (10103)"</f>
        <v>FARMACIA ECONOMIZE (10103)</v>
      </c>
      <c r="H848" t="s">
        <v>258</v>
      </c>
      <c r="I848" t="str">
        <f t="shared" si="294"/>
        <v>24/12/2025</v>
      </c>
      <c r="J848" t="str">
        <f>("22/12/2025")</f>
        <v>22/12/2025</v>
      </c>
      <c r="K848">
        <v>46017</v>
      </c>
      <c r="N848">
        <v>303</v>
      </c>
      <c r="O848" t="s">
        <v>30</v>
      </c>
      <c r="Q848">
        <v>21.04</v>
      </c>
      <c r="R848" t="str">
        <f>"FARMACIA ECONOMIZE (10103)"</f>
        <v>FARMACIA ECONOMIZE (10103)</v>
      </c>
      <c r="S848" t="s">
        <v>31</v>
      </c>
      <c r="T848">
        <v>3604</v>
      </c>
      <c r="U848">
        <v>3090</v>
      </c>
      <c r="V848" t="s">
        <v>22</v>
      </c>
    </row>
    <row r="849" spans="1:22">
      <c r="A849" t="str">
        <f t="shared" si="298"/>
        <v>26/12/2025</v>
      </c>
      <c r="B849" t="str">
        <f t="shared" si="299"/>
        <v>ENTRADA</v>
      </c>
      <c r="C849" t="str">
        <f t="shared" si="300"/>
        <v>NFSE</v>
      </c>
      <c r="D849" t="str">
        <f>"4065"</f>
        <v>4065</v>
      </c>
      <c r="E849" t="str">
        <f t="shared" si="301"/>
        <v>1</v>
      </c>
      <c r="F849" t="str">
        <f t="shared" si="280"/>
        <v>COM</v>
      </c>
      <c r="G849" t="str">
        <f>"AC FARMA - FLEMINFARMA (10160)"</f>
        <v>AC FARMA - FLEMINFARMA (10160)</v>
      </c>
      <c r="H849" t="str">
        <f>"Serv.Prest. 08/12/2025 a 14/12/2025 - RPS: 1827 - NFSe: 4065"</f>
        <v>Serv.Prest. 08/12/2025 a 14/12/2025 - RPS: 1827 - NFSe: 4065</v>
      </c>
      <c r="I849" t="str">
        <f t="shared" si="294"/>
        <v>24/12/2025</v>
      </c>
      <c r="J849" t="str">
        <f t="shared" ref="J849:J880" si="302">("16/12/2025")</f>
        <v>16/12/2025</v>
      </c>
      <c r="K849" t="str">
        <f>("26/12/2025")</f>
        <v>26/12/2025</v>
      </c>
      <c r="L849">
        <v>229.5</v>
      </c>
      <c r="M849">
        <v>229.5</v>
      </c>
      <c r="N849">
        <v>303</v>
      </c>
      <c r="O849" t="str">
        <f>"RECEITAS COM ENTREGAS"</f>
        <v>RECEITAS COM ENTREGAS</v>
      </c>
      <c r="P849">
        <v>229.5</v>
      </c>
      <c r="S849" t="str">
        <f>"RECEITAS COM ENTREGAS (303)"</f>
        <v>RECEITAS COM ENTREGAS (303)</v>
      </c>
      <c r="T849">
        <v>3605</v>
      </c>
      <c r="U849">
        <v>3080</v>
      </c>
      <c r="V849" t="s">
        <v>22</v>
      </c>
    </row>
    <row r="850" spans="1:22">
      <c r="A850" t="str">
        <f t="shared" si="298"/>
        <v>26/12/2025</v>
      </c>
      <c r="B850" t="str">
        <f t="shared" si="299"/>
        <v>ENTRADA</v>
      </c>
      <c r="C850" t="str">
        <f t="shared" si="300"/>
        <v>NFSE</v>
      </c>
      <c r="D850" t="str">
        <f>"4065"</f>
        <v>4065</v>
      </c>
      <c r="E850" t="str">
        <f t="shared" si="301"/>
        <v>1</v>
      </c>
      <c r="F850" t="str">
        <f t="shared" si="280"/>
        <v>COM</v>
      </c>
      <c r="G850" t="str">
        <f>"AC FARMA - FLEMINFARMA (10160)"</f>
        <v>AC FARMA - FLEMINFARMA (10160)</v>
      </c>
      <c r="H850" t="s">
        <v>259</v>
      </c>
      <c r="I850" t="str">
        <f t="shared" si="294"/>
        <v>24/12/2025</v>
      </c>
      <c r="J850" t="str">
        <f t="shared" si="302"/>
        <v>16/12/2025</v>
      </c>
      <c r="K850">
        <v>46017</v>
      </c>
      <c r="N850">
        <v>303</v>
      </c>
      <c r="O850" t="s">
        <v>30</v>
      </c>
      <c r="Q850">
        <v>221.4</v>
      </c>
      <c r="R850" t="str">
        <f>"AC FARMA -  FLEMINFARMA (10159)"</f>
        <v>AC FARMA -  FLEMINFARMA (10159)</v>
      </c>
      <c r="S850" t="s">
        <v>31</v>
      </c>
      <c r="T850">
        <v>3605</v>
      </c>
      <c r="U850">
        <v>3080</v>
      </c>
      <c r="V850" t="s">
        <v>22</v>
      </c>
    </row>
    <row r="851" spans="1:22">
      <c r="A851" t="str">
        <f t="shared" si="298"/>
        <v>26/12/2025</v>
      </c>
      <c r="B851" t="str">
        <f t="shared" si="299"/>
        <v>ENTRADA</v>
      </c>
      <c r="C851" t="str">
        <f t="shared" si="300"/>
        <v>NFSE</v>
      </c>
      <c r="D851" t="str">
        <f>"4065"</f>
        <v>4065</v>
      </c>
      <c r="E851" t="str">
        <f t="shared" si="301"/>
        <v>1</v>
      </c>
      <c r="F851" t="str">
        <f t="shared" si="280"/>
        <v>COM</v>
      </c>
      <c r="G851" t="str">
        <f>"AC FARMA - FLEMINFARMA (10160)"</f>
        <v>AC FARMA - FLEMINFARMA (10160)</v>
      </c>
      <c r="H851" t="s">
        <v>259</v>
      </c>
      <c r="I851" t="str">
        <f t="shared" si="294"/>
        <v>24/12/2025</v>
      </c>
      <c r="J851" t="str">
        <f t="shared" si="302"/>
        <v>16/12/2025</v>
      </c>
      <c r="K851">
        <v>46017</v>
      </c>
      <c r="N851">
        <v>303</v>
      </c>
      <c r="O851" t="s">
        <v>30</v>
      </c>
      <c r="Q851">
        <v>8.1</v>
      </c>
      <c r="R851" t="str">
        <f>"AC FARMA - FLEMINFARMA (10160)"</f>
        <v>AC FARMA - FLEMINFARMA (10160)</v>
      </c>
      <c r="S851" t="s">
        <v>31</v>
      </c>
      <c r="T851">
        <v>3605</v>
      </c>
      <c r="U851">
        <v>3080</v>
      </c>
      <c r="V851" t="s">
        <v>22</v>
      </c>
    </row>
    <row r="852" spans="1:22">
      <c r="A852" t="str">
        <f t="shared" si="298"/>
        <v>26/12/2025</v>
      </c>
      <c r="B852" t="str">
        <f t="shared" si="299"/>
        <v>ENTRADA</v>
      </c>
      <c r="C852" t="str">
        <f t="shared" si="300"/>
        <v>NFSE</v>
      </c>
      <c r="D852" t="str">
        <f t="shared" ref="D852:D899" si="303">"4066"</f>
        <v>4066</v>
      </c>
      <c r="E852" t="str">
        <f t="shared" si="301"/>
        <v>1</v>
      </c>
      <c r="F852" t="str">
        <f t="shared" si="280"/>
        <v>COM</v>
      </c>
      <c r="G852" t="str">
        <f t="shared" ref="G852:G899" si="304">"FARMÁCIA INDIANA LJ 1 (10126)"</f>
        <v>FARMÁCIA INDIANA LJ 1 (10126)</v>
      </c>
      <c r="H852" t="str">
        <f>"Serv.Prest. 08/12/2025 a 14/12/2025 - RPS: 1828 - NFSe: 4066"</f>
        <v>Serv.Prest. 08/12/2025 a 14/12/2025 - RPS: 1828 - NFSe: 4066</v>
      </c>
      <c r="I852" t="str">
        <f t="shared" si="294"/>
        <v>24/12/2025</v>
      </c>
      <c r="J852" t="str">
        <f t="shared" si="302"/>
        <v>16/12/2025</v>
      </c>
      <c r="K852" t="str">
        <f>("26/12/2025")</f>
        <v>26/12/2025</v>
      </c>
      <c r="L852">
        <v>13287.04</v>
      </c>
      <c r="M852">
        <v>13287.04</v>
      </c>
      <c r="N852">
        <v>303</v>
      </c>
      <c r="O852" t="str">
        <f>"RECEITAS COM ENTREGAS"</f>
        <v>RECEITAS COM ENTREGAS</v>
      </c>
      <c r="P852">
        <v>13287.04</v>
      </c>
      <c r="S852" t="str">
        <f>"RECEITAS COM ENTREGAS (303)"</f>
        <v>RECEITAS COM ENTREGAS (303)</v>
      </c>
      <c r="T852">
        <v>3606</v>
      </c>
      <c r="U852">
        <v>3081</v>
      </c>
      <c r="V852" t="s">
        <v>22</v>
      </c>
    </row>
    <row r="853" spans="1:22">
      <c r="A853" t="str">
        <f t="shared" si="298"/>
        <v>26/12/2025</v>
      </c>
      <c r="B853" t="str">
        <f t="shared" si="299"/>
        <v>ENTRADA</v>
      </c>
      <c r="C853" t="str">
        <f t="shared" si="300"/>
        <v>NFSE</v>
      </c>
      <c r="D853" t="str">
        <f t="shared" si="303"/>
        <v>4066</v>
      </c>
      <c r="E853" t="str">
        <f t="shared" si="301"/>
        <v>1</v>
      </c>
      <c r="F853" t="str">
        <f t="shared" si="280"/>
        <v>COM</v>
      </c>
      <c r="G853" t="str">
        <f t="shared" si="304"/>
        <v>FARMÁCIA INDIANA LJ 1 (10126)</v>
      </c>
      <c r="H853" t="s">
        <v>260</v>
      </c>
      <c r="I853" t="str">
        <f t="shared" si="294"/>
        <v>24/12/2025</v>
      </c>
      <c r="J853" t="str">
        <f t="shared" si="302"/>
        <v>16/12/2025</v>
      </c>
      <c r="K853">
        <v>46017</v>
      </c>
      <c r="N853">
        <v>303</v>
      </c>
      <c r="O853" t="s">
        <v>30</v>
      </c>
      <c r="Q853">
        <v>2013.01</v>
      </c>
      <c r="R853" t="str">
        <f>"FARMÁCIA INDIANA LJ 06 (10006)"</f>
        <v>FARMÁCIA INDIANA LJ 06 (10006)</v>
      </c>
      <c r="S853" t="s">
        <v>31</v>
      </c>
      <c r="T853">
        <v>3606</v>
      </c>
      <c r="U853">
        <v>3081</v>
      </c>
      <c r="V853" t="s">
        <v>22</v>
      </c>
    </row>
    <row r="854" spans="1:22">
      <c r="A854" t="str">
        <f t="shared" si="298"/>
        <v>26/12/2025</v>
      </c>
      <c r="B854" t="str">
        <f t="shared" si="299"/>
        <v>ENTRADA</v>
      </c>
      <c r="C854" t="str">
        <f t="shared" si="300"/>
        <v>NFSE</v>
      </c>
      <c r="D854" t="str">
        <f t="shared" si="303"/>
        <v>4066</v>
      </c>
      <c r="E854" t="str">
        <f t="shared" si="301"/>
        <v>1</v>
      </c>
      <c r="F854" t="str">
        <f t="shared" si="280"/>
        <v>COM</v>
      </c>
      <c r="G854" t="str">
        <f t="shared" si="304"/>
        <v>FARMÁCIA INDIANA LJ 1 (10126)</v>
      </c>
      <c r="H854" t="s">
        <v>260</v>
      </c>
      <c r="I854" t="str">
        <f t="shared" si="294"/>
        <v>24/12/2025</v>
      </c>
      <c r="J854" t="str">
        <f t="shared" si="302"/>
        <v>16/12/2025</v>
      </c>
      <c r="K854">
        <v>46017</v>
      </c>
      <c r="N854">
        <v>303</v>
      </c>
      <c r="O854" t="s">
        <v>30</v>
      </c>
      <c r="Q854">
        <v>1543.95</v>
      </c>
      <c r="R854" t="str">
        <f>"FARMÁCIA INDIANA LJ 07 (10007)"</f>
        <v>FARMÁCIA INDIANA LJ 07 (10007)</v>
      </c>
      <c r="S854" t="s">
        <v>31</v>
      </c>
      <c r="T854">
        <v>3606</v>
      </c>
      <c r="U854">
        <v>3081</v>
      </c>
      <c r="V854" t="s">
        <v>22</v>
      </c>
    </row>
    <row r="855" spans="1:22">
      <c r="A855" t="str">
        <f t="shared" si="298"/>
        <v>26/12/2025</v>
      </c>
      <c r="B855" t="str">
        <f t="shared" si="299"/>
        <v>ENTRADA</v>
      </c>
      <c r="C855" t="str">
        <f t="shared" si="300"/>
        <v>NFSE</v>
      </c>
      <c r="D855" t="str">
        <f t="shared" si="303"/>
        <v>4066</v>
      </c>
      <c r="E855" t="str">
        <f t="shared" si="301"/>
        <v>1</v>
      </c>
      <c r="F855" t="str">
        <f t="shared" si="280"/>
        <v>COM</v>
      </c>
      <c r="G855" t="str">
        <f t="shared" si="304"/>
        <v>FARMÁCIA INDIANA LJ 1 (10126)</v>
      </c>
      <c r="H855" t="s">
        <v>260</v>
      </c>
      <c r="I855" t="str">
        <f t="shared" si="294"/>
        <v>24/12/2025</v>
      </c>
      <c r="J855" t="str">
        <f t="shared" si="302"/>
        <v>16/12/2025</v>
      </c>
      <c r="K855">
        <v>46017</v>
      </c>
      <c r="N855">
        <v>303</v>
      </c>
      <c r="O855" t="s">
        <v>30</v>
      </c>
      <c r="Q855">
        <v>1066.95</v>
      </c>
      <c r="R855" t="str">
        <f>"FARMÁCIA INDIANA LJ 11 (10008)"</f>
        <v>FARMÁCIA INDIANA LJ 11 (10008)</v>
      </c>
      <c r="S855" t="s">
        <v>31</v>
      </c>
      <c r="T855">
        <v>3606</v>
      </c>
      <c r="U855">
        <v>3081</v>
      </c>
      <c r="V855" t="s">
        <v>22</v>
      </c>
    </row>
    <row r="856" spans="1:22">
      <c r="A856" t="str">
        <f t="shared" si="298"/>
        <v>26/12/2025</v>
      </c>
      <c r="B856" t="str">
        <f t="shared" si="299"/>
        <v>ENTRADA</v>
      </c>
      <c r="C856" t="str">
        <f t="shared" si="300"/>
        <v>NFSE</v>
      </c>
      <c r="D856" t="str">
        <f t="shared" si="303"/>
        <v>4066</v>
      </c>
      <c r="E856" t="str">
        <f t="shared" si="301"/>
        <v>1</v>
      </c>
      <c r="F856" t="str">
        <f t="shared" si="280"/>
        <v>COM</v>
      </c>
      <c r="G856" t="str">
        <f t="shared" si="304"/>
        <v>FARMÁCIA INDIANA LJ 1 (10126)</v>
      </c>
      <c r="H856" t="s">
        <v>260</v>
      </c>
      <c r="I856" t="str">
        <f t="shared" si="294"/>
        <v>24/12/2025</v>
      </c>
      <c r="J856" t="str">
        <f t="shared" si="302"/>
        <v>16/12/2025</v>
      </c>
      <c r="K856">
        <v>46017</v>
      </c>
      <c r="N856">
        <v>303</v>
      </c>
      <c r="O856" t="s">
        <v>30</v>
      </c>
      <c r="Q856">
        <v>455.75</v>
      </c>
      <c r="R856" t="str">
        <f>"FARMÁCIA INDIANA LJ 14 (10009)"</f>
        <v>FARMÁCIA INDIANA LJ 14 (10009)</v>
      </c>
      <c r="S856" t="s">
        <v>31</v>
      </c>
      <c r="T856">
        <v>3606</v>
      </c>
      <c r="U856">
        <v>3081</v>
      </c>
      <c r="V856" t="s">
        <v>22</v>
      </c>
    </row>
    <row r="857" spans="1:22">
      <c r="A857" t="str">
        <f t="shared" si="298"/>
        <v>26/12/2025</v>
      </c>
      <c r="B857" t="str">
        <f t="shared" si="299"/>
        <v>ENTRADA</v>
      </c>
      <c r="C857" t="str">
        <f t="shared" si="300"/>
        <v>NFSE</v>
      </c>
      <c r="D857" t="str">
        <f t="shared" si="303"/>
        <v>4066</v>
      </c>
      <c r="E857" t="str">
        <f t="shared" si="301"/>
        <v>1</v>
      </c>
      <c r="F857" t="str">
        <f t="shared" si="280"/>
        <v>COM</v>
      </c>
      <c r="G857" t="str">
        <f t="shared" si="304"/>
        <v>FARMÁCIA INDIANA LJ 1 (10126)</v>
      </c>
      <c r="H857" t="s">
        <v>260</v>
      </c>
      <c r="I857" t="str">
        <f t="shared" si="294"/>
        <v>24/12/2025</v>
      </c>
      <c r="J857" t="str">
        <f t="shared" si="302"/>
        <v>16/12/2025</v>
      </c>
      <c r="K857">
        <v>46017</v>
      </c>
      <c r="N857">
        <v>303</v>
      </c>
      <c r="O857" t="s">
        <v>30</v>
      </c>
      <c r="Q857">
        <v>298.95999999999998</v>
      </c>
      <c r="R857" t="str">
        <f>"FARMÁCIA INDIANA LJ 18 (10011)"</f>
        <v>FARMÁCIA INDIANA LJ 18 (10011)</v>
      </c>
      <c r="S857" t="s">
        <v>31</v>
      </c>
      <c r="T857">
        <v>3606</v>
      </c>
      <c r="U857">
        <v>3081</v>
      </c>
      <c r="V857" t="s">
        <v>22</v>
      </c>
    </row>
    <row r="858" spans="1:22">
      <c r="A858" t="str">
        <f t="shared" si="298"/>
        <v>26/12/2025</v>
      </c>
      <c r="B858" t="str">
        <f t="shared" si="299"/>
        <v>ENTRADA</v>
      </c>
      <c r="C858" t="str">
        <f t="shared" si="300"/>
        <v>NFSE</v>
      </c>
      <c r="D858" t="str">
        <f t="shared" si="303"/>
        <v>4066</v>
      </c>
      <c r="E858" t="str">
        <f t="shared" si="301"/>
        <v>1</v>
      </c>
      <c r="F858" t="str">
        <f t="shared" si="280"/>
        <v>COM</v>
      </c>
      <c r="G858" t="str">
        <f t="shared" si="304"/>
        <v>FARMÁCIA INDIANA LJ 1 (10126)</v>
      </c>
      <c r="H858" t="s">
        <v>260</v>
      </c>
      <c r="I858" t="str">
        <f t="shared" si="294"/>
        <v>24/12/2025</v>
      </c>
      <c r="J858" t="str">
        <f t="shared" si="302"/>
        <v>16/12/2025</v>
      </c>
      <c r="K858">
        <v>46017</v>
      </c>
      <c r="N858">
        <v>303</v>
      </c>
      <c r="O858" t="s">
        <v>30</v>
      </c>
      <c r="Q858">
        <v>382.67</v>
      </c>
      <c r="R858" t="str">
        <f>"FARMÁCIA INDIANA LJ 19 (10012)"</f>
        <v>FARMÁCIA INDIANA LJ 19 (10012)</v>
      </c>
      <c r="S858" t="s">
        <v>31</v>
      </c>
      <c r="T858">
        <v>3606</v>
      </c>
      <c r="U858">
        <v>3081</v>
      </c>
      <c r="V858" t="s">
        <v>22</v>
      </c>
    </row>
    <row r="859" spans="1:22">
      <c r="A859" t="str">
        <f t="shared" si="298"/>
        <v>26/12/2025</v>
      </c>
      <c r="B859" t="str">
        <f t="shared" si="299"/>
        <v>ENTRADA</v>
      </c>
      <c r="C859" t="str">
        <f t="shared" si="300"/>
        <v>NFSE</v>
      </c>
      <c r="D859" t="str">
        <f t="shared" si="303"/>
        <v>4066</v>
      </c>
      <c r="E859" t="str">
        <f t="shared" si="301"/>
        <v>1</v>
      </c>
      <c r="F859" t="str">
        <f t="shared" si="280"/>
        <v>COM</v>
      </c>
      <c r="G859" t="str">
        <f t="shared" si="304"/>
        <v>FARMÁCIA INDIANA LJ 1 (10126)</v>
      </c>
      <c r="H859" t="s">
        <v>260</v>
      </c>
      <c r="I859" t="str">
        <f t="shared" si="294"/>
        <v>24/12/2025</v>
      </c>
      <c r="J859" t="str">
        <f t="shared" si="302"/>
        <v>16/12/2025</v>
      </c>
      <c r="K859">
        <v>46017</v>
      </c>
      <c r="N859">
        <v>303</v>
      </c>
      <c r="O859" t="s">
        <v>30</v>
      </c>
      <c r="Q859">
        <v>604.55999999999995</v>
      </c>
      <c r="R859" t="str">
        <f>"FARMÁCIA INDIANA LJ 40 (10016)"</f>
        <v>FARMÁCIA INDIANA LJ 40 (10016)</v>
      </c>
      <c r="S859" t="s">
        <v>31</v>
      </c>
      <c r="T859">
        <v>3606</v>
      </c>
      <c r="U859">
        <v>3081</v>
      </c>
      <c r="V859" t="s">
        <v>22</v>
      </c>
    </row>
    <row r="860" spans="1:22">
      <c r="A860" t="str">
        <f t="shared" si="298"/>
        <v>26/12/2025</v>
      </c>
      <c r="B860" t="str">
        <f t="shared" si="299"/>
        <v>ENTRADA</v>
      </c>
      <c r="C860" t="str">
        <f t="shared" si="300"/>
        <v>NFSE</v>
      </c>
      <c r="D860" t="str">
        <f t="shared" si="303"/>
        <v>4066</v>
      </c>
      <c r="E860" t="str">
        <f t="shared" si="301"/>
        <v>1</v>
      </c>
      <c r="F860" t="str">
        <f t="shared" si="280"/>
        <v>COM</v>
      </c>
      <c r="G860" t="str">
        <f t="shared" si="304"/>
        <v>FARMÁCIA INDIANA LJ 1 (10126)</v>
      </c>
      <c r="H860" t="s">
        <v>260</v>
      </c>
      <c r="I860" t="str">
        <f t="shared" si="294"/>
        <v>24/12/2025</v>
      </c>
      <c r="J860" t="str">
        <f t="shared" si="302"/>
        <v>16/12/2025</v>
      </c>
      <c r="K860">
        <v>46017</v>
      </c>
      <c r="N860">
        <v>303</v>
      </c>
      <c r="O860" t="s">
        <v>30</v>
      </c>
      <c r="Q860">
        <v>221.89</v>
      </c>
      <c r="R860" t="str">
        <f>"FARMÁCIA INDIANA LJ 59 (10026)"</f>
        <v>FARMÁCIA INDIANA LJ 59 (10026)</v>
      </c>
      <c r="S860" t="s">
        <v>31</v>
      </c>
      <c r="T860">
        <v>3606</v>
      </c>
      <c r="U860">
        <v>3081</v>
      </c>
      <c r="V860" t="s">
        <v>22</v>
      </c>
    </row>
    <row r="861" spans="1:22">
      <c r="A861" t="str">
        <f t="shared" si="298"/>
        <v>26/12/2025</v>
      </c>
      <c r="B861" t="str">
        <f t="shared" si="299"/>
        <v>ENTRADA</v>
      </c>
      <c r="C861" t="str">
        <f t="shared" si="300"/>
        <v>NFSE</v>
      </c>
      <c r="D861" t="str">
        <f t="shared" si="303"/>
        <v>4066</v>
      </c>
      <c r="E861" t="str">
        <f t="shared" si="301"/>
        <v>1</v>
      </c>
      <c r="F861" t="str">
        <f t="shared" si="280"/>
        <v>COM</v>
      </c>
      <c r="G861" t="str">
        <f t="shared" si="304"/>
        <v>FARMÁCIA INDIANA LJ 1 (10126)</v>
      </c>
      <c r="H861" t="s">
        <v>260</v>
      </c>
      <c r="I861" t="str">
        <f t="shared" si="294"/>
        <v>24/12/2025</v>
      </c>
      <c r="J861" t="str">
        <f t="shared" si="302"/>
        <v>16/12/2025</v>
      </c>
      <c r="K861">
        <v>46017</v>
      </c>
      <c r="N861">
        <v>303</v>
      </c>
      <c r="O861" t="s">
        <v>30</v>
      </c>
      <c r="Q861">
        <v>439.8</v>
      </c>
      <c r="R861" t="str">
        <f>"FARMÁCIA INDIANA LJ 61 (10027)"</f>
        <v>FARMÁCIA INDIANA LJ 61 (10027)</v>
      </c>
      <c r="S861" t="s">
        <v>31</v>
      </c>
      <c r="T861">
        <v>3606</v>
      </c>
      <c r="U861">
        <v>3081</v>
      </c>
      <c r="V861" t="s">
        <v>22</v>
      </c>
    </row>
    <row r="862" spans="1:22">
      <c r="A862" t="str">
        <f t="shared" si="298"/>
        <v>26/12/2025</v>
      </c>
      <c r="B862" t="str">
        <f t="shared" si="299"/>
        <v>ENTRADA</v>
      </c>
      <c r="C862" t="str">
        <f t="shared" si="300"/>
        <v>NFSE</v>
      </c>
      <c r="D862" t="str">
        <f t="shared" si="303"/>
        <v>4066</v>
      </c>
      <c r="E862" t="str">
        <f t="shared" si="301"/>
        <v>1</v>
      </c>
      <c r="F862" t="str">
        <f t="shared" si="280"/>
        <v>COM</v>
      </c>
      <c r="G862" t="str">
        <f t="shared" si="304"/>
        <v>FARMÁCIA INDIANA LJ 1 (10126)</v>
      </c>
      <c r="H862" t="s">
        <v>260</v>
      </c>
      <c r="I862" t="str">
        <f t="shared" si="294"/>
        <v>24/12/2025</v>
      </c>
      <c r="J862" t="str">
        <f t="shared" si="302"/>
        <v>16/12/2025</v>
      </c>
      <c r="K862">
        <v>46017</v>
      </c>
      <c r="N862">
        <v>303</v>
      </c>
      <c r="O862" t="s">
        <v>30</v>
      </c>
      <c r="Q862">
        <v>190</v>
      </c>
      <c r="R862" t="str">
        <f>"FARMÁCIA INDIANA LJ 62 (10028)"</f>
        <v>FARMÁCIA INDIANA LJ 62 (10028)</v>
      </c>
      <c r="S862" t="s">
        <v>31</v>
      </c>
      <c r="T862">
        <v>3606</v>
      </c>
      <c r="U862">
        <v>3081</v>
      </c>
      <c r="V862" t="s">
        <v>22</v>
      </c>
    </row>
    <row r="863" spans="1:22">
      <c r="A863" t="str">
        <f t="shared" si="298"/>
        <v>26/12/2025</v>
      </c>
      <c r="B863" t="str">
        <f t="shared" si="299"/>
        <v>ENTRADA</v>
      </c>
      <c r="C863" t="str">
        <f t="shared" si="300"/>
        <v>NFSE</v>
      </c>
      <c r="D863" t="str">
        <f t="shared" si="303"/>
        <v>4066</v>
      </c>
      <c r="E863" t="str">
        <f t="shared" si="301"/>
        <v>1</v>
      </c>
      <c r="F863" t="str">
        <f t="shared" ref="F863:F926" si="305">"COM"</f>
        <v>COM</v>
      </c>
      <c r="G863" t="str">
        <f t="shared" si="304"/>
        <v>FARMÁCIA INDIANA LJ 1 (10126)</v>
      </c>
      <c r="H863" t="s">
        <v>260</v>
      </c>
      <c r="I863" t="str">
        <f t="shared" si="294"/>
        <v>24/12/2025</v>
      </c>
      <c r="J863" t="str">
        <f t="shared" si="302"/>
        <v>16/12/2025</v>
      </c>
      <c r="K863">
        <v>46017</v>
      </c>
      <c r="N863">
        <v>303</v>
      </c>
      <c r="O863" t="s">
        <v>30</v>
      </c>
      <c r="Q863">
        <v>86.37</v>
      </c>
      <c r="R863" t="str">
        <f>"FARMÁCIA INDIANA LJ 64 (10029)"</f>
        <v>FARMÁCIA INDIANA LJ 64 (10029)</v>
      </c>
      <c r="S863" t="s">
        <v>31</v>
      </c>
      <c r="T863">
        <v>3606</v>
      </c>
      <c r="U863">
        <v>3081</v>
      </c>
      <c r="V863" t="s">
        <v>22</v>
      </c>
    </row>
    <row r="864" spans="1:22">
      <c r="A864" t="str">
        <f t="shared" si="298"/>
        <v>26/12/2025</v>
      </c>
      <c r="B864" t="str">
        <f t="shared" si="299"/>
        <v>ENTRADA</v>
      </c>
      <c r="C864" t="str">
        <f t="shared" si="300"/>
        <v>NFSE</v>
      </c>
      <c r="D864" t="str">
        <f t="shared" si="303"/>
        <v>4066</v>
      </c>
      <c r="E864" t="str">
        <f t="shared" si="301"/>
        <v>1</v>
      </c>
      <c r="F864" t="str">
        <f t="shared" si="305"/>
        <v>COM</v>
      </c>
      <c r="G864" t="str">
        <f t="shared" si="304"/>
        <v>FARMÁCIA INDIANA LJ 1 (10126)</v>
      </c>
      <c r="H864" t="s">
        <v>260</v>
      </c>
      <c r="I864" t="str">
        <f t="shared" si="294"/>
        <v>24/12/2025</v>
      </c>
      <c r="J864" t="str">
        <f t="shared" si="302"/>
        <v>16/12/2025</v>
      </c>
      <c r="K864">
        <v>46017</v>
      </c>
      <c r="N864">
        <v>303</v>
      </c>
      <c r="O864" t="s">
        <v>30</v>
      </c>
      <c r="Q864">
        <v>67.760000000000005</v>
      </c>
      <c r="R864" t="str">
        <f>"FARMÁCIA INDIANA LJ 97 (10040)"</f>
        <v>FARMÁCIA INDIANA LJ 97 (10040)</v>
      </c>
      <c r="S864" t="s">
        <v>31</v>
      </c>
      <c r="T864">
        <v>3606</v>
      </c>
      <c r="U864">
        <v>3081</v>
      </c>
      <c r="V864" t="s">
        <v>22</v>
      </c>
    </row>
    <row r="865" spans="1:22">
      <c r="A865" t="str">
        <f t="shared" si="298"/>
        <v>26/12/2025</v>
      </c>
      <c r="B865" t="str">
        <f t="shared" si="299"/>
        <v>ENTRADA</v>
      </c>
      <c r="C865" t="str">
        <f t="shared" si="300"/>
        <v>NFSE</v>
      </c>
      <c r="D865" t="str">
        <f t="shared" si="303"/>
        <v>4066</v>
      </c>
      <c r="E865" t="str">
        <f t="shared" si="301"/>
        <v>1</v>
      </c>
      <c r="F865" t="str">
        <f t="shared" si="305"/>
        <v>COM</v>
      </c>
      <c r="G865" t="str">
        <f t="shared" si="304"/>
        <v>FARMÁCIA INDIANA LJ 1 (10126)</v>
      </c>
      <c r="H865" t="s">
        <v>260</v>
      </c>
      <c r="I865" t="str">
        <f t="shared" si="294"/>
        <v>24/12/2025</v>
      </c>
      <c r="J865" t="str">
        <f t="shared" si="302"/>
        <v>16/12/2025</v>
      </c>
      <c r="K865">
        <v>46017</v>
      </c>
      <c r="N865">
        <v>303</v>
      </c>
      <c r="O865" t="s">
        <v>30</v>
      </c>
      <c r="Q865">
        <v>200.63</v>
      </c>
      <c r="R865" t="str">
        <f>"FARMÁCIA INDIANA LJ 100 (10042)"</f>
        <v>FARMÁCIA INDIANA LJ 100 (10042)</v>
      </c>
      <c r="S865" t="s">
        <v>31</v>
      </c>
      <c r="T865">
        <v>3606</v>
      </c>
      <c r="U865">
        <v>3081</v>
      </c>
      <c r="V865" t="s">
        <v>22</v>
      </c>
    </row>
    <row r="866" spans="1:22">
      <c r="A866" t="str">
        <f t="shared" si="298"/>
        <v>26/12/2025</v>
      </c>
      <c r="B866" t="str">
        <f t="shared" si="299"/>
        <v>ENTRADA</v>
      </c>
      <c r="C866" t="str">
        <f t="shared" si="300"/>
        <v>NFSE</v>
      </c>
      <c r="D866" t="str">
        <f t="shared" si="303"/>
        <v>4066</v>
      </c>
      <c r="E866" t="str">
        <f t="shared" si="301"/>
        <v>1</v>
      </c>
      <c r="F866" t="str">
        <f t="shared" si="305"/>
        <v>COM</v>
      </c>
      <c r="G866" t="str">
        <f t="shared" si="304"/>
        <v>FARMÁCIA INDIANA LJ 1 (10126)</v>
      </c>
      <c r="H866" t="s">
        <v>260</v>
      </c>
      <c r="I866" t="str">
        <f t="shared" si="294"/>
        <v>24/12/2025</v>
      </c>
      <c r="J866" t="str">
        <f t="shared" si="302"/>
        <v>16/12/2025</v>
      </c>
      <c r="K866">
        <v>46017</v>
      </c>
      <c r="N866">
        <v>303</v>
      </c>
      <c r="O866" t="s">
        <v>30</v>
      </c>
      <c r="Q866">
        <v>510.22</v>
      </c>
      <c r="R866" t="str">
        <f>"FARMÁCIA INDIANA LJ 101 (10043)"</f>
        <v>FARMÁCIA INDIANA LJ 101 (10043)</v>
      </c>
      <c r="S866" t="s">
        <v>31</v>
      </c>
      <c r="T866">
        <v>3606</v>
      </c>
      <c r="U866">
        <v>3081</v>
      </c>
      <c r="V866" t="s">
        <v>22</v>
      </c>
    </row>
    <row r="867" spans="1:22">
      <c r="A867" t="str">
        <f t="shared" si="298"/>
        <v>26/12/2025</v>
      </c>
      <c r="B867" t="str">
        <f t="shared" si="299"/>
        <v>ENTRADA</v>
      </c>
      <c r="C867" t="str">
        <f t="shared" si="300"/>
        <v>NFSE</v>
      </c>
      <c r="D867" t="str">
        <f t="shared" si="303"/>
        <v>4066</v>
      </c>
      <c r="E867" t="str">
        <f t="shared" si="301"/>
        <v>1</v>
      </c>
      <c r="F867" t="str">
        <f t="shared" si="305"/>
        <v>COM</v>
      </c>
      <c r="G867" t="str">
        <f t="shared" si="304"/>
        <v>FARMÁCIA INDIANA LJ 1 (10126)</v>
      </c>
      <c r="H867" t="s">
        <v>260</v>
      </c>
      <c r="I867" t="str">
        <f t="shared" ref="I867:I898" si="306">("24/12/2025")</f>
        <v>24/12/2025</v>
      </c>
      <c r="J867" t="str">
        <f t="shared" si="302"/>
        <v>16/12/2025</v>
      </c>
      <c r="K867">
        <v>46017</v>
      </c>
      <c r="N867">
        <v>303</v>
      </c>
      <c r="O867" t="s">
        <v>30</v>
      </c>
      <c r="Q867">
        <v>77.06</v>
      </c>
      <c r="R867" t="str">
        <f>"FARMÁCIA INDIANA LJ 103 (10044)"</f>
        <v>FARMÁCIA INDIANA LJ 103 (10044)</v>
      </c>
      <c r="S867" t="s">
        <v>31</v>
      </c>
      <c r="T867">
        <v>3606</v>
      </c>
      <c r="U867">
        <v>3081</v>
      </c>
      <c r="V867" t="s">
        <v>22</v>
      </c>
    </row>
    <row r="868" spans="1:22">
      <c r="A868" t="str">
        <f t="shared" si="298"/>
        <v>26/12/2025</v>
      </c>
      <c r="B868" t="str">
        <f t="shared" si="299"/>
        <v>ENTRADA</v>
      </c>
      <c r="C868" t="str">
        <f t="shared" si="300"/>
        <v>NFSE</v>
      </c>
      <c r="D868" t="str">
        <f t="shared" si="303"/>
        <v>4066</v>
      </c>
      <c r="E868" t="str">
        <f t="shared" si="301"/>
        <v>1</v>
      </c>
      <c r="F868" t="str">
        <f t="shared" si="305"/>
        <v>COM</v>
      </c>
      <c r="G868" t="str">
        <f t="shared" si="304"/>
        <v>FARMÁCIA INDIANA LJ 1 (10126)</v>
      </c>
      <c r="H868" t="s">
        <v>260</v>
      </c>
      <c r="I868" t="str">
        <f t="shared" si="306"/>
        <v>24/12/2025</v>
      </c>
      <c r="J868" t="str">
        <f t="shared" si="302"/>
        <v>16/12/2025</v>
      </c>
      <c r="K868">
        <v>46017</v>
      </c>
      <c r="N868">
        <v>303</v>
      </c>
      <c r="O868" t="s">
        <v>30</v>
      </c>
      <c r="Q868">
        <v>228.54</v>
      </c>
      <c r="R868" t="str">
        <f>"FARMÁCIA INDIANA LJ 109 (10047)"</f>
        <v>FARMÁCIA INDIANA LJ 109 (10047)</v>
      </c>
      <c r="S868" t="s">
        <v>31</v>
      </c>
      <c r="T868">
        <v>3606</v>
      </c>
      <c r="U868">
        <v>3081</v>
      </c>
      <c r="V868" t="s">
        <v>22</v>
      </c>
    </row>
    <row r="869" spans="1:22">
      <c r="A869" t="str">
        <f t="shared" si="298"/>
        <v>26/12/2025</v>
      </c>
      <c r="B869" t="str">
        <f t="shared" si="299"/>
        <v>ENTRADA</v>
      </c>
      <c r="C869" t="str">
        <f t="shared" si="300"/>
        <v>NFSE</v>
      </c>
      <c r="D869" t="str">
        <f t="shared" si="303"/>
        <v>4066</v>
      </c>
      <c r="E869" t="str">
        <f t="shared" si="301"/>
        <v>1</v>
      </c>
      <c r="F869" t="str">
        <f t="shared" si="305"/>
        <v>COM</v>
      </c>
      <c r="G869" t="str">
        <f t="shared" si="304"/>
        <v>FARMÁCIA INDIANA LJ 1 (10126)</v>
      </c>
      <c r="H869" t="s">
        <v>260</v>
      </c>
      <c r="I869" t="str">
        <f t="shared" si="306"/>
        <v>24/12/2025</v>
      </c>
      <c r="J869" t="str">
        <f t="shared" si="302"/>
        <v>16/12/2025</v>
      </c>
      <c r="K869">
        <v>46017</v>
      </c>
      <c r="N869">
        <v>303</v>
      </c>
      <c r="O869" t="s">
        <v>30</v>
      </c>
      <c r="Q869">
        <v>365.39</v>
      </c>
      <c r="R869" t="str">
        <f>"FARMÁCIA INDIANA LJ 110 (10048)"</f>
        <v>FARMÁCIA INDIANA LJ 110 (10048)</v>
      </c>
      <c r="S869" t="s">
        <v>31</v>
      </c>
      <c r="T869">
        <v>3606</v>
      </c>
      <c r="U869">
        <v>3081</v>
      </c>
      <c r="V869" t="s">
        <v>22</v>
      </c>
    </row>
    <row r="870" spans="1:22">
      <c r="A870" t="str">
        <f t="shared" si="298"/>
        <v>26/12/2025</v>
      </c>
      <c r="B870" t="str">
        <f t="shared" si="299"/>
        <v>ENTRADA</v>
      </c>
      <c r="C870" t="str">
        <f t="shared" si="300"/>
        <v>NFSE</v>
      </c>
      <c r="D870" t="str">
        <f t="shared" si="303"/>
        <v>4066</v>
      </c>
      <c r="E870" t="str">
        <f t="shared" si="301"/>
        <v>1</v>
      </c>
      <c r="F870" t="str">
        <f t="shared" si="305"/>
        <v>COM</v>
      </c>
      <c r="G870" t="str">
        <f t="shared" si="304"/>
        <v>FARMÁCIA INDIANA LJ 1 (10126)</v>
      </c>
      <c r="H870" t="s">
        <v>260</v>
      </c>
      <c r="I870" t="str">
        <f t="shared" si="306"/>
        <v>24/12/2025</v>
      </c>
      <c r="J870" t="str">
        <f t="shared" si="302"/>
        <v>16/12/2025</v>
      </c>
      <c r="K870">
        <v>46017</v>
      </c>
      <c r="N870">
        <v>303</v>
      </c>
      <c r="O870" t="s">
        <v>30</v>
      </c>
      <c r="Q870">
        <v>65.11</v>
      </c>
      <c r="R870" t="str">
        <f>"FARMÁCIA INDIANA LJ 111 (10049)"</f>
        <v>FARMÁCIA INDIANA LJ 111 (10049)</v>
      </c>
      <c r="S870" t="s">
        <v>31</v>
      </c>
      <c r="T870">
        <v>3606</v>
      </c>
      <c r="U870">
        <v>3081</v>
      </c>
      <c r="V870" t="s">
        <v>22</v>
      </c>
    </row>
    <row r="871" spans="1:22">
      <c r="A871" t="str">
        <f t="shared" si="298"/>
        <v>26/12/2025</v>
      </c>
      <c r="B871" t="str">
        <f t="shared" si="299"/>
        <v>ENTRADA</v>
      </c>
      <c r="C871" t="str">
        <f t="shared" si="300"/>
        <v>NFSE</v>
      </c>
      <c r="D871" t="str">
        <f t="shared" si="303"/>
        <v>4066</v>
      </c>
      <c r="E871" t="str">
        <f t="shared" si="301"/>
        <v>1</v>
      </c>
      <c r="F871" t="str">
        <f t="shared" si="305"/>
        <v>COM</v>
      </c>
      <c r="G871" t="str">
        <f t="shared" si="304"/>
        <v>FARMÁCIA INDIANA LJ 1 (10126)</v>
      </c>
      <c r="H871" t="s">
        <v>260</v>
      </c>
      <c r="I871" t="str">
        <f t="shared" si="306"/>
        <v>24/12/2025</v>
      </c>
      <c r="J871" t="str">
        <f t="shared" si="302"/>
        <v>16/12/2025</v>
      </c>
      <c r="K871">
        <v>46017</v>
      </c>
      <c r="N871">
        <v>303</v>
      </c>
      <c r="O871" t="s">
        <v>30</v>
      </c>
      <c r="Q871">
        <v>99.65</v>
      </c>
      <c r="R871" t="str">
        <f>"FARMÁCIA INDIANA LJ 112 (10050)"</f>
        <v>FARMÁCIA INDIANA LJ 112 (10050)</v>
      </c>
      <c r="S871" t="s">
        <v>31</v>
      </c>
      <c r="T871">
        <v>3606</v>
      </c>
      <c r="U871">
        <v>3081</v>
      </c>
      <c r="V871" t="s">
        <v>22</v>
      </c>
    </row>
    <row r="872" spans="1:22">
      <c r="A872" t="str">
        <f t="shared" si="298"/>
        <v>26/12/2025</v>
      </c>
      <c r="B872" t="str">
        <f t="shared" si="299"/>
        <v>ENTRADA</v>
      </c>
      <c r="C872" t="str">
        <f t="shared" si="300"/>
        <v>NFSE</v>
      </c>
      <c r="D872" t="str">
        <f t="shared" si="303"/>
        <v>4066</v>
      </c>
      <c r="E872" t="str">
        <f t="shared" si="301"/>
        <v>1</v>
      </c>
      <c r="F872" t="str">
        <f t="shared" si="305"/>
        <v>COM</v>
      </c>
      <c r="G872" t="str">
        <f t="shared" si="304"/>
        <v>FARMÁCIA INDIANA LJ 1 (10126)</v>
      </c>
      <c r="H872" t="s">
        <v>260</v>
      </c>
      <c r="I872" t="str">
        <f t="shared" si="306"/>
        <v>24/12/2025</v>
      </c>
      <c r="J872" t="str">
        <f t="shared" si="302"/>
        <v>16/12/2025</v>
      </c>
      <c r="K872">
        <v>46017</v>
      </c>
      <c r="N872">
        <v>303</v>
      </c>
      <c r="O872" t="s">
        <v>30</v>
      </c>
      <c r="Q872">
        <v>99.65</v>
      </c>
      <c r="R872" t="str">
        <f>"FARMÁCIA INDIANA LJ 116 (10051)"</f>
        <v>FARMÁCIA INDIANA LJ 116 (10051)</v>
      </c>
      <c r="S872" t="s">
        <v>31</v>
      </c>
      <c r="T872">
        <v>3606</v>
      </c>
      <c r="U872">
        <v>3081</v>
      </c>
      <c r="V872" t="s">
        <v>22</v>
      </c>
    </row>
    <row r="873" spans="1:22">
      <c r="A873" t="str">
        <f t="shared" si="298"/>
        <v>26/12/2025</v>
      </c>
      <c r="B873" t="str">
        <f t="shared" si="299"/>
        <v>ENTRADA</v>
      </c>
      <c r="C873" t="str">
        <f t="shared" si="300"/>
        <v>NFSE</v>
      </c>
      <c r="D873" t="str">
        <f t="shared" si="303"/>
        <v>4066</v>
      </c>
      <c r="E873" t="str">
        <f t="shared" si="301"/>
        <v>1</v>
      </c>
      <c r="F873" t="str">
        <f t="shared" si="305"/>
        <v>COM</v>
      </c>
      <c r="G873" t="str">
        <f t="shared" si="304"/>
        <v>FARMÁCIA INDIANA LJ 1 (10126)</v>
      </c>
      <c r="H873" t="s">
        <v>260</v>
      </c>
      <c r="I873" t="str">
        <f t="shared" si="306"/>
        <v>24/12/2025</v>
      </c>
      <c r="J873" t="str">
        <f t="shared" si="302"/>
        <v>16/12/2025</v>
      </c>
      <c r="K873">
        <v>46017</v>
      </c>
      <c r="N873">
        <v>303</v>
      </c>
      <c r="O873" t="s">
        <v>30</v>
      </c>
      <c r="Q873">
        <v>122.24</v>
      </c>
      <c r="R873" t="str">
        <f>"FARMÁCIA INDIANA LJ 118 (10052)"</f>
        <v>FARMÁCIA INDIANA LJ 118 (10052)</v>
      </c>
      <c r="S873" t="s">
        <v>31</v>
      </c>
      <c r="T873">
        <v>3606</v>
      </c>
      <c r="U873">
        <v>3081</v>
      </c>
      <c r="V873" t="s">
        <v>22</v>
      </c>
    </row>
    <row r="874" spans="1:22">
      <c r="A874" t="str">
        <f t="shared" si="298"/>
        <v>26/12/2025</v>
      </c>
      <c r="B874" t="str">
        <f t="shared" si="299"/>
        <v>ENTRADA</v>
      </c>
      <c r="C874" t="str">
        <f t="shared" si="300"/>
        <v>NFSE</v>
      </c>
      <c r="D874" t="str">
        <f t="shared" si="303"/>
        <v>4066</v>
      </c>
      <c r="E874" t="str">
        <f t="shared" si="301"/>
        <v>1</v>
      </c>
      <c r="F874" t="str">
        <f t="shared" si="305"/>
        <v>COM</v>
      </c>
      <c r="G874" t="str">
        <f t="shared" si="304"/>
        <v>FARMÁCIA INDIANA LJ 1 (10126)</v>
      </c>
      <c r="H874" t="s">
        <v>260</v>
      </c>
      <c r="I874" t="str">
        <f t="shared" si="306"/>
        <v>24/12/2025</v>
      </c>
      <c r="J874" t="str">
        <f t="shared" si="302"/>
        <v>16/12/2025</v>
      </c>
      <c r="K874">
        <v>46017</v>
      </c>
      <c r="N874">
        <v>303</v>
      </c>
      <c r="O874" t="s">
        <v>30</v>
      </c>
      <c r="Q874">
        <v>99.65</v>
      </c>
      <c r="R874" t="str">
        <f>"FARMÁCIA INDIANA LJ 121 (10054)"</f>
        <v>FARMÁCIA INDIANA LJ 121 (10054)</v>
      </c>
      <c r="S874" t="s">
        <v>31</v>
      </c>
      <c r="T874">
        <v>3606</v>
      </c>
      <c r="U874">
        <v>3081</v>
      </c>
      <c r="V874" t="s">
        <v>22</v>
      </c>
    </row>
    <row r="875" spans="1:22">
      <c r="A875" t="str">
        <f t="shared" si="298"/>
        <v>26/12/2025</v>
      </c>
      <c r="B875" t="str">
        <f t="shared" si="299"/>
        <v>ENTRADA</v>
      </c>
      <c r="C875" t="str">
        <f t="shared" si="300"/>
        <v>NFSE</v>
      </c>
      <c r="D875" t="str">
        <f t="shared" si="303"/>
        <v>4066</v>
      </c>
      <c r="E875" t="str">
        <f t="shared" si="301"/>
        <v>1</v>
      </c>
      <c r="F875" t="str">
        <f t="shared" si="305"/>
        <v>COM</v>
      </c>
      <c r="G875" t="str">
        <f t="shared" si="304"/>
        <v>FARMÁCIA INDIANA LJ 1 (10126)</v>
      </c>
      <c r="H875" t="s">
        <v>260</v>
      </c>
      <c r="I875" t="str">
        <f t="shared" si="306"/>
        <v>24/12/2025</v>
      </c>
      <c r="J875" t="str">
        <f t="shared" si="302"/>
        <v>16/12/2025</v>
      </c>
      <c r="K875">
        <v>46017</v>
      </c>
      <c r="N875">
        <v>303</v>
      </c>
      <c r="O875" t="s">
        <v>30</v>
      </c>
      <c r="Q875">
        <v>99.65</v>
      </c>
      <c r="R875" t="str">
        <f>"FARMÁCIA INDIANA LJ 128 (10057)"</f>
        <v>FARMÁCIA INDIANA LJ 128 (10057)</v>
      </c>
      <c r="S875" t="s">
        <v>31</v>
      </c>
      <c r="T875">
        <v>3606</v>
      </c>
      <c r="U875">
        <v>3081</v>
      </c>
      <c r="V875" t="s">
        <v>22</v>
      </c>
    </row>
    <row r="876" spans="1:22">
      <c r="A876" t="str">
        <f t="shared" si="298"/>
        <v>26/12/2025</v>
      </c>
      <c r="B876" t="str">
        <f t="shared" si="299"/>
        <v>ENTRADA</v>
      </c>
      <c r="C876" t="str">
        <f t="shared" si="300"/>
        <v>NFSE</v>
      </c>
      <c r="D876" t="str">
        <f t="shared" si="303"/>
        <v>4066</v>
      </c>
      <c r="E876" t="str">
        <f t="shared" si="301"/>
        <v>1</v>
      </c>
      <c r="F876" t="str">
        <f t="shared" si="305"/>
        <v>COM</v>
      </c>
      <c r="G876" t="str">
        <f t="shared" si="304"/>
        <v>FARMÁCIA INDIANA LJ 1 (10126)</v>
      </c>
      <c r="H876" t="s">
        <v>260</v>
      </c>
      <c r="I876" t="str">
        <f t="shared" si="306"/>
        <v>24/12/2025</v>
      </c>
      <c r="J876" t="str">
        <f t="shared" si="302"/>
        <v>16/12/2025</v>
      </c>
      <c r="K876">
        <v>46017</v>
      </c>
      <c r="N876">
        <v>303</v>
      </c>
      <c r="O876" t="s">
        <v>30</v>
      </c>
      <c r="Q876">
        <v>18.600000000000001</v>
      </c>
      <c r="R876" t="str">
        <f>"FARMÁCIA INDIANA LJ 140 (10064)"</f>
        <v>FARMÁCIA INDIANA LJ 140 (10064)</v>
      </c>
      <c r="S876" t="s">
        <v>31</v>
      </c>
      <c r="T876">
        <v>3606</v>
      </c>
      <c r="U876">
        <v>3081</v>
      </c>
      <c r="V876" t="s">
        <v>22</v>
      </c>
    </row>
    <row r="877" spans="1:22">
      <c r="A877" t="str">
        <f t="shared" si="298"/>
        <v>26/12/2025</v>
      </c>
      <c r="B877" t="str">
        <f t="shared" si="299"/>
        <v>ENTRADA</v>
      </c>
      <c r="C877" t="str">
        <f t="shared" si="300"/>
        <v>NFSE</v>
      </c>
      <c r="D877" t="str">
        <f t="shared" si="303"/>
        <v>4066</v>
      </c>
      <c r="E877" t="str">
        <f t="shared" si="301"/>
        <v>1</v>
      </c>
      <c r="F877" t="str">
        <f t="shared" si="305"/>
        <v>COM</v>
      </c>
      <c r="G877" t="str">
        <f t="shared" si="304"/>
        <v>FARMÁCIA INDIANA LJ 1 (10126)</v>
      </c>
      <c r="H877" t="s">
        <v>260</v>
      </c>
      <c r="I877" t="str">
        <f t="shared" si="306"/>
        <v>24/12/2025</v>
      </c>
      <c r="J877" t="str">
        <f t="shared" si="302"/>
        <v>16/12/2025</v>
      </c>
      <c r="K877">
        <v>46017</v>
      </c>
      <c r="N877">
        <v>303</v>
      </c>
      <c r="O877" t="s">
        <v>30</v>
      </c>
      <c r="Q877">
        <v>13.29</v>
      </c>
      <c r="R877" t="str">
        <f>"FARMÁCIA INDIANA LJ 141 (10065)"</f>
        <v>FARMÁCIA INDIANA LJ 141 (10065)</v>
      </c>
      <c r="S877" t="s">
        <v>31</v>
      </c>
      <c r="T877">
        <v>3606</v>
      </c>
      <c r="U877">
        <v>3081</v>
      </c>
      <c r="V877" t="s">
        <v>22</v>
      </c>
    </row>
    <row r="878" spans="1:22">
      <c r="A878" t="str">
        <f t="shared" si="298"/>
        <v>26/12/2025</v>
      </c>
      <c r="B878" t="str">
        <f t="shared" si="299"/>
        <v>ENTRADA</v>
      </c>
      <c r="C878" t="str">
        <f t="shared" si="300"/>
        <v>NFSE</v>
      </c>
      <c r="D878" t="str">
        <f t="shared" si="303"/>
        <v>4066</v>
      </c>
      <c r="E878" t="str">
        <f t="shared" si="301"/>
        <v>1</v>
      </c>
      <c r="F878" t="str">
        <f t="shared" si="305"/>
        <v>COM</v>
      </c>
      <c r="G878" t="str">
        <f t="shared" si="304"/>
        <v>FARMÁCIA INDIANA LJ 1 (10126)</v>
      </c>
      <c r="H878" t="s">
        <v>260</v>
      </c>
      <c r="I878" t="str">
        <f t="shared" si="306"/>
        <v>24/12/2025</v>
      </c>
      <c r="J878" t="str">
        <f t="shared" si="302"/>
        <v>16/12/2025</v>
      </c>
      <c r="K878">
        <v>46017</v>
      </c>
      <c r="N878">
        <v>303</v>
      </c>
      <c r="O878" t="s">
        <v>30</v>
      </c>
      <c r="Q878">
        <v>764</v>
      </c>
      <c r="R878" t="str">
        <f>"FARMÁCIA INDIANA LJ 142 (10066)"</f>
        <v>FARMÁCIA INDIANA LJ 142 (10066)</v>
      </c>
      <c r="S878" t="s">
        <v>31</v>
      </c>
      <c r="T878">
        <v>3606</v>
      </c>
      <c r="U878">
        <v>3081</v>
      </c>
      <c r="V878" t="s">
        <v>22</v>
      </c>
    </row>
    <row r="879" spans="1:22">
      <c r="A879" t="str">
        <f t="shared" ref="A879:A910" si="307">("26/12/2025")</f>
        <v>26/12/2025</v>
      </c>
      <c r="B879" t="str">
        <f t="shared" ref="B879:B910" si="308">"ENTRADA"</f>
        <v>ENTRADA</v>
      </c>
      <c r="C879" t="str">
        <f t="shared" ref="C879:C910" si="309">"NFSE"</f>
        <v>NFSE</v>
      </c>
      <c r="D879" t="str">
        <f t="shared" si="303"/>
        <v>4066</v>
      </c>
      <c r="E879" t="str">
        <f t="shared" ref="E879:E910" si="310">"1"</f>
        <v>1</v>
      </c>
      <c r="F879" t="str">
        <f t="shared" si="305"/>
        <v>COM</v>
      </c>
      <c r="G879" t="str">
        <f t="shared" si="304"/>
        <v>FARMÁCIA INDIANA LJ 1 (10126)</v>
      </c>
      <c r="H879" t="s">
        <v>260</v>
      </c>
      <c r="I879" t="str">
        <f t="shared" si="306"/>
        <v>24/12/2025</v>
      </c>
      <c r="J879" t="str">
        <f t="shared" si="302"/>
        <v>16/12/2025</v>
      </c>
      <c r="K879">
        <v>46017</v>
      </c>
      <c r="N879">
        <v>303</v>
      </c>
      <c r="O879" t="s">
        <v>30</v>
      </c>
      <c r="Q879">
        <v>67.760000000000005</v>
      </c>
      <c r="R879" t="str">
        <f>"FARMÁCIA INDIANA LJ 143 (10067)"</f>
        <v>FARMÁCIA INDIANA LJ 143 (10067)</v>
      </c>
      <c r="S879" t="s">
        <v>31</v>
      </c>
      <c r="T879">
        <v>3606</v>
      </c>
      <c r="U879">
        <v>3081</v>
      </c>
      <c r="V879" t="s">
        <v>22</v>
      </c>
    </row>
    <row r="880" spans="1:22">
      <c r="A880" t="str">
        <f t="shared" si="307"/>
        <v>26/12/2025</v>
      </c>
      <c r="B880" t="str">
        <f t="shared" si="308"/>
        <v>ENTRADA</v>
      </c>
      <c r="C880" t="str">
        <f t="shared" si="309"/>
        <v>NFSE</v>
      </c>
      <c r="D880" t="str">
        <f t="shared" si="303"/>
        <v>4066</v>
      </c>
      <c r="E880" t="str">
        <f t="shared" si="310"/>
        <v>1</v>
      </c>
      <c r="F880" t="str">
        <f t="shared" si="305"/>
        <v>COM</v>
      </c>
      <c r="G880" t="str">
        <f t="shared" si="304"/>
        <v>FARMÁCIA INDIANA LJ 1 (10126)</v>
      </c>
      <c r="H880" t="s">
        <v>260</v>
      </c>
      <c r="I880" t="str">
        <f t="shared" si="306"/>
        <v>24/12/2025</v>
      </c>
      <c r="J880" t="str">
        <f t="shared" si="302"/>
        <v>16/12/2025</v>
      </c>
      <c r="K880">
        <v>46017</v>
      </c>
      <c r="N880">
        <v>303</v>
      </c>
      <c r="O880" t="s">
        <v>30</v>
      </c>
      <c r="Q880">
        <v>381.34</v>
      </c>
      <c r="R880" t="str">
        <f>"FARMÁCIA INDIANA LJ 152 (10069)"</f>
        <v>FARMÁCIA INDIANA LJ 152 (10069)</v>
      </c>
      <c r="S880" t="s">
        <v>31</v>
      </c>
      <c r="T880">
        <v>3606</v>
      </c>
      <c r="U880">
        <v>3081</v>
      </c>
      <c r="V880" t="s">
        <v>22</v>
      </c>
    </row>
    <row r="881" spans="1:22">
      <c r="A881" t="str">
        <f t="shared" si="307"/>
        <v>26/12/2025</v>
      </c>
      <c r="B881" t="str">
        <f t="shared" si="308"/>
        <v>ENTRADA</v>
      </c>
      <c r="C881" t="str">
        <f t="shared" si="309"/>
        <v>NFSE</v>
      </c>
      <c r="D881" t="str">
        <f t="shared" si="303"/>
        <v>4066</v>
      </c>
      <c r="E881" t="str">
        <f t="shared" si="310"/>
        <v>1</v>
      </c>
      <c r="F881" t="str">
        <f t="shared" si="305"/>
        <v>COM</v>
      </c>
      <c r="G881" t="str">
        <f t="shared" si="304"/>
        <v>FARMÁCIA INDIANA LJ 1 (10126)</v>
      </c>
      <c r="H881" t="s">
        <v>260</v>
      </c>
      <c r="I881" t="str">
        <f t="shared" si="306"/>
        <v>24/12/2025</v>
      </c>
      <c r="J881" t="str">
        <f t="shared" ref="J881:J903" si="311">("16/12/2025")</f>
        <v>16/12/2025</v>
      </c>
      <c r="K881">
        <v>46017</v>
      </c>
      <c r="N881">
        <v>303</v>
      </c>
      <c r="O881" t="s">
        <v>30</v>
      </c>
      <c r="Q881">
        <v>25.25</v>
      </c>
      <c r="R881" t="str">
        <f>"FARMÁCIA INDIANA LJ 154 (10070)"</f>
        <v>FARMÁCIA INDIANA LJ 154 (10070)</v>
      </c>
      <c r="S881" t="s">
        <v>31</v>
      </c>
      <c r="T881">
        <v>3606</v>
      </c>
      <c r="U881">
        <v>3081</v>
      </c>
      <c r="V881" t="s">
        <v>22</v>
      </c>
    </row>
    <row r="882" spans="1:22">
      <c r="A882" t="str">
        <f t="shared" si="307"/>
        <v>26/12/2025</v>
      </c>
      <c r="B882" t="str">
        <f t="shared" si="308"/>
        <v>ENTRADA</v>
      </c>
      <c r="C882" t="str">
        <f t="shared" si="309"/>
        <v>NFSE</v>
      </c>
      <c r="D882" t="str">
        <f t="shared" si="303"/>
        <v>4066</v>
      </c>
      <c r="E882" t="str">
        <f t="shared" si="310"/>
        <v>1</v>
      </c>
      <c r="F882" t="str">
        <f t="shared" si="305"/>
        <v>COM</v>
      </c>
      <c r="G882" t="str">
        <f t="shared" si="304"/>
        <v>FARMÁCIA INDIANA LJ 1 (10126)</v>
      </c>
      <c r="H882" t="s">
        <v>260</v>
      </c>
      <c r="I882" t="str">
        <f t="shared" si="306"/>
        <v>24/12/2025</v>
      </c>
      <c r="J882" t="str">
        <f t="shared" si="311"/>
        <v>16/12/2025</v>
      </c>
      <c r="K882">
        <v>46017</v>
      </c>
      <c r="N882">
        <v>303</v>
      </c>
      <c r="O882" t="s">
        <v>30</v>
      </c>
      <c r="Q882">
        <v>213.92</v>
      </c>
      <c r="R882" t="str">
        <f>"FARMÁCIA INDIANA LJ 171 (10074)"</f>
        <v>FARMÁCIA INDIANA LJ 171 (10074)</v>
      </c>
      <c r="S882" t="s">
        <v>31</v>
      </c>
      <c r="T882">
        <v>3606</v>
      </c>
      <c r="U882">
        <v>3081</v>
      </c>
      <c r="V882" t="s">
        <v>22</v>
      </c>
    </row>
    <row r="883" spans="1:22">
      <c r="A883" t="str">
        <f t="shared" si="307"/>
        <v>26/12/2025</v>
      </c>
      <c r="B883" t="str">
        <f t="shared" si="308"/>
        <v>ENTRADA</v>
      </c>
      <c r="C883" t="str">
        <f t="shared" si="309"/>
        <v>NFSE</v>
      </c>
      <c r="D883" t="str">
        <f t="shared" si="303"/>
        <v>4066</v>
      </c>
      <c r="E883" t="str">
        <f t="shared" si="310"/>
        <v>1</v>
      </c>
      <c r="F883" t="str">
        <f t="shared" si="305"/>
        <v>COM</v>
      </c>
      <c r="G883" t="str">
        <f t="shared" si="304"/>
        <v>FARMÁCIA INDIANA LJ 1 (10126)</v>
      </c>
      <c r="H883" t="s">
        <v>260</v>
      </c>
      <c r="I883" t="str">
        <f t="shared" si="306"/>
        <v>24/12/2025</v>
      </c>
      <c r="J883" t="str">
        <f t="shared" si="311"/>
        <v>16/12/2025</v>
      </c>
      <c r="K883">
        <v>46017</v>
      </c>
      <c r="N883">
        <v>303</v>
      </c>
      <c r="O883" t="s">
        <v>30</v>
      </c>
      <c r="Q883">
        <v>82.38</v>
      </c>
      <c r="R883" t="str">
        <f>"FARMÁCIA INDIANA LJ 175 (10076)"</f>
        <v>FARMÁCIA INDIANA LJ 175 (10076)</v>
      </c>
      <c r="S883" t="s">
        <v>31</v>
      </c>
      <c r="T883">
        <v>3606</v>
      </c>
      <c r="U883">
        <v>3081</v>
      </c>
      <c r="V883" t="s">
        <v>22</v>
      </c>
    </row>
    <row r="884" spans="1:22">
      <c r="A884" t="str">
        <f t="shared" si="307"/>
        <v>26/12/2025</v>
      </c>
      <c r="B884" t="str">
        <f t="shared" si="308"/>
        <v>ENTRADA</v>
      </c>
      <c r="C884" t="str">
        <f t="shared" si="309"/>
        <v>NFSE</v>
      </c>
      <c r="D884" t="str">
        <f t="shared" si="303"/>
        <v>4066</v>
      </c>
      <c r="E884" t="str">
        <f t="shared" si="310"/>
        <v>1</v>
      </c>
      <c r="F884" t="str">
        <f t="shared" si="305"/>
        <v>COM</v>
      </c>
      <c r="G884" t="str">
        <f t="shared" si="304"/>
        <v>FARMÁCIA INDIANA LJ 1 (10126)</v>
      </c>
      <c r="H884" t="s">
        <v>260</v>
      </c>
      <c r="I884" t="str">
        <f t="shared" si="306"/>
        <v>24/12/2025</v>
      </c>
      <c r="J884" t="str">
        <f t="shared" si="311"/>
        <v>16/12/2025</v>
      </c>
      <c r="K884">
        <v>46017</v>
      </c>
      <c r="N884">
        <v>303</v>
      </c>
      <c r="O884" t="s">
        <v>30</v>
      </c>
      <c r="Q884">
        <v>50.49</v>
      </c>
      <c r="R884" t="str">
        <f>"FARMÁCIA INDIANA LJ 182 (10079)"</f>
        <v>FARMÁCIA INDIANA LJ 182 (10079)</v>
      </c>
      <c r="S884" t="s">
        <v>31</v>
      </c>
      <c r="T884">
        <v>3606</v>
      </c>
      <c r="U884">
        <v>3081</v>
      </c>
      <c r="V884" t="s">
        <v>22</v>
      </c>
    </row>
    <row r="885" spans="1:22">
      <c r="A885" t="str">
        <f t="shared" si="307"/>
        <v>26/12/2025</v>
      </c>
      <c r="B885" t="str">
        <f t="shared" si="308"/>
        <v>ENTRADA</v>
      </c>
      <c r="C885" t="str">
        <f t="shared" si="309"/>
        <v>NFSE</v>
      </c>
      <c r="D885" t="str">
        <f t="shared" si="303"/>
        <v>4066</v>
      </c>
      <c r="E885" t="str">
        <f t="shared" si="310"/>
        <v>1</v>
      </c>
      <c r="F885" t="str">
        <f t="shared" si="305"/>
        <v>COM</v>
      </c>
      <c r="G885" t="str">
        <f t="shared" si="304"/>
        <v>FARMÁCIA INDIANA LJ 1 (10126)</v>
      </c>
      <c r="H885" t="s">
        <v>260</v>
      </c>
      <c r="I885" t="str">
        <f t="shared" si="306"/>
        <v>24/12/2025</v>
      </c>
      <c r="J885" t="str">
        <f t="shared" si="311"/>
        <v>16/12/2025</v>
      </c>
      <c r="K885">
        <v>46017</v>
      </c>
      <c r="N885">
        <v>303</v>
      </c>
      <c r="O885" t="s">
        <v>30</v>
      </c>
      <c r="Q885">
        <v>39.86</v>
      </c>
      <c r="R885" t="str">
        <f>"FARMÁCIA INDIANA LJ 184 (10080)"</f>
        <v>FARMÁCIA INDIANA LJ 184 (10080)</v>
      </c>
      <c r="S885" t="s">
        <v>31</v>
      </c>
      <c r="T885">
        <v>3606</v>
      </c>
      <c r="U885">
        <v>3081</v>
      </c>
      <c r="V885" t="s">
        <v>22</v>
      </c>
    </row>
    <row r="886" spans="1:22">
      <c r="A886" t="str">
        <f t="shared" si="307"/>
        <v>26/12/2025</v>
      </c>
      <c r="B886" t="str">
        <f t="shared" si="308"/>
        <v>ENTRADA</v>
      </c>
      <c r="C886" t="str">
        <f t="shared" si="309"/>
        <v>NFSE</v>
      </c>
      <c r="D886" t="str">
        <f t="shared" si="303"/>
        <v>4066</v>
      </c>
      <c r="E886" t="str">
        <f t="shared" si="310"/>
        <v>1</v>
      </c>
      <c r="F886" t="str">
        <f t="shared" si="305"/>
        <v>COM</v>
      </c>
      <c r="G886" t="str">
        <f t="shared" si="304"/>
        <v>FARMÁCIA INDIANA LJ 1 (10126)</v>
      </c>
      <c r="H886" t="s">
        <v>260</v>
      </c>
      <c r="I886" t="str">
        <f t="shared" si="306"/>
        <v>24/12/2025</v>
      </c>
      <c r="J886" t="str">
        <f t="shared" si="311"/>
        <v>16/12/2025</v>
      </c>
      <c r="K886">
        <v>46017</v>
      </c>
      <c r="N886">
        <v>303</v>
      </c>
      <c r="O886" t="s">
        <v>30</v>
      </c>
      <c r="Q886">
        <v>50.49</v>
      </c>
      <c r="R886" t="str">
        <f>"FARMÁCIA INDIANA LJ 186 (10081)"</f>
        <v>FARMÁCIA INDIANA LJ 186 (10081)</v>
      </c>
      <c r="S886" t="s">
        <v>31</v>
      </c>
      <c r="T886">
        <v>3606</v>
      </c>
      <c r="U886">
        <v>3081</v>
      </c>
      <c r="V886" t="s">
        <v>22</v>
      </c>
    </row>
    <row r="887" spans="1:22">
      <c r="A887" t="str">
        <f t="shared" si="307"/>
        <v>26/12/2025</v>
      </c>
      <c r="B887" t="str">
        <f t="shared" si="308"/>
        <v>ENTRADA</v>
      </c>
      <c r="C887" t="str">
        <f t="shared" si="309"/>
        <v>NFSE</v>
      </c>
      <c r="D887" t="str">
        <f t="shared" si="303"/>
        <v>4066</v>
      </c>
      <c r="E887" t="str">
        <f t="shared" si="310"/>
        <v>1</v>
      </c>
      <c r="F887" t="str">
        <f t="shared" si="305"/>
        <v>COM</v>
      </c>
      <c r="G887" t="str">
        <f t="shared" si="304"/>
        <v>FARMÁCIA INDIANA LJ 1 (10126)</v>
      </c>
      <c r="H887" t="s">
        <v>260</v>
      </c>
      <c r="I887" t="str">
        <f t="shared" si="306"/>
        <v>24/12/2025</v>
      </c>
      <c r="J887" t="str">
        <f t="shared" si="311"/>
        <v>16/12/2025</v>
      </c>
      <c r="K887">
        <v>46017</v>
      </c>
      <c r="N887">
        <v>303</v>
      </c>
      <c r="O887" t="s">
        <v>30</v>
      </c>
      <c r="Q887">
        <v>183.36</v>
      </c>
      <c r="R887" t="str">
        <f>"FARMÁCIA INDIANA LJ 192 (10082)"</f>
        <v>FARMÁCIA INDIANA LJ 192 (10082)</v>
      </c>
      <c r="S887" t="s">
        <v>31</v>
      </c>
      <c r="T887">
        <v>3606</v>
      </c>
      <c r="U887">
        <v>3081</v>
      </c>
      <c r="V887" t="s">
        <v>22</v>
      </c>
    </row>
    <row r="888" spans="1:22">
      <c r="A888" t="str">
        <f t="shared" si="307"/>
        <v>26/12/2025</v>
      </c>
      <c r="B888" t="str">
        <f t="shared" si="308"/>
        <v>ENTRADA</v>
      </c>
      <c r="C888" t="str">
        <f t="shared" si="309"/>
        <v>NFSE</v>
      </c>
      <c r="D888" t="str">
        <f t="shared" si="303"/>
        <v>4066</v>
      </c>
      <c r="E888" t="str">
        <f t="shared" si="310"/>
        <v>1</v>
      </c>
      <c r="F888" t="str">
        <f t="shared" si="305"/>
        <v>COM</v>
      </c>
      <c r="G888" t="str">
        <f t="shared" si="304"/>
        <v>FARMÁCIA INDIANA LJ 1 (10126)</v>
      </c>
      <c r="H888" t="s">
        <v>260</v>
      </c>
      <c r="I888" t="str">
        <f t="shared" si="306"/>
        <v>24/12/2025</v>
      </c>
      <c r="J888" t="str">
        <f t="shared" si="311"/>
        <v>16/12/2025</v>
      </c>
      <c r="K888">
        <v>46017</v>
      </c>
      <c r="N888">
        <v>303</v>
      </c>
      <c r="O888" t="s">
        <v>30</v>
      </c>
      <c r="Q888">
        <v>39.86</v>
      </c>
      <c r="R888" t="str">
        <f>"FARMÁCIA INDIANA LJ 195 (10083)"</f>
        <v>FARMÁCIA INDIANA LJ 195 (10083)</v>
      </c>
      <c r="S888" t="s">
        <v>31</v>
      </c>
      <c r="T888">
        <v>3606</v>
      </c>
      <c r="U888">
        <v>3081</v>
      </c>
      <c r="V888" t="s">
        <v>22</v>
      </c>
    </row>
    <row r="889" spans="1:22">
      <c r="A889" t="str">
        <f t="shared" si="307"/>
        <v>26/12/2025</v>
      </c>
      <c r="B889" t="str">
        <f t="shared" si="308"/>
        <v>ENTRADA</v>
      </c>
      <c r="C889" t="str">
        <f t="shared" si="309"/>
        <v>NFSE</v>
      </c>
      <c r="D889" t="str">
        <f t="shared" si="303"/>
        <v>4066</v>
      </c>
      <c r="E889" t="str">
        <f t="shared" si="310"/>
        <v>1</v>
      </c>
      <c r="F889" t="str">
        <f t="shared" si="305"/>
        <v>COM</v>
      </c>
      <c r="G889" t="str">
        <f t="shared" si="304"/>
        <v>FARMÁCIA INDIANA LJ 1 (10126)</v>
      </c>
      <c r="H889" t="s">
        <v>260</v>
      </c>
      <c r="I889" t="str">
        <f t="shared" si="306"/>
        <v>24/12/2025</v>
      </c>
      <c r="J889" t="str">
        <f t="shared" si="311"/>
        <v>16/12/2025</v>
      </c>
      <c r="K889">
        <v>46017</v>
      </c>
      <c r="N889">
        <v>303</v>
      </c>
      <c r="O889" t="s">
        <v>30</v>
      </c>
      <c r="Q889">
        <v>99.65</v>
      </c>
      <c r="R889" t="str">
        <f>"FARMÁCIA INDIANA LJ 202 (10085)"</f>
        <v>FARMÁCIA INDIANA LJ 202 (10085)</v>
      </c>
      <c r="S889" t="s">
        <v>31</v>
      </c>
      <c r="T889">
        <v>3606</v>
      </c>
      <c r="U889">
        <v>3081</v>
      </c>
      <c r="V889" t="s">
        <v>22</v>
      </c>
    </row>
    <row r="890" spans="1:22">
      <c r="A890" t="str">
        <f t="shared" si="307"/>
        <v>26/12/2025</v>
      </c>
      <c r="B890" t="str">
        <f t="shared" si="308"/>
        <v>ENTRADA</v>
      </c>
      <c r="C890" t="str">
        <f t="shared" si="309"/>
        <v>NFSE</v>
      </c>
      <c r="D890" t="str">
        <f t="shared" si="303"/>
        <v>4066</v>
      </c>
      <c r="E890" t="str">
        <f t="shared" si="310"/>
        <v>1</v>
      </c>
      <c r="F890" t="str">
        <f t="shared" si="305"/>
        <v>COM</v>
      </c>
      <c r="G890" t="str">
        <f t="shared" si="304"/>
        <v>FARMÁCIA INDIANA LJ 1 (10126)</v>
      </c>
      <c r="H890" t="s">
        <v>260</v>
      </c>
      <c r="I890" t="str">
        <f t="shared" si="306"/>
        <v>24/12/2025</v>
      </c>
      <c r="J890" t="str">
        <f t="shared" si="311"/>
        <v>16/12/2025</v>
      </c>
      <c r="K890">
        <v>46017</v>
      </c>
      <c r="N890">
        <v>303</v>
      </c>
      <c r="O890" t="s">
        <v>30</v>
      </c>
      <c r="Q890">
        <v>79.72</v>
      </c>
      <c r="R890" t="str">
        <f>"FARMÁCIA INDIANA LJ 204 (10087)"</f>
        <v>FARMÁCIA INDIANA LJ 204 (10087)</v>
      </c>
      <c r="S890" t="s">
        <v>31</v>
      </c>
      <c r="T890">
        <v>3606</v>
      </c>
      <c r="U890">
        <v>3081</v>
      </c>
      <c r="V890" t="s">
        <v>22</v>
      </c>
    </row>
    <row r="891" spans="1:22">
      <c r="A891" t="str">
        <f t="shared" si="307"/>
        <v>26/12/2025</v>
      </c>
      <c r="B891" t="str">
        <f t="shared" si="308"/>
        <v>ENTRADA</v>
      </c>
      <c r="C891" t="str">
        <f t="shared" si="309"/>
        <v>NFSE</v>
      </c>
      <c r="D891" t="str">
        <f t="shared" si="303"/>
        <v>4066</v>
      </c>
      <c r="E891" t="str">
        <f t="shared" si="310"/>
        <v>1</v>
      </c>
      <c r="F891" t="str">
        <f t="shared" si="305"/>
        <v>COM</v>
      </c>
      <c r="G891" t="str">
        <f t="shared" si="304"/>
        <v>FARMÁCIA INDIANA LJ 1 (10126)</v>
      </c>
      <c r="H891" t="s">
        <v>260</v>
      </c>
      <c r="I891" t="str">
        <f t="shared" si="306"/>
        <v>24/12/2025</v>
      </c>
      <c r="J891" t="str">
        <f t="shared" si="311"/>
        <v>16/12/2025</v>
      </c>
      <c r="K891">
        <v>46017</v>
      </c>
      <c r="N891">
        <v>303</v>
      </c>
      <c r="O891" t="s">
        <v>30</v>
      </c>
      <c r="Q891">
        <v>146.16</v>
      </c>
      <c r="R891" t="str">
        <f>"FARMÁCIA INDIANA LJ 207 (10088)"</f>
        <v>FARMÁCIA INDIANA LJ 207 (10088)</v>
      </c>
      <c r="S891" t="s">
        <v>31</v>
      </c>
      <c r="T891">
        <v>3606</v>
      </c>
      <c r="U891">
        <v>3081</v>
      </c>
      <c r="V891" t="s">
        <v>22</v>
      </c>
    </row>
    <row r="892" spans="1:22">
      <c r="A892" t="str">
        <f t="shared" si="307"/>
        <v>26/12/2025</v>
      </c>
      <c r="B892" t="str">
        <f t="shared" si="308"/>
        <v>ENTRADA</v>
      </c>
      <c r="C892" t="str">
        <f t="shared" si="309"/>
        <v>NFSE</v>
      </c>
      <c r="D892" t="str">
        <f t="shared" si="303"/>
        <v>4066</v>
      </c>
      <c r="E892" t="str">
        <f t="shared" si="310"/>
        <v>1</v>
      </c>
      <c r="F892" t="str">
        <f t="shared" si="305"/>
        <v>COM</v>
      </c>
      <c r="G892" t="str">
        <f t="shared" si="304"/>
        <v>FARMÁCIA INDIANA LJ 1 (10126)</v>
      </c>
      <c r="H892" t="s">
        <v>260</v>
      </c>
      <c r="I892" t="str">
        <f t="shared" si="306"/>
        <v>24/12/2025</v>
      </c>
      <c r="J892" t="str">
        <f t="shared" si="311"/>
        <v>16/12/2025</v>
      </c>
      <c r="K892">
        <v>46017</v>
      </c>
      <c r="N892">
        <v>303</v>
      </c>
      <c r="O892" t="s">
        <v>30</v>
      </c>
      <c r="Q892">
        <v>124.9</v>
      </c>
      <c r="R892" t="str">
        <f>"FARMÁCIA INDIANA LJ 209 (10089)"</f>
        <v>FARMÁCIA INDIANA LJ 209 (10089)</v>
      </c>
      <c r="S892" t="s">
        <v>31</v>
      </c>
      <c r="T892">
        <v>3606</v>
      </c>
      <c r="U892">
        <v>3081</v>
      </c>
      <c r="V892" t="s">
        <v>22</v>
      </c>
    </row>
    <row r="893" spans="1:22">
      <c r="A893" t="str">
        <f t="shared" si="307"/>
        <v>26/12/2025</v>
      </c>
      <c r="B893" t="str">
        <f t="shared" si="308"/>
        <v>ENTRADA</v>
      </c>
      <c r="C893" t="str">
        <f t="shared" si="309"/>
        <v>NFSE</v>
      </c>
      <c r="D893" t="str">
        <f t="shared" si="303"/>
        <v>4066</v>
      </c>
      <c r="E893" t="str">
        <f t="shared" si="310"/>
        <v>1</v>
      </c>
      <c r="F893" t="str">
        <f t="shared" si="305"/>
        <v>COM</v>
      </c>
      <c r="G893" t="str">
        <f t="shared" si="304"/>
        <v>FARMÁCIA INDIANA LJ 1 (10126)</v>
      </c>
      <c r="H893" t="s">
        <v>260</v>
      </c>
      <c r="I893" t="str">
        <f t="shared" si="306"/>
        <v>24/12/2025</v>
      </c>
      <c r="J893" t="str">
        <f t="shared" si="311"/>
        <v>16/12/2025</v>
      </c>
      <c r="K893">
        <v>46017</v>
      </c>
      <c r="N893">
        <v>303</v>
      </c>
      <c r="O893" t="s">
        <v>30</v>
      </c>
      <c r="Q893">
        <v>216.58</v>
      </c>
      <c r="R893" t="str">
        <f>"FARMÁCIA INDIANA LJ 219 (10091)"</f>
        <v>FARMÁCIA INDIANA LJ 219 (10091)</v>
      </c>
      <c r="S893" t="s">
        <v>31</v>
      </c>
      <c r="T893">
        <v>3606</v>
      </c>
      <c r="U893">
        <v>3081</v>
      </c>
      <c r="V893" t="s">
        <v>22</v>
      </c>
    </row>
    <row r="894" spans="1:22">
      <c r="A894" t="str">
        <f t="shared" si="307"/>
        <v>26/12/2025</v>
      </c>
      <c r="B894" t="str">
        <f t="shared" si="308"/>
        <v>ENTRADA</v>
      </c>
      <c r="C894" t="str">
        <f t="shared" si="309"/>
        <v>NFSE</v>
      </c>
      <c r="D894" t="str">
        <f t="shared" si="303"/>
        <v>4066</v>
      </c>
      <c r="E894" t="str">
        <f t="shared" si="310"/>
        <v>1</v>
      </c>
      <c r="F894" t="str">
        <f t="shared" si="305"/>
        <v>COM</v>
      </c>
      <c r="G894" t="str">
        <f t="shared" si="304"/>
        <v>FARMÁCIA INDIANA LJ 1 (10126)</v>
      </c>
      <c r="H894" t="s">
        <v>260</v>
      </c>
      <c r="I894" t="str">
        <f t="shared" si="306"/>
        <v>24/12/2025</v>
      </c>
      <c r="J894" t="str">
        <f t="shared" si="311"/>
        <v>16/12/2025</v>
      </c>
      <c r="K894">
        <v>46017</v>
      </c>
      <c r="N894">
        <v>303</v>
      </c>
      <c r="O894" t="s">
        <v>30</v>
      </c>
      <c r="Q894">
        <v>329.52</v>
      </c>
      <c r="R894" t="str">
        <f>"FARMÁCIA INDIANA LJ 220 (10092)"</f>
        <v>FARMÁCIA INDIANA LJ 220 (10092)</v>
      </c>
      <c r="S894" t="s">
        <v>31</v>
      </c>
      <c r="T894">
        <v>3606</v>
      </c>
      <c r="U894">
        <v>3081</v>
      </c>
      <c r="V894" t="s">
        <v>22</v>
      </c>
    </row>
    <row r="895" spans="1:22">
      <c r="A895" t="str">
        <f t="shared" si="307"/>
        <v>26/12/2025</v>
      </c>
      <c r="B895" t="str">
        <f t="shared" si="308"/>
        <v>ENTRADA</v>
      </c>
      <c r="C895" t="str">
        <f t="shared" si="309"/>
        <v>NFSE</v>
      </c>
      <c r="D895" t="str">
        <f t="shared" si="303"/>
        <v>4066</v>
      </c>
      <c r="E895" t="str">
        <f t="shared" si="310"/>
        <v>1</v>
      </c>
      <c r="F895" t="str">
        <f t="shared" si="305"/>
        <v>COM</v>
      </c>
      <c r="G895" t="str">
        <f t="shared" si="304"/>
        <v>FARMÁCIA INDIANA LJ 1 (10126)</v>
      </c>
      <c r="H895" t="s">
        <v>260</v>
      </c>
      <c r="I895" t="str">
        <f t="shared" si="306"/>
        <v>24/12/2025</v>
      </c>
      <c r="J895" t="str">
        <f t="shared" si="311"/>
        <v>16/12/2025</v>
      </c>
      <c r="K895">
        <v>46017</v>
      </c>
      <c r="N895">
        <v>303</v>
      </c>
      <c r="O895" t="s">
        <v>30</v>
      </c>
      <c r="Q895">
        <v>114.27</v>
      </c>
      <c r="R895" t="str">
        <f>"FARMÁCIA INDIANA LJ 185 (10141)"</f>
        <v>FARMÁCIA INDIANA LJ 185 (10141)</v>
      </c>
      <c r="S895" t="s">
        <v>31</v>
      </c>
      <c r="T895">
        <v>3606</v>
      </c>
      <c r="U895">
        <v>3081</v>
      </c>
      <c r="V895" t="s">
        <v>22</v>
      </c>
    </row>
    <row r="896" spans="1:22">
      <c r="A896" t="str">
        <f t="shared" si="307"/>
        <v>26/12/2025</v>
      </c>
      <c r="B896" t="str">
        <f t="shared" si="308"/>
        <v>ENTRADA</v>
      </c>
      <c r="C896" t="str">
        <f t="shared" si="309"/>
        <v>NFSE</v>
      </c>
      <c r="D896" t="str">
        <f t="shared" si="303"/>
        <v>4066</v>
      </c>
      <c r="E896" t="str">
        <f t="shared" si="310"/>
        <v>1</v>
      </c>
      <c r="F896" t="str">
        <f t="shared" si="305"/>
        <v>COM</v>
      </c>
      <c r="G896" t="str">
        <f t="shared" si="304"/>
        <v>FARMÁCIA INDIANA LJ 1 (10126)</v>
      </c>
      <c r="H896" t="s">
        <v>260</v>
      </c>
      <c r="I896" t="str">
        <f t="shared" si="306"/>
        <v>24/12/2025</v>
      </c>
      <c r="J896" t="str">
        <f t="shared" si="311"/>
        <v>16/12/2025</v>
      </c>
      <c r="K896">
        <v>46017</v>
      </c>
      <c r="N896">
        <v>303</v>
      </c>
      <c r="O896" t="s">
        <v>30</v>
      </c>
      <c r="Q896">
        <v>106.3</v>
      </c>
      <c r="R896" t="str">
        <f>"FARMÁCIA INDIANA LJ 205 (10150)"</f>
        <v>FARMÁCIA INDIANA LJ 205 (10150)</v>
      </c>
      <c r="S896" t="s">
        <v>31</v>
      </c>
      <c r="T896">
        <v>3606</v>
      </c>
      <c r="U896">
        <v>3081</v>
      </c>
      <c r="V896" t="s">
        <v>22</v>
      </c>
    </row>
    <row r="897" spans="1:22">
      <c r="A897" t="str">
        <f t="shared" si="307"/>
        <v>26/12/2025</v>
      </c>
      <c r="B897" t="str">
        <f t="shared" si="308"/>
        <v>ENTRADA</v>
      </c>
      <c r="C897" t="str">
        <f t="shared" si="309"/>
        <v>NFSE</v>
      </c>
      <c r="D897" t="str">
        <f t="shared" si="303"/>
        <v>4066</v>
      </c>
      <c r="E897" t="str">
        <f t="shared" si="310"/>
        <v>1</v>
      </c>
      <c r="F897" t="str">
        <f t="shared" si="305"/>
        <v>COM</v>
      </c>
      <c r="G897" t="str">
        <f t="shared" si="304"/>
        <v>FARMÁCIA INDIANA LJ 1 (10126)</v>
      </c>
      <c r="H897" t="s">
        <v>260</v>
      </c>
      <c r="I897" t="str">
        <f t="shared" si="306"/>
        <v>24/12/2025</v>
      </c>
      <c r="J897" t="str">
        <f t="shared" si="311"/>
        <v>16/12/2025</v>
      </c>
      <c r="K897">
        <v>46017</v>
      </c>
      <c r="N897">
        <v>303</v>
      </c>
      <c r="O897" t="s">
        <v>30</v>
      </c>
      <c r="Q897">
        <v>619.17999999999995</v>
      </c>
      <c r="R897" t="str">
        <f>"FARMÁCIA INDIANA LJ 172 (10161)"</f>
        <v>FARMÁCIA INDIANA LJ 172 (10161)</v>
      </c>
      <c r="S897" t="s">
        <v>31</v>
      </c>
      <c r="T897">
        <v>3606</v>
      </c>
      <c r="U897">
        <v>3081</v>
      </c>
      <c r="V897" t="s">
        <v>22</v>
      </c>
    </row>
    <row r="898" spans="1:22">
      <c r="A898" t="str">
        <f t="shared" si="307"/>
        <v>26/12/2025</v>
      </c>
      <c r="B898" t="str">
        <f t="shared" si="308"/>
        <v>ENTRADA</v>
      </c>
      <c r="C898" t="str">
        <f t="shared" si="309"/>
        <v>NFSE</v>
      </c>
      <c r="D898" t="str">
        <f t="shared" si="303"/>
        <v>4066</v>
      </c>
      <c r="E898" t="str">
        <f t="shared" si="310"/>
        <v>1</v>
      </c>
      <c r="F898" t="str">
        <f t="shared" si="305"/>
        <v>COM</v>
      </c>
      <c r="G898" t="str">
        <f t="shared" si="304"/>
        <v>FARMÁCIA INDIANA LJ 1 (10126)</v>
      </c>
      <c r="H898" t="s">
        <v>260</v>
      </c>
      <c r="I898" t="str">
        <f t="shared" si="306"/>
        <v>24/12/2025</v>
      </c>
      <c r="J898" t="str">
        <f t="shared" si="311"/>
        <v>16/12/2025</v>
      </c>
      <c r="K898">
        <v>46017</v>
      </c>
      <c r="N898">
        <v>303</v>
      </c>
      <c r="O898" t="s">
        <v>30</v>
      </c>
      <c r="Q898">
        <v>79.72</v>
      </c>
      <c r="R898" t="str">
        <f>"FARMÁCIA INDIANA LJ 266 (10186)"</f>
        <v>FARMÁCIA INDIANA LJ 266 (10186)</v>
      </c>
      <c r="S898" t="s">
        <v>31</v>
      </c>
      <c r="T898">
        <v>3606</v>
      </c>
      <c r="U898">
        <v>3081</v>
      </c>
      <c r="V898" t="s">
        <v>22</v>
      </c>
    </row>
    <row r="899" spans="1:22">
      <c r="A899" t="str">
        <f t="shared" si="307"/>
        <v>26/12/2025</v>
      </c>
      <c r="B899" t="str">
        <f t="shared" si="308"/>
        <v>ENTRADA</v>
      </c>
      <c r="C899" t="str">
        <f t="shared" si="309"/>
        <v>NFSE</v>
      </c>
      <c r="D899" t="str">
        <f t="shared" si="303"/>
        <v>4066</v>
      </c>
      <c r="E899" t="str">
        <f t="shared" si="310"/>
        <v>1</v>
      </c>
      <c r="F899" t="str">
        <f t="shared" si="305"/>
        <v>COM</v>
      </c>
      <c r="G899" t="str">
        <f t="shared" si="304"/>
        <v>FARMÁCIA INDIANA LJ 1 (10126)</v>
      </c>
      <c r="H899" t="s">
        <v>260</v>
      </c>
      <c r="I899" t="str">
        <f t="shared" ref="I899:I918" si="312">("24/12/2025")</f>
        <v>24/12/2025</v>
      </c>
      <c r="J899" t="str">
        <f t="shared" si="311"/>
        <v>16/12/2025</v>
      </c>
      <c r="K899">
        <v>46017</v>
      </c>
      <c r="N899">
        <v>303</v>
      </c>
      <c r="O899" t="s">
        <v>30</v>
      </c>
      <c r="Q899">
        <v>100.98</v>
      </c>
      <c r="R899" t="str">
        <f>"FARMÁCIA INDIANA LJ 134 (10271)"</f>
        <v>FARMÁCIA INDIANA LJ 134 (10271)</v>
      </c>
      <c r="S899" t="s">
        <v>31</v>
      </c>
      <c r="T899">
        <v>3606</v>
      </c>
      <c r="U899">
        <v>3081</v>
      </c>
      <c r="V899" t="s">
        <v>22</v>
      </c>
    </row>
    <row r="900" spans="1:22">
      <c r="A900" t="str">
        <f t="shared" si="307"/>
        <v>26/12/2025</v>
      </c>
      <c r="B900" t="str">
        <f t="shared" si="308"/>
        <v>ENTRADA</v>
      </c>
      <c r="C900" t="str">
        <f t="shared" si="309"/>
        <v>NFSE</v>
      </c>
      <c r="D900" t="str">
        <f>"4067"</f>
        <v>4067</v>
      </c>
      <c r="E900" t="str">
        <f t="shared" si="310"/>
        <v>1</v>
      </c>
      <c r="F900" t="str">
        <f t="shared" si="305"/>
        <v>COM</v>
      </c>
      <c r="G900" t="str">
        <f>"AC FARMA - CID.ALTA (10166)"</f>
        <v>AC FARMA - CID.ALTA (10166)</v>
      </c>
      <c r="H900" t="str">
        <f>"Serv.Prest. 08/12/2025 a 14/12/2025 - RPS: 1829 - NFSe: 4067"</f>
        <v>Serv.Prest. 08/12/2025 a 14/12/2025 - RPS: 1829 - NFSe: 4067</v>
      </c>
      <c r="I900" t="str">
        <f t="shared" si="312"/>
        <v>24/12/2025</v>
      </c>
      <c r="J900" t="str">
        <f t="shared" si="311"/>
        <v>16/12/2025</v>
      </c>
      <c r="K900" t="str">
        <f>("26/12/2025")</f>
        <v>26/12/2025</v>
      </c>
      <c r="L900">
        <v>919.35</v>
      </c>
      <c r="M900">
        <v>919.35</v>
      </c>
      <c r="N900">
        <v>303</v>
      </c>
      <c r="O900" t="str">
        <f>"RECEITAS COM ENTREGAS"</f>
        <v>RECEITAS COM ENTREGAS</v>
      </c>
      <c r="P900">
        <v>919.35</v>
      </c>
      <c r="S900" t="str">
        <f>"RECEITAS COM ENTREGAS (303)"</f>
        <v>RECEITAS COM ENTREGAS (303)</v>
      </c>
      <c r="T900">
        <v>3607</v>
      </c>
      <c r="U900">
        <v>3082</v>
      </c>
      <c r="V900" t="s">
        <v>22</v>
      </c>
    </row>
    <row r="901" spans="1:22">
      <c r="A901" t="str">
        <f t="shared" si="307"/>
        <v>26/12/2025</v>
      </c>
      <c r="B901" t="str">
        <f t="shared" si="308"/>
        <v>ENTRADA</v>
      </c>
      <c r="C901" t="str">
        <f t="shared" si="309"/>
        <v>NFSE</v>
      </c>
      <c r="D901" t="str">
        <f>"4067"</f>
        <v>4067</v>
      </c>
      <c r="E901" t="str">
        <f t="shared" si="310"/>
        <v>1</v>
      </c>
      <c r="F901" t="str">
        <f t="shared" si="305"/>
        <v>COM</v>
      </c>
      <c r="G901" t="str">
        <f>"AC FARMA - CID.ALTA (10166)"</f>
        <v>AC FARMA - CID.ALTA (10166)</v>
      </c>
      <c r="H901" t="s">
        <v>261</v>
      </c>
      <c r="I901" t="str">
        <f t="shared" si="312"/>
        <v>24/12/2025</v>
      </c>
      <c r="J901" t="str">
        <f t="shared" si="311"/>
        <v>16/12/2025</v>
      </c>
      <c r="K901">
        <v>46017</v>
      </c>
      <c r="N901">
        <v>303</v>
      </c>
      <c r="O901" t="s">
        <v>30</v>
      </c>
      <c r="Q901">
        <v>919.35</v>
      </c>
      <c r="R901" t="str">
        <f>"AC FARMA - CID.ALTA (10166)"</f>
        <v>AC FARMA - CID.ALTA (10166)</v>
      </c>
      <c r="S901" t="s">
        <v>31</v>
      </c>
      <c r="T901">
        <v>3607</v>
      </c>
      <c r="U901">
        <v>3082</v>
      </c>
      <c r="V901" t="s">
        <v>22</v>
      </c>
    </row>
    <row r="902" spans="1:22">
      <c r="A902" t="str">
        <f t="shared" si="307"/>
        <v>26/12/2025</v>
      </c>
      <c r="B902" t="str">
        <f t="shared" si="308"/>
        <v>ENTRADA</v>
      </c>
      <c r="C902" t="str">
        <f t="shared" si="309"/>
        <v>NFSE</v>
      </c>
      <c r="D902" t="str">
        <f>"4068"</f>
        <v>4068</v>
      </c>
      <c r="E902" t="str">
        <f t="shared" si="310"/>
        <v>1</v>
      </c>
      <c r="F902" t="str">
        <f t="shared" si="305"/>
        <v>COM</v>
      </c>
      <c r="G902" t="str">
        <f>"AC FARMA - FLEMINFARMA 5 (10183)"</f>
        <v>AC FARMA - FLEMINFARMA 5 (10183)</v>
      </c>
      <c r="H902" t="str">
        <f>"Serv.Prest. 08/12/2025 a 14/12/2025 - RPS: 1830 - NFSe: 4068"</f>
        <v>Serv.Prest. 08/12/2025 a 14/12/2025 - RPS: 1830 - NFSe: 4068</v>
      </c>
      <c r="I902" t="str">
        <f t="shared" si="312"/>
        <v>24/12/2025</v>
      </c>
      <c r="J902" t="str">
        <f t="shared" si="311"/>
        <v>16/12/2025</v>
      </c>
      <c r="K902" t="str">
        <f>("26/12/2025")</f>
        <v>26/12/2025</v>
      </c>
      <c r="L902">
        <v>105.3</v>
      </c>
      <c r="M902">
        <v>105.3</v>
      </c>
      <c r="N902">
        <v>303</v>
      </c>
      <c r="O902" t="str">
        <f>"RECEITAS COM ENTREGAS"</f>
        <v>RECEITAS COM ENTREGAS</v>
      </c>
      <c r="P902">
        <v>105.3</v>
      </c>
      <c r="S902" t="str">
        <f>"RECEITAS COM ENTREGAS (303)"</f>
        <v>RECEITAS COM ENTREGAS (303)</v>
      </c>
      <c r="T902">
        <v>3608</v>
      </c>
      <c r="U902">
        <v>3083</v>
      </c>
      <c r="V902" t="s">
        <v>22</v>
      </c>
    </row>
    <row r="903" spans="1:22">
      <c r="A903" t="str">
        <f t="shared" si="307"/>
        <v>26/12/2025</v>
      </c>
      <c r="B903" t="str">
        <f t="shared" si="308"/>
        <v>ENTRADA</v>
      </c>
      <c r="C903" t="str">
        <f t="shared" si="309"/>
        <v>NFSE</v>
      </c>
      <c r="D903" t="str">
        <f>"4068"</f>
        <v>4068</v>
      </c>
      <c r="E903" t="str">
        <f t="shared" si="310"/>
        <v>1</v>
      </c>
      <c r="F903" t="str">
        <f t="shared" si="305"/>
        <v>COM</v>
      </c>
      <c r="G903" t="str">
        <f>"AC FARMA - FLEMINFARMA 5 (10183)"</f>
        <v>AC FARMA - FLEMINFARMA 5 (10183)</v>
      </c>
      <c r="H903" t="s">
        <v>262</v>
      </c>
      <c r="I903" t="str">
        <f t="shared" si="312"/>
        <v>24/12/2025</v>
      </c>
      <c r="J903" t="str">
        <f t="shared" si="311"/>
        <v>16/12/2025</v>
      </c>
      <c r="K903">
        <v>46017</v>
      </c>
      <c r="N903">
        <v>303</v>
      </c>
      <c r="O903" t="s">
        <v>30</v>
      </c>
      <c r="Q903">
        <v>105.3</v>
      </c>
      <c r="R903" t="str">
        <f>"AC FARMA - FLEMINFARMA 5 (10183)"</f>
        <v>AC FARMA - FLEMINFARMA 5 (10183)</v>
      </c>
      <c r="S903" t="s">
        <v>31</v>
      </c>
      <c r="T903">
        <v>3608</v>
      </c>
      <c r="U903">
        <v>3083</v>
      </c>
      <c r="V903" t="s">
        <v>22</v>
      </c>
    </row>
    <row r="904" spans="1:22">
      <c r="A904" t="str">
        <f t="shared" si="307"/>
        <v>26/12/2025</v>
      </c>
      <c r="B904" t="str">
        <f t="shared" si="308"/>
        <v>ENTRADA</v>
      </c>
      <c r="C904" t="str">
        <f t="shared" si="309"/>
        <v>NFSE</v>
      </c>
      <c r="D904" t="str">
        <f>"4087"</f>
        <v>4087</v>
      </c>
      <c r="E904" t="str">
        <f t="shared" si="310"/>
        <v>1</v>
      </c>
      <c r="F904" t="str">
        <f t="shared" si="305"/>
        <v>COM</v>
      </c>
      <c r="G904" t="str">
        <f>"JAL FARMACIA E DROGARIA LJ 1 (10137)"</f>
        <v>JAL FARMACIA E DROGARIA LJ 1 (10137)</v>
      </c>
      <c r="H904" t="str">
        <f>"Serv.Prest. 15/12/2025 a 21/12/2025 - RPS: 1849 - NFSe: 4087"</f>
        <v>Serv.Prest. 15/12/2025 a 21/12/2025 - RPS: 1849 - NFSe: 4087</v>
      </c>
      <c r="I904" t="str">
        <f t="shared" si="312"/>
        <v>24/12/2025</v>
      </c>
      <c r="J904" t="str">
        <f t="shared" ref="J904:J916" si="313">("22/12/2025")</f>
        <v>22/12/2025</v>
      </c>
      <c r="K904" t="str">
        <f>("26/12/2025")</f>
        <v>26/12/2025</v>
      </c>
      <c r="L904">
        <v>468</v>
      </c>
      <c r="M904">
        <v>468</v>
      </c>
      <c r="N904">
        <v>303</v>
      </c>
      <c r="O904" t="str">
        <f>"RECEITAS COM ENTREGAS"</f>
        <v>RECEITAS COM ENTREGAS</v>
      </c>
      <c r="P904">
        <v>468</v>
      </c>
      <c r="S904" t="str">
        <f>"RECEITAS COM ENTREGAS (303)"</f>
        <v>RECEITAS COM ENTREGAS (303)</v>
      </c>
      <c r="T904">
        <v>3609</v>
      </c>
      <c r="U904">
        <v>3105</v>
      </c>
      <c r="V904" t="s">
        <v>22</v>
      </c>
    </row>
    <row r="905" spans="1:22">
      <c r="A905" t="str">
        <f t="shared" si="307"/>
        <v>26/12/2025</v>
      </c>
      <c r="B905" t="str">
        <f t="shared" si="308"/>
        <v>ENTRADA</v>
      </c>
      <c r="C905" t="str">
        <f t="shared" si="309"/>
        <v>NFSE</v>
      </c>
      <c r="D905" t="str">
        <f>"4087"</f>
        <v>4087</v>
      </c>
      <c r="E905" t="str">
        <f t="shared" si="310"/>
        <v>1</v>
      </c>
      <c r="F905" t="str">
        <f t="shared" si="305"/>
        <v>COM</v>
      </c>
      <c r="G905" t="str">
        <f>"JAL FARMACIA E DROGARIA LJ 1 (10137)"</f>
        <v>JAL FARMACIA E DROGARIA LJ 1 (10137)</v>
      </c>
      <c r="H905" t="s">
        <v>263</v>
      </c>
      <c r="I905" t="str">
        <f t="shared" si="312"/>
        <v>24/12/2025</v>
      </c>
      <c r="J905" t="str">
        <f t="shared" si="313"/>
        <v>22/12/2025</v>
      </c>
      <c r="K905">
        <v>46017</v>
      </c>
      <c r="N905">
        <v>303</v>
      </c>
      <c r="O905" t="s">
        <v>30</v>
      </c>
      <c r="Q905">
        <v>468</v>
      </c>
      <c r="R905" t="str">
        <f>"JAL FARMACIA E DROGARIA LJ 1 (10137)"</f>
        <v>JAL FARMACIA E DROGARIA LJ 1 (10137)</v>
      </c>
      <c r="S905" t="s">
        <v>31</v>
      </c>
      <c r="T905">
        <v>3609</v>
      </c>
      <c r="U905">
        <v>3105</v>
      </c>
      <c r="V905" t="s">
        <v>22</v>
      </c>
    </row>
    <row r="906" spans="1:22">
      <c r="A906" t="str">
        <f t="shared" si="307"/>
        <v>26/12/2025</v>
      </c>
      <c r="B906" t="str">
        <f t="shared" si="308"/>
        <v>ENTRADA</v>
      </c>
      <c r="C906" t="str">
        <f t="shared" si="309"/>
        <v>NFSE</v>
      </c>
      <c r="D906" t="str">
        <f>"4095"</f>
        <v>4095</v>
      </c>
      <c r="E906" t="str">
        <f t="shared" si="310"/>
        <v>1</v>
      </c>
      <c r="F906" t="str">
        <f t="shared" si="305"/>
        <v>COM</v>
      </c>
      <c r="G906" t="str">
        <f>"DROGARIA ANA VISCONDE DO RIO BRANCO (10182)"</f>
        <v>DROGARIA ANA VISCONDE DO RIO BRANCO (10182)</v>
      </c>
      <c r="H906" t="str">
        <f>"Serv.Prest. 15/12/2025 a 21/12/2025 - RPS: 1857 - NFSe: 4095"</f>
        <v>Serv.Prest. 15/12/2025 a 21/12/2025 - RPS: 1857 - NFSe: 4095</v>
      </c>
      <c r="I906" t="str">
        <f t="shared" si="312"/>
        <v>24/12/2025</v>
      </c>
      <c r="J906" t="str">
        <f t="shared" si="313"/>
        <v>22/12/2025</v>
      </c>
      <c r="K906" t="str">
        <f>("26/12/2025")</f>
        <v>26/12/2025</v>
      </c>
      <c r="L906">
        <v>792.45</v>
      </c>
      <c r="M906">
        <v>792.45</v>
      </c>
      <c r="N906">
        <v>303</v>
      </c>
      <c r="O906" t="str">
        <f>"RECEITAS COM ENTREGAS"</f>
        <v>RECEITAS COM ENTREGAS</v>
      </c>
      <c r="P906">
        <v>792.45</v>
      </c>
      <c r="S906" t="str">
        <f>"RECEITAS COM ENTREGAS (303)"</f>
        <v>RECEITAS COM ENTREGAS (303)</v>
      </c>
      <c r="T906">
        <v>3610</v>
      </c>
      <c r="U906">
        <v>3113</v>
      </c>
      <c r="V906" t="s">
        <v>22</v>
      </c>
    </row>
    <row r="907" spans="1:22">
      <c r="A907" t="str">
        <f t="shared" si="307"/>
        <v>26/12/2025</v>
      </c>
      <c r="B907" t="str">
        <f t="shared" si="308"/>
        <v>ENTRADA</v>
      </c>
      <c r="C907" t="str">
        <f t="shared" si="309"/>
        <v>NFSE</v>
      </c>
      <c r="D907" t="str">
        <f>"4095"</f>
        <v>4095</v>
      </c>
      <c r="E907" t="str">
        <f t="shared" si="310"/>
        <v>1</v>
      </c>
      <c r="F907" t="str">
        <f t="shared" si="305"/>
        <v>COM</v>
      </c>
      <c r="G907" t="str">
        <f>"DROGARIA ANA VISCONDE DO RIO BRANCO (10182)"</f>
        <v>DROGARIA ANA VISCONDE DO RIO BRANCO (10182)</v>
      </c>
      <c r="H907" t="s">
        <v>264</v>
      </c>
      <c r="I907" t="str">
        <f t="shared" si="312"/>
        <v>24/12/2025</v>
      </c>
      <c r="J907" t="str">
        <f t="shared" si="313"/>
        <v>22/12/2025</v>
      </c>
      <c r="K907">
        <v>46017</v>
      </c>
      <c r="N907">
        <v>303</v>
      </c>
      <c r="O907" t="s">
        <v>30</v>
      </c>
      <c r="Q907">
        <v>792.45</v>
      </c>
      <c r="R907" t="str">
        <f>"DROGARIA ANA VISCONDE DO RIO BRANCO (10182)"</f>
        <v>DROGARIA ANA VISCONDE DO RIO BRANCO (10182)</v>
      </c>
      <c r="S907" t="s">
        <v>31</v>
      </c>
      <c r="T907">
        <v>3610</v>
      </c>
      <c r="U907">
        <v>3113</v>
      </c>
      <c r="V907" t="s">
        <v>22</v>
      </c>
    </row>
    <row r="908" spans="1:22">
      <c r="A908" t="str">
        <f t="shared" si="307"/>
        <v>26/12/2025</v>
      </c>
      <c r="B908" t="str">
        <f t="shared" si="308"/>
        <v>ENTRADA</v>
      </c>
      <c r="C908" t="str">
        <f t="shared" si="309"/>
        <v>NFSE</v>
      </c>
      <c r="D908" t="str">
        <f>"4097"</f>
        <v>4097</v>
      </c>
      <c r="E908" t="str">
        <f t="shared" si="310"/>
        <v>1</v>
      </c>
      <c r="F908" t="str">
        <f t="shared" si="305"/>
        <v>COM</v>
      </c>
      <c r="G908" t="str">
        <f>"ULTRA POPULAR  UBA 2 (10214)"</f>
        <v>ULTRA POPULAR  UBA 2 (10214)</v>
      </c>
      <c r="H908" t="str">
        <f>"Serv.Prest. 15/12/2025 a 21/12/2025 - RPS: 1859 - NFSe: 4097"</f>
        <v>Serv.Prest. 15/12/2025 a 21/12/2025 - RPS: 1859 - NFSe: 4097</v>
      </c>
      <c r="I908" t="str">
        <f t="shared" si="312"/>
        <v>24/12/2025</v>
      </c>
      <c r="J908" t="str">
        <f t="shared" si="313"/>
        <v>22/12/2025</v>
      </c>
      <c r="K908" t="str">
        <f>("26/12/2025")</f>
        <v>26/12/2025</v>
      </c>
      <c r="L908">
        <v>53.74</v>
      </c>
      <c r="M908">
        <v>53.74</v>
      </c>
      <c r="N908">
        <v>303</v>
      </c>
      <c r="O908" t="str">
        <f>"RECEITAS COM ENTREGAS"</f>
        <v>RECEITAS COM ENTREGAS</v>
      </c>
      <c r="P908">
        <v>53.74</v>
      </c>
      <c r="S908" t="str">
        <f>"RECEITAS COM ENTREGAS (303)"</f>
        <v>RECEITAS COM ENTREGAS (303)</v>
      </c>
      <c r="T908">
        <v>3611</v>
      </c>
      <c r="U908">
        <v>3115</v>
      </c>
      <c r="V908" t="s">
        <v>22</v>
      </c>
    </row>
    <row r="909" spans="1:22">
      <c r="A909" t="str">
        <f t="shared" si="307"/>
        <v>26/12/2025</v>
      </c>
      <c r="B909" t="str">
        <f t="shared" si="308"/>
        <v>ENTRADA</v>
      </c>
      <c r="C909" t="str">
        <f t="shared" si="309"/>
        <v>NFSE</v>
      </c>
      <c r="D909" t="str">
        <f>"4097"</f>
        <v>4097</v>
      </c>
      <c r="E909" t="str">
        <f t="shared" si="310"/>
        <v>1</v>
      </c>
      <c r="F909" t="str">
        <f t="shared" si="305"/>
        <v>COM</v>
      </c>
      <c r="G909" t="str">
        <f>"ULTRA POPULAR  UBA 2 (10214)"</f>
        <v>ULTRA POPULAR  UBA 2 (10214)</v>
      </c>
      <c r="H909" t="s">
        <v>265</v>
      </c>
      <c r="I909" t="str">
        <f t="shared" si="312"/>
        <v>24/12/2025</v>
      </c>
      <c r="J909" t="str">
        <f t="shared" si="313"/>
        <v>22/12/2025</v>
      </c>
      <c r="K909">
        <v>46017</v>
      </c>
      <c r="N909">
        <v>303</v>
      </c>
      <c r="O909" t="s">
        <v>30</v>
      </c>
      <c r="Q909">
        <v>30.71</v>
      </c>
      <c r="R909" t="str">
        <f>"ULTRA POPULAR  UBA 2 (10214)"</f>
        <v>ULTRA POPULAR  UBA 2 (10214)</v>
      </c>
      <c r="S909" t="s">
        <v>31</v>
      </c>
      <c r="T909">
        <v>3611</v>
      </c>
      <c r="U909">
        <v>3115</v>
      </c>
      <c r="V909" t="s">
        <v>22</v>
      </c>
    </row>
    <row r="910" spans="1:22">
      <c r="A910" t="str">
        <f t="shared" si="307"/>
        <v>26/12/2025</v>
      </c>
      <c r="B910" t="str">
        <f t="shared" si="308"/>
        <v>ENTRADA</v>
      </c>
      <c r="C910" t="str">
        <f t="shared" si="309"/>
        <v>NFSE</v>
      </c>
      <c r="D910" t="str">
        <f>"4097"</f>
        <v>4097</v>
      </c>
      <c r="E910" t="str">
        <f t="shared" si="310"/>
        <v>1</v>
      </c>
      <c r="F910" t="str">
        <f t="shared" si="305"/>
        <v>COM</v>
      </c>
      <c r="G910" t="str">
        <f>"ULTRA POPULAR  UBA 2 (10214)"</f>
        <v>ULTRA POPULAR  UBA 2 (10214)</v>
      </c>
      <c r="H910" t="s">
        <v>265</v>
      </c>
      <c r="I910" t="str">
        <f t="shared" si="312"/>
        <v>24/12/2025</v>
      </c>
      <c r="J910" t="str">
        <f t="shared" si="313"/>
        <v>22/12/2025</v>
      </c>
      <c r="K910">
        <v>46017</v>
      </c>
      <c r="N910">
        <v>303</v>
      </c>
      <c r="O910" t="s">
        <v>30</v>
      </c>
      <c r="Q910">
        <v>23.03</v>
      </c>
      <c r="R910" t="str">
        <f>"UBA 1 (10263)"</f>
        <v>UBA 1 (10263)</v>
      </c>
      <c r="S910" t="s">
        <v>31</v>
      </c>
      <c r="T910">
        <v>3611</v>
      </c>
      <c r="U910">
        <v>3115</v>
      </c>
      <c r="V910" t="s">
        <v>22</v>
      </c>
    </row>
    <row r="911" spans="1:22">
      <c r="A911" t="str">
        <f t="shared" ref="A911:A931" si="314">("26/12/2025")</f>
        <v>26/12/2025</v>
      </c>
      <c r="B911" t="str">
        <f t="shared" ref="B911:B929" si="315">"ENTRADA"</f>
        <v>ENTRADA</v>
      </c>
      <c r="C911" t="str">
        <f t="shared" ref="C911:C929" si="316">"NFSE"</f>
        <v>NFSE</v>
      </c>
      <c r="D911" t="str">
        <f>"4099"</f>
        <v>4099</v>
      </c>
      <c r="E911" t="str">
        <f t="shared" ref="E911:E929" si="317">"1"</f>
        <v>1</v>
      </c>
      <c r="F911" t="str">
        <f t="shared" si="305"/>
        <v>COM</v>
      </c>
      <c r="G911" t="str">
        <f>"ENTREFARMA (10164)"</f>
        <v>ENTREFARMA (10164)</v>
      </c>
      <c r="H911" t="str">
        <f>"Serv.Prest. 15/12/2025 a 21/12/2025 - RPS: 1861 - NFSe: 4099"</f>
        <v>Serv.Prest. 15/12/2025 a 21/12/2025 - RPS: 1861 - NFSe: 4099</v>
      </c>
      <c r="I911" t="str">
        <f t="shared" si="312"/>
        <v>24/12/2025</v>
      </c>
      <c r="J911" t="str">
        <f t="shared" si="313"/>
        <v>22/12/2025</v>
      </c>
      <c r="K911" t="str">
        <f>("26/12/2025")</f>
        <v>26/12/2025</v>
      </c>
      <c r="L911">
        <v>1087.58</v>
      </c>
      <c r="M911">
        <v>1087.58</v>
      </c>
      <c r="N911">
        <v>303</v>
      </c>
      <c r="O911" t="str">
        <f>"RECEITAS COM ENTREGAS"</f>
        <v>RECEITAS COM ENTREGAS</v>
      </c>
      <c r="P911">
        <v>1087.58</v>
      </c>
      <c r="S911" t="str">
        <f>"RECEITAS COM ENTREGAS (303)"</f>
        <v>RECEITAS COM ENTREGAS (303)</v>
      </c>
      <c r="T911">
        <v>3612</v>
      </c>
      <c r="U911">
        <v>3117</v>
      </c>
      <c r="V911" t="s">
        <v>22</v>
      </c>
    </row>
    <row r="912" spans="1:22">
      <c r="A912" t="str">
        <f t="shared" si="314"/>
        <v>26/12/2025</v>
      </c>
      <c r="B912" t="str">
        <f t="shared" si="315"/>
        <v>ENTRADA</v>
      </c>
      <c r="C912" t="str">
        <f t="shared" si="316"/>
        <v>NFSE</v>
      </c>
      <c r="D912" t="str">
        <f>"4099"</f>
        <v>4099</v>
      </c>
      <c r="E912" t="str">
        <f t="shared" si="317"/>
        <v>1</v>
      </c>
      <c r="F912" t="str">
        <f t="shared" si="305"/>
        <v>COM</v>
      </c>
      <c r="G912" t="str">
        <f>"ENTREFARMA (10164)"</f>
        <v>ENTREFARMA (10164)</v>
      </c>
      <c r="H912" t="s">
        <v>266</v>
      </c>
      <c r="I912" t="str">
        <f t="shared" si="312"/>
        <v>24/12/2025</v>
      </c>
      <c r="J912" t="str">
        <f t="shared" si="313"/>
        <v>22/12/2025</v>
      </c>
      <c r="K912">
        <v>46017</v>
      </c>
      <c r="N912">
        <v>303</v>
      </c>
      <c r="O912" t="s">
        <v>30</v>
      </c>
      <c r="Q912">
        <v>1087.58</v>
      </c>
      <c r="R912" t="str">
        <f>"ENTREFARMA (10164)"</f>
        <v>ENTREFARMA (10164)</v>
      </c>
      <c r="S912" t="s">
        <v>31</v>
      </c>
      <c r="T912">
        <v>3612</v>
      </c>
      <c r="U912">
        <v>3117</v>
      </c>
      <c r="V912" t="s">
        <v>22</v>
      </c>
    </row>
    <row r="913" spans="1:22">
      <c r="A913" t="str">
        <f t="shared" si="314"/>
        <v>26/12/2025</v>
      </c>
      <c r="B913" t="str">
        <f t="shared" si="315"/>
        <v>ENTRADA</v>
      </c>
      <c r="C913" t="str">
        <f t="shared" si="316"/>
        <v>NFSE</v>
      </c>
      <c r="D913" t="str">
        <f>"4104"</f>
        <v>4104</v>
      </c>
      <c r="E913" t="str">
        <f t="shared" si="317"/>
        <v>1</v>
      </c>
      <c r="F913" t="str">
        <f t="shared" si="305"/>
        <v>COM</v>
      </c>
      <c r="G913" t="str">
        <f>"DROGARIA TOTAL JUNDIAI (10177)"</f>
        <v>DROGARIA TOTAL JUNDIAI (10177)</v>
      </c>
      <c r="H913" t="str">
        <f>"Serv.Prest. 15/12/2025 a 21/12/2025 - RPS: 1866 - NFSe: 4104"</f>
        <v>Serv.Prest. 15/12/2025 a 21/12/2025 - RPS: 1866 - NFSe: 4104</v>
      </c>
      <c r="I913" t="str">
        <f t="shared" si="312"/>
        <v>24/12/2025</v>
      </c>
      <c r="J913" t="str">
        <f t="shared" si="313"/>
        <v>22/12/2025</v>
      </c>
      <c r="K913" t="str">
        <f>("26/12/2025")</f>
        <v>26/12/2025</v>
      </c>
      <c r="L913">
        <v>100.27</v>
      </c>
      <c r="M913">
        <v>100.27</v>
      </c>
      <c r="N913">
        <v>303</v>
      </c>
      <c r="O913" t="str">
        <f>"RECEITAS COM ENTREGAS"</f>
        <v>RECEITAS COM ENTREGAS</v>
      </c>
      <c r="P913">
        <v>100.27</v>
      </c>
      <c r="S913" t="str">
        <f>"RECEITAS COM ENTREGAS (303)"</f>
        <v>RECEITAS COM ENTREGAS (303)</v>
      </c>
      <c r="T913">
        <v>3613</v>
      </c>
      <c r="U913">
        <v>3122</v>
      </c>
      <c r="V913" t="s">
        <v>22</v>
      </c>
    </row>
    <row r="914" spans="1:22">
      <c r="A914" t="str">
        <f t="shared" si="314"/>
        <v>26/12/2025</v>
      </c>
      <c r="B914" t="str">
        <f t="shared" si="315"/>
        <v>ENTRADA</v>
      </c>
      <c r="C914" t="str">
        <f t="shared" si="316"/>
        <v>NFSE</v>
      </c>
      <c r="D914" t="str">
        <f>"4104"</f>
        <v>4104</v>
      </c>
      <c r="E914" t="str">
        <f t="shared" si="317"/>
        <v>1</v>
      </c>
      <c r="F914" t="str">
        <f t="shared" si="305"/>
        <v>COM</v>
      </c>
      <c r="G914" t="str">
        <f>"DROGARIA TOTAL JUNDIAI (10177)"</f>
        <v>DROGARIA TOTAL JUNDIAI (10177)</v>
      </c>
      <c r="H914" t="s">
        <v>267</v>
      </c>
      <c r="I914" t="str">
        <f t="shared" si="312"/>
        <v>24/12/2025</v>
      </c>
      <c r="J914" t="str">
        <f t="shared" si="313"/>
        <v>22/12/2025</v>
      </c>
      <c r="K914">
        <v>46017</v>
      </c>
      <c r="N914">
        <v>303</v>
      </c>
      <c r="O914" t="s">
        <v>30</v>
      </c>
      <c r="Q914">
        <v>100.27</v>
      </c>
      <c r="R914" t="str">
        <f>"DROGARIA TOTAL JUNDIAI (10177)"</f>
        <v>DROGARIA TOTAL JUNDIAI (10177)</v>
      </c>
      <c r="S914" t="s">
        <v>31</v>
      </c>
      <c r="T914">
        <v>3613</v>
      </c>
      <c r="U914">
        <v>3122</v>
      </c>
      <c r="V914" t="s">
        <v>22</v>
      </c>
    </row>
    <row r="915" spans="1:22">
      <c r="A915" t="str">
        <f t="shared" si="314"/>
        <v>26/12/2025</v>
      </c>
      <c r="B915" t="str">
        <f t="shared" si="315"/>
        <v>ENTRADA</v>
      </c>
      <c r="C915" t="str">
        <f t="shared" si="316"/>
        <v>NFSE</v>
      </c>
      <c r="D915" t="str">
        <f>"4105"</f>
        <v>4105</v>
      </c>
      <c r="E915" t="str">
        <f t="shared" si="317"/>
        <v>1</v>
      </c>
      <c r="F915" t="str">
        <f t="shared" si="305"/>
        <v>COM</v>
      </c>
      <c r="G915" t="str">
        <f>"DROGA ELIDA (10121)"</f>
        <v>DROGA ELIDA (10121)</v>
      </c>
      <c r="H915" t="str">
        <f>"Serv.Prest. 15/12/2025 a 21/12/2025 - RPS: 1867 - NFSe: 4105"</f>
        <v>Serv.Prest. 15/12/2025 a 21/12/2025 - RPS: 1867 - NFSe: 4105</v>
      </c>
      <c r="I915" t="str">
        <f t="shared" si="312"/>
        <v>24/12/2025</v>
      </c>
      <c r="J915" t="str">
        <f t="shared" si="313"/>
        <v>22/12/2025</v>
      </c>
      <c r="K915" t="str">
        <f>("26/12/2025")</f>
        <v>26/12/2025</v>
      </c>
      <c r="L915">
        <v>300.38</v>
      </c>
      <c r="M915">
        <v>300.38</v>
      </c>
      <c r="N915">
        <v>303</v>
      </c>
      <c r="O915" t="str">
        <f>"RECEITAS COM ENTREGAS"</f>
        <v>RECEITAS COM ENTREGAS</v>
      </c>
      <c r="P915">
        <v>300.38</v>
      </c>
      <c r="S915" t="str">
        <f>"RECEITAS COM ENTREGAS (303)"</f>
        <v>RECEITAS COM ENTREGAS (303)</v>
      </c>
      <c r="T915">
        <v>3614</v>
      </c>
      <c r="U915">
        <v>3123</v>
      </c>
      <c r="V915" t="s">
        <v>22</v>
      </c>
    </row>
    <row r="916" spans="1:22">
      <c r="A916" t="str">
        <f t="shared" si="314"/>
        <v>26/12/2025</v>
      </c>
      <c r="B916" t="str">
        <f t="shared" si="315"/>
        <v>ENTRADA</v>
      </c>
      <c r="C916" t="str">
        <f t="shared" si="316"/>
        <v>NFSE</v>
      </c>
      <c r="D916" t="str">
        <f>"4105"</f>
        <v>4105</v>
      </c>
      <c r="E916" t="str">
        <f t="shared" si="317"/>
        <v>1</v>
      </c>
      <c r="F916" t="str">
        <f t="shared" si="305"/>
        <v>COM</v>
      </c>
      <c r="G916" t="str">
        <f>"DROGA ELIDA (10121)"</f>
        <v>DROGA ELIDA (10121)</v>
      </c>
      <c r="H916" t="s">
        <v>268</v>
      </c>
      <c r="I916" t="str">
        <f t="shared" si="312"/>
        <v>24/12/2025</v>
      </c>
      <c r="J916" t="str">
        <f t="shared" si="313"/>
        <v>22/12/2025</v>
      </c>
      <c r="K916">
        <v>46017</v>
      </c>
      <c r="N916">
        <v>303</v>
      </c>
      <c r="O916" t="s">
        <v>30</v>
      </c>
      <c r="Q916">
        <v>300.38</v>
      </c>
      <c r="R916" t="str">
        <f>"DROGA ELIDA (10121)"</f>
        <v>DROGA ELIDA (10121)</v>
      </c>
      <c r="S916" t="s">
        <v>31</v>
      </c>
      <c r="T916">
        <v>3614</v>
      </c>
      <c r="U916">
        <v>3123</v>
      </c>
      <c r="V916" t="s">
        <v>22</v>
      </c>
    </row>
    <row r="917" spans="1:22">
      <c r="A917" t="str">
        <f t="shared" si="314"/>
        <v>26/12/2025</v>
      </c>
      <c r="B917" t="str">
        <f t="shared" si="315"/>
        <v>ENTRADA</v>
      </c>
      <c r="C917" t="str">
        <f t="shared" si="316"/>
        <v>NFSE</v>
      </c>
      <c r="D917" t="str">
        <f>"4116"</f>
        <v>4116</v>
      </c>
      <c r="E917" t="str">
        <f t="shared" si="317"/>
        <v>1</v>
      </c>
      <c r="F917" t="str">
        <f t="shared" si="305"/>
        <v>COM</v>
      </c>
      <c r="G917" t="str">
        <f>"DELTA LOJA 2 (10123)"</f>
        <v>DELTA LOJA 2 (10123)</v>
      </c>
      <c r="H917" t="str">
        <f>"Serv.Prest. 15/12/2025 a 21/12/2025 - RPS: 1878 - NFSe: 4116"</f>
        <v>Serv.Prest. 15/12/2025 a 21/12/2025 - RPS: 1878 - NFSe: 4116</v>
      </c>
      <c r="I917" t="str">
        <f t="shared" si="312"/>
        <v>24/12/2025</v>
      </c>
      <c r="J917" t="str">
        <f>("23/12/2025")</f>
        <v>23/12/2025</v>
      </c>
      <c r="K917" t="str">
        <f>("26/12/2025")</f>
        <v>26/12/2025</v>
      </c>
      <c r="L917">
        <v>810.6</v>
      </c>
      <c r="M917">
        <v>810.6</v>
      </c>
      <c r="N917">
        <v>303</v>
      </c>
      <c r="O917" t="str">
        <f>"RECEITAS COM ENTREGAS"</f>
        <v>RECEITAS COM ENTREGAS</v>
      </c>
      <c r="P917">
        <v>810.6</v>
      </c>
      <c r="S917" t="str">
        <f>"RECEITAS COM ENTREGAS (303)"</f>
        <v>RECEITAS COM ENTREGAS (303)</v>
      </c>
      <c r="T917">
        <v>3615</v>
      </c>
      <c r="U917">
        <v>3136</v>
      </c>
      <c r="V917" t="s">
        <v>22</v>
      </c>
    </row>
    <row r="918" spans="1:22">
      <c r="A918" t="str">
        <f t="shared" si="314"/>
        <v>26/12/2025</v>
      </c>
      <c r="B918" t="str">
        <f t="shared" si="315"/>
        <v>ENTRADA</v>
      </c>
      <c r="C918" t="str">
        <f t="shared" si="316"/>
        <v>NFSE</v>
      </c>
      <c r="D918" t="str">
        <f>"4116"</f>
        <v>4116</v>
      </c>
      <c r="E918" t="str">
        <f t="shared" si="317"/>
        <v>1</v>
      </c>
      <c r="F918" t="str">
        <f t="shared" si="305"/>
        <v>COM</v>
      </c>
      <c r="G918" t="str">
        <f>"DELTA LOJA 2 (10123)"</f>
        <v>DELTA LOJA 2 (10123)</v>
      </c>
      <c r="H918" t="s">
        <v>269</v>
      </c>
      <c r="I918" t="str">
        <f t="shared" si="312"/>
        <v>24/12/2025</v>
      </c>
      <c r="J918" t="str">
        <f>("23/12/2025")</f>
        <v>23/12/2025</v>
      </c>
      <c r="K918">
        <v>46017</v>
      </c>
      <c r="N918">
        <v>303</v>
      </c>
      <c r="O918" t="s">
        <v>30</v>
      </c>
      <c r="Q918">
        <v>810.6</v>
      </c>
      <c r="R918" t="str">
        <f>"DELTA LOJA 2 (10123)"</f>
        <v>DELTA LOJA 2 (10123)</v>
      </c>
      <c r="S918" t="s">
        <v>31</v>
      </c>
      <c r="T918">
        <v>3615</v>
      </c>
      <c r="U918">
        <v>3136</v>
      </c>
      <c r="V918" t="s">
        <v>22</v>
      </c>
    </row>
    <row r="919" spans="1:22">
      <c r="A919" t="str">
        <f t="shared" si="314"/>
        <v>26/12/2025</v>
      </c>
      <c r="B919" t="str">
        <f t="shared" si="315"/>
        <v>ENTRADA</v>
      </c>
      <c r="C919" t="str">
        <f t="shared" si="316"/>
        <v>NFSE</v>
      </c>
      <c r="D919" t="str">
        <f>"4096"</f>
        <v>4096</v>
      </c>
      <c r="E919" t="str">
        <f t="shared" si="317"/>
        <v>1</v>
      </c>
      <c r="F919" t="str">
        <f t="shared" si="305"/>
        <v>COM</v>
      </c>
      <c r="G919" t="str">
        <f>"DROGARIA POUPA MINAS (DOIS AMIGOS) 5 (10140)"</f>
        <v>DROGARIA POUPA MINAS (DOIS AMIGOS) 5 (10140)</v>
      </c>
      <c r="H919" t="str">
        <f>"Serv.Prest. 15/12/2025 a 21/12/2025 - RPS: 1858 - NFSe: 4096"</f>
        <v>Serv.Prest. 15/12/2025 a 21/12/2025 - RPS: 1858 - NFSe: 4096</v>
      </c>
      <c r="I919" t="str">
        <f>("25/12/2025")</f>
        <v>25/12/2025</v>
      </c>
      <c r="J919" t="str">
        <f t="shared" ref="J919:J929" si="318">("22/12/2025")</f>
        <v>22/12/2025</v>
      </c>
      <c r="K919" t="str">
        <f>("26/12/2025")</f>
        <v>26/12/2025</v>
      </c>
      <c r="L919">
        <v>827.73</v>
      </c>
      <c r="M919">
        <v>827.73</v>
      </c>
      <c r="N919">
        <v>303</v>
      </c>
      <c r="O919" t="str">
        <f>"RECEITAS COM ENTREGAS"</f>
        <v>RECEITAS COM ENTREGAS</v>
      </c>
      <c r="P919">
        <v>827.73</v>
      </c>
      <c r="S919" t="str">
        <f>"RECEITAS COM ENTREGAS (303)"</f>
        <v>RECEITAS COM ENTREGAS (303)</v>
      </c>
      <c r="T919">
        <v>3616</v>
      </c>
      <c r="U919">
        <v>3114</v>
      </c>
      <c r="V919" t="s">
        <v>22</v>
      </c>
    </row>
    <row r="920" spans="1:22">
      <c r="A920" t="str">
        <f t="shared" si="314"/>
        <v>26/12/2025</v>
      </c>
      <c r="B920" t="str">
        <f t="shared" si="315"/>
        <v>ENTRADA</v>
      </c>
      <c r="C920" t="str">
        <f t="shared" si="316"/>
        <v>NFSE</v>
      </c>
      <c r="D920" t="str">
        <f>"4096"</f>
        <v>4096</v>
      </c>
      <c r="E920" t="str">
        <f t="shared" si="317"/>
        <v>1</v>
      </c>
      <c r="F920" t="str">
        <f t="shared" si="305"/>
        <v>COM</v>
      </c>
      <c r="G920" t="str">
        <f>"DROGARIA POUPA MINAS (DOIS AMIGOS) 5 (10140)"</f>
        <v>DROGARIA POUPA MINAS (DOIS AMIGOS) 5 (10140)</v>
      </c>
      <c r="H920" t="s">
        <v>270</v>
      </c>
      <c r="I920" t="str">
        <f>("25/12/2025")</f>
        <v>25/12/2025</v>
      </c>
      <c r="J920" t="str">
        <f t="shared" si="318"/>
        <v>22/12/2025</v>
      </c>
      <c r="K920">
        <v>46017</v>
      </c>
      <c r="N920">
        <v>303</v>
      </c>
      <c r="O920" t="s">
        <v>30</v>
      </c>
      <c r="Q920">
        <v>827.73</v>
      </c>
      <c r="R920" t="str">
        <f>"DROGARIA POUPA MINAS (ULTRAMINAS) 1 (10181)"</f>
        <v>DROGARIA POUPA MINAS (ULTRAMINAS) 1 (10181)</v>
      </c>
      <c r="S920" t="s">
        <v>31</v>
      </c>
      <c r="T920">
        <v>3616</v>
      </c>
      <c r="U920">
        <v>3114</v>
      </c>
      <c r="V920" t="s">
        <v>22</v>
      </c>
    </row>
    <row r="921" spans="1:22">
      <c r="A921" t="str">
        <f t="shared" si="314"/>
        <v>26/12/2025</v>
      </c>
      <c r="B921" t="str">
        <f t="shared" si="315"/>
        <v>ENTRADA</v>
      </c>
      <c r="C921" t="str">
        <f t="shared" si="316"/>
        <v>NFSE</v>
      </c>
      <c r="D921" t="str">
        <f>"4098"</f>
        <v>4098</v>
      </c>
      <c r="E921" t="str">
        <f t="shared" si="317"/>
        <v>1</v>
      </c>
      <c r="F921" t="str">
        <f t="shared" si="305"/>
        <v>COM</v>
      </c>
      <c r="G921" t="str">
        <f>"DROGARIA POUPA MINAS (ULTRAMINAS) 3 (10129)"</f>
        <v>DROGARIA POUPA MINAS (ULTRAMINAS) 3 (10129)</v>
      </c>
      <c r="H921" t="str">
        <f>"Serv.Prest. 15/12/2025 a 21/12/2025 - RPS: 1860 - NFSe: 4098"</f>
        <v>Serv.Prest. 15/12/2025 a 21/12/2025 - RPS: 1860 - NFSe: 4098</v>
      </c>
      <c r="I921" t="str">
        <f>("25/12/2025")</f>
        <v>25/12/2025</v>
      </c>
      <c r="J921" t="str">
        <f t="shared" si="318"/>
        <v>22/12/2025</v>
      </c>
      <c r="K921" t="str">
        <f>("26/12/2025")</f>
        <v>26/12/2025</v>
      </c>
      <c r="L921">
        <v>171.6</v>
      </c>
      <c r="M921">
        <v>171.6</v>
      </c>
      <c r="N921">
        <v>303</v>
      </c>
      <c r="O921" t="str">
        <f>"RECEITAS COM ENTREGAS"</f>
        <v>RECEITAS COM ENTREGAS</v>
      </c>
      <c r="P921">
        <v>171.6</v>
      </c>
      <c r="S921" t="str">
        <f>"RECEITAS COM ENTREGAS (303)"</f>
        <v>RECEITAS COM ENTREGAS (303)</v>
      </c>
      <c r="T921">
        <v>3617</v>
      </c>
      <c r="U921">
        <v>3116</v>
      </c>
      <c r="V921" t="s">
        <v>22</v>
      </c>
    </row>
    <row r="922" spans="1:22">
      <c r="A922" t="str">
        <f t="shared" si="314"/>
        <v>26/12/2025</v>
      </c>
      <c r="B922" t="str">
        <f t="shared" si="315"/>
        <v>ENTRADA</v>
      </c>
      <c r="C922" t="str">
        <f t="shared" si="316"/>
        <v>NFSE</v>
      </c>
      <c r="D922" t="str">
        <f>"4098"</f>
        <v>4098</v>
      </c>
      <c r="E922" t="str">
        <f t="shared" si="317"/>
        <v>1</v>
      </c>
      <c r="F922" t="str">
        <f t="shared" si="305"/>
        <v>COM</v>
      </c>
      <c r="G922" t="str">
        <f>"DROGARIA POUPA MINAS (ULTRAMINAS) 3 (10129)"</f>
        <v>DROGARIA POUPA MINAS (ULTRAMINAS) 3 (10129)</v>
      </c>
      <c r="H922" t="s">
        <v>271</v>
      </c>
      <c r="I922" t="str">
        <f>("25/12/2025")</f>
        <v>25/12/2025</v>
      </c>
      <c r="J922" t="str">
        <f t="shared" si="318"/>
        <v>22/12/2025</v>
      </c>
      <c r="K922">
        <v>46017</v>
      </c>
      <c r="N922">
        <v>303</v>
      </c>
      <c r="O922" t="s">
        <v>30</v>
      </c>
      <c r="Q922">
        <v>171.6</v>
      </c>
      <c r="R922" t="str">
        <f>"DROGARIA POUPA MINAS (ULTRAMINAS) 3 (10129)"</f>
        <v>DROGARIA POUPA MINAS (ULTRAMINAS) 3 (10129)</v>
      </c>
      <c r="S922" t="s">
        <v>31</v>
      </c>
      <c r="T922">
        <v>3617</v>
      </c>
      <c r="U922">
        <v>3116</v>
      </c>
      <c r="V922" t="s">
        <v>22</v>
      </c>
    </row>
    <row r="923" spans="1:22">
      <c r="A923" t="str">
        <f t="shared" si="314"/>
        <v>26/12/2025</v>
      </c>
      <c r="B923" t="str">
        <f t="shared" si="315"/>
        <v>ENTRADA</v>
      </c>
      <c r="C923" t="str">
        <f t="shared" si="316"/>
        <v>NFSE</v>
      </c>
      <c r="D923" t="str">
        <f>"4093"</f>
        <v>4093</v>
      </c>
      <c r="E923" t="str">
        <f t="shared" si="317"/>
        <v>1</v>
      </c>
      <c r="F923" t="str">
        <f t="shared" si="305"/>
        <v>COM</v>
      </c>
      <c r="G923" t="str">
        <f>"BRASIL FARMA (10173)"</f>
        <v>BRASIL FARMA (10173)</v>
      </c>
      <c r="H923" t="str">
        <f>"Serv.Prest. 15/12/2025 a 21/12/2025 - RPS: 1855 - NFSe: 4093"</f>
        <v>Serv.Prest. 15/12/2025 a 21/12/2025 - RPS: 1855 - NFSe: 4093</v>
      </c>
      <c r="I923" t="str">
        <f t="shared" ref="I923:I929" si="319">("24/12/2025")</f>
        <v>24/12/2025</v>
      </c>
      <c r="J923" t="str">
        <f t="shared" si="318"/>
        <v>22/12/2025</v>
      </c>
      <c r="K923" t="str">
        <f>("26/12/2025")</f>
        <v>26/12/2025</v>
      </c>
      <c r="L923">
        <v>300.89999999999998</v>
      </c>
      <c r="M923">
        <v>307.11</v>
      </c>
      <c r="N923">
        <v>303</v>
      </c>
      <c r="O923" t="str">
        <f>"RECEITAS COM ENTREGAS"</f>
        <v>RECEITAS COM ENTREGAS</v>
      </c>
      <c r="P923">
        <v>307.11</v>
      </c>
      <c r="S923" t="str">
        <f>"RECEITAS COM ENTREGAS (303)"</f>
        <v>RECEITAS COM ENTREGAS (303)</v>
      </c>
      <c r="T923">
        <v>3679</v>
      </c>
      <c r="U923">
        <v>3111</v>
      </c>
      <c r="V923" t="s">
        <v>22</v>
      </c>
    </row>
    <row r="924" spans="1:22">
      <c r="A924" t="str">
        <f t="shared" si="314"/>
        <v>26/12/2025</v>
      </c>
      <c r="B924" t="str">
        <f t="shared" si="315"/>
        <v>ENTRADA</v>
      </c>
      <c r="C924" t="str">
        <f t="shared" si="316"/>
        <v>NFSE</v>
      </c>
      <c r="D924" t="str">
        <f>"4093"</f>
        <v>4093</v>
      </c>
      <c r="E924" t="str">
        <f t="shared" si="317"/>
        <v>1</v>
      </c>
      <c r="F924" t="str">
        <f t="shared" si="305"/>
        <v>COM</v>
      </c>
      <c r="G924" t="str">
        <f>"BRASIL FARMA (10173)"</f>
        <v>BRASIL FARMA (10173)</v>
      </c>
      <c r="H924" t="s">
        <v>272</v>
      </c>
      <c r="I924" t="str">
        <f t="shared" si="319"/>
        <v>24/12/2025</v>
      </c>
      <c r="J924" t="str">
        <f t="shared" si="318"/>
        <v>22/12/2025</v>
      </c>
      <c r="K924">
        <v>46017</v>
      </c>
      <c r="N924">
        <v>303</v>
      </c>
      <c r="O924" t="s">
        <v>30</v>
      </c>
      <c r="Q924">
        <v>307.11</v>
      </c>
      <c r="R924" t="str">
        <f>"BRASIL FARMA (10173)"</f>
        <v>BRASIL FARMA (10173)</v>
      </c>
      <c r="S924" t="s">
        <v>31</v>
      </c>
      <c r="T924">
        <v>3679</v>
      </c>
      <c r="U924">
        <v>3111</v>
      </c>
      <c r="V924" t="s">
        <v>22</v>
      </c>
    </row>
    <row r="925" spans="1:22">
      <c r="A925" t="str">
        <f t="shared" si="314"/>
        <v>26/12/2025</v>
      </c>
      <c r="B925" t="str">
        <f t="shared" si="315"/>
        <v>ENTRADA</v>
      </c>
      <c r="C925" t="str">
        <f t="shared" si="316"/>
        <v>NFSE</v>
      </c>
      <c r="D925" t="str">
        <f>"4100"</f>
        <v>4100</v>
      </c>
      <c r="E925" t="str">
        <f t="shared" si="317"/>
        <v>1</v>
      </c>
      <c r="F925" t="str">
        <f t="shared" si="305"/>
        <v>COM</v>
      </c>
      <c r="G925" t="str">
        <f>"FRAN FARMA (10124)"</f>
        <v>FRAN FARMA (10124)</v>
      </c>
      <c r="H925" t="str">
        <f>"Serv.Prest. 15/12/2025 a 21/12/2025 - RPS: 1862 - NFSe: 4100"</f>
        <v>Serv.Prest. 15/12/2025 a 21/12/2025 - RPS: 1862 - NFSe: 4100</v>
      </c>
      <c r="I925" t="str">
        <f t="shared" si="319"/>
        <v>24/12/2025</v>
      </c>
      <c r="J925" t="str">
        <f t="shared" si="318"/>
        <v>22/12/2025</v>
      </c>
      <c r="K925" t="str">
        <f>("26/12/2025")</f>
        <v>26/12/2025</v>
      </c>
      <c r="L925">
        <v>160</v>
      </c>
      <c r="M925">
        <v>160</v>
      </c>
      <c r="N925">
        <v>303</v>
      </c>
      <c r="O925" t="str">
        <f>"RECEITAS COM ENTREGAS"</f>
        <v>RECEITAS COM ENTREGAS</v>
      </c>
      <c r="P925">
        <v>160</v>
      </c>
      <c r="S925" t="str">
        <f>"RECEITAS COM ENTREGAS (303)"</f>
        <v>RECEITAS COM ENTREGAS (303)</v>
      </c>
      <c r="T925">
        <v>3680</v>
      </c>
      <c r="U925">
        <v>3118</v>
      </c>
      <c r="V925" t="s">
        <v>22</v>
      </c>
    </row>
    <row r="926" spans="1:22">
      <c r="A926" t="str">
        <f t="shared" si="314"/>
        <v>26/12/2025</v>
      </c>
      <c r="B926" t="str">
        <f t="shared" si="315"/>
        <v>ENTRADA</v>
      </c>
      <c r="C926" t="str">
        <f t="shared" si="316"/>
        <v>NFSE</v>
      </c>
      <c r="D926" t="str">
        <f>"4100"</f>
        <v>4100</v>
      </c>
      <c r="E926" t="str">
        <f t="shared" si="317"/>
        <v>1</v>
      </c>
      <c r="F926" t="str">
        <f t="shared" si="305"/>
        <v>COM</v>
      </c>
      <c r="G926" t="str">
        <f>"FRAN FARMA (10124)"</f>
        <v>FRAN FARMA (10124)</v>
      </c>
      <c r="H926" t="s">
        <v>273</v>
      </c>
      <c r="I926" t="str">
        <f t="shared" si="319"/>
        <v>24/12/2025</v>
      </c>
      <c r="J926" t="str">
        <f t="shared" si="318"/>
        <v>22/12/2025</v>
      </c>
      <c r="K926">
        <v>46017</v>
      </c>
      <c r="N926">
        <v>303</v>
      </c>
      <c r="O926" t="s">
        <v>30</v>
      </c>
      <c r="Q926">
        <v>96</v>
      </c>
      <c r="R926" t="str">
        <f>"FRAN FARMA LJ 2 (10131)"</f>
        <v>FRAN FARMA LJ 2 (10131)</v>
      </c>
      <c r="S926" t="s">
        <v>31</v>
      </c>
      <c r="T926">
        <v>3680</v>
      </c>
      <c r="U926">
        <v>3118</v>
      </c>
      <c r="V926" t="s">
        <v>22</v>
      </c>
    </row>
    <row r="927" spans="1:22">
      <c r="A927" t="str">
        <f t="shared" si="314"/>
        <v>26/12/2025</v>
      </c>
      <c r="B927" t="str">
        <f t="shared" si="315"/>
        <v>ENTRADA</v>
      </c>
      <c r="C927" t="str">
        <f t="shared" si="316"/>
        <v>NFSE</v>
      </c>
      <c r="D927" t="str">
        <f>"4100"</f>
        <v>4100</v>
      </c>
      <c r="E927" t="str">
        <f t="shared" si="317"/>
        <v>1</v>
      </c>
      <c r="F927" t="str">
        <f t="shared" ref="F927:F953" si="320">"COM"</f>
        <v>COM</v>
      </c>
      <c r="G927" t="str">
        <f>"FRAN FARMA (10124)"</f>
        <v>FRAN FARMA (10124)</v>
      </c>
      <c r="H927" t="s">
        <v>273</v>
      </c>
      <c r="I927" t="str">
        <f t="shared" si="319"/>
        <v>24/12/2025</v>
      </c>
      <c r="J927" t="str">
        <f t="shared" si="318"/>
        <v>22/12/2025</v>
      </c>
      <c r="K927">
        <v>46017</v>
      </c>
      <c r="N927">
        <v>303</v>
      </c>
      <c r="O927" t="s">
        <v>30</v>
      </c>
      <c r="Q927">
        <v>64</v>
      </c>
      <c r="R927" t="str">
        <f>"FRAN FARMA LJ 3 (10132)"</f>
        <v>FRAN FARMA LJ 3 (10132)</v>
      </c>
      <c r="S927" t="s">
        <v>31</v>
      </c>
      <c r="T927">
        <v>3680</v>
      </c>
      <c r="U927">
        <v>3118</v>
      </c>
      <c r="V927" t="s">
        <v>22</v>
      </c>
    </row>
    <row r="928" spans="1:22">
      <c r="A928" t="str">
        <f t="shared" si="314"/>
        <v>26/12/2025</v>
      </c>
      <c r="B928" t="str">
        <f t="shared" si="315"/>
        <v>ENTRADA</v>
      </c>
      <c r="C928" t="str">
        <f t="shared" si="316"/>
        <v>NFSE</v>
      </c>
      <c r="D928" t="str">
        <f>"4088"</f>
        <v>4088</v>
      </c>
      <c r="E928" t="str">
        <f t="shared" si="317"/>
        <v>1</v>
      </c>
      <c r="F928" t="str">
        <f t="shared" si="320"/>
        <v>COM</v>
      </c>
      <c r="G928" t="str">
        <f>"JAL FARMACIA E DROGARIA LJ 2 (10138)"</f>
        <v>JAL FARMACIA E DROGARIA LJ 2 (10138)</v>
      </c>
      <c r="H928" t="str">
        <f>"Serv.Prest. 15/12/2025 a 21/12/2025 - RPS: 1850 - NFSe: 4088"</f>
        <v>Serv.Prest. 15/12/2025 a 21/12/2025 - RPS: 1850 - NFSe: 4088</v>
      </c>
      <c r="I928" t="str">
        <f t="shared" si="319"/>
        <v>24/12/2025</v>
      </c>
      <c r="J928" t="str">
        <f t="shared" si="318"/>
        <v>22/12/2025</v>
      </c>
      <c r="K928" t="str">
        <f>("26/12/2025")</f>
        <v>26/12/2025</v>
      </c>
      <c r="L928">
        <v>294</v>
      </c>
      <c r="M928">
        <v>294</v>
      </c>
      <c r="N928">
        <v>303</v>
      </c>
      <c r="O928" t="str">
        <f>"RECEITAS COM ENTREGAS"</f>
        <v>RECEITAS COM ENTREGAS</v>
      </c>
      <c r="P928">
        <v>294</v>
      </c>
      <c r="S928" t="str">
        <f>"RECEITAS COM ENTREGAS (303)"</f>
        <v>RECEITAS COM ENTREGAS (303)</v>
      </c>
      <c r="T928">
        <v>3681</v>
      </c>
      <c r="U928">
        <v>3106</v>
      </c>
      <c r="V928" t="s">
        <v>22</v>
      </c>
    </row>
    <row r="929" spans="1:22">
      <c r="A929" t="str">
        <f t="shared" si="314"/>
        <v>26/12/2025</v>
      </c>
      <c r="B929" t="str">
        <f t="shared" si="315"/>
        <v>ENTRADA</v>
      </c>
      <c r="C929" t="str">
        <f t="shared" si="316"/>
        <v>NFSE</v>
      </c>
      <c r="D929" t="str">
        <f>"4088"</f>
        <v>4088</v>
      </c>
      <c r="E929" t="str">
        <f t="shared" si="317"/>
        <v>1</v>
      </c>
      <c r="F929" t="str">
        <f t="shared" si="320"/>
        <v>COM</v>
      </c>
      <c r="G929" t="str">
        <f>"JAL FARMACIA E DROGARIA LJ 2 (10138)"</f>
        <v>JAL FARMACIA E DROGARIA LJ 2 (10138)</v>
      </c>
      <c r="H929" t="s">
        <v>274</v>
      </c>
      <c r="I929" t="str">
        <f t="shared" si="319"/>
        <v>24/12/2025</v>
      </c>
      <c r="J929" t="str">
        <f t="shared" si="318"/>
        <v>22/12/2025</v>
      </c>
      <c r="K929">
        <v>46017</v>
      </c>
      <c r="N929">
        <v>303</v>
      </c>
      <c r="O929" t="s">
        <v>30</v>
      </c>
      <c r="Q929">
        <v>294</v>
      </c>
      <c r="R929" t="str">
        <f>"JAL FARMACIA E DROGARIA LJ 2 (10138)"</f>
        <v>JAL FARMACIA E DROGARIA LJ 2 (10138)</v>
      </c>
      <c r="S929" t="s">
        <v>31</v>
      </c>
      <c r="T929">
        <v>3681</v>
      </c>
      <c r="U929">
        <v>3106</v>
      </c>
      <c r="V929" t="s">
        <v>22</v>
      </c>
    </row>
    <row r="930" spans="1:22">
      <c r="A930" t="str">
        <f t="shared" si="314"/>
        <v>26/12/2025</v>
      </c>
      <c r="B930" t="str">
        <f>"SAÍDA"</f>
        <v>SAÍDA</v>
      </c>
      <c r="C930" t="str">
        <f>"BOLETO"</f>
        <v>BOLETO</v>
      </c>
      <c r="D930" t="str">
        <f>"011125"</f>
        <v>011125</v>
      </c>
      <c r="E930" t="str">
        <f>"3"</f>
        <v>3</v>
      </c>
      <c r="F930" t="str">
        <f t="shared" si="320"/>
        <v>COM</v>
      </c>
      <c r="G930" t="str">
        <f>"CORA SOCIEDADE DE CREDITO, FINANCIAMENTO E INVESTIMENTO (20035)"</f>
        <v>CORA SOCIEDADE DE CREDITO, FINANCIAMENTO E INVESTIMENTO (20035)</v>
      </c>
      <c r="H930" t="str">
        <f>"TAXA BOLETO CORA (16x1,7)"</f>
        <v>TAXA BOLETO CORA (16x1,7)</v>
      </c>
      <c r="I930" t="str">
        <f>("24/01/2026")</f>
        <v>24/01/2026</v>
      </c>
      <c r="J930" t="str">
        <f>("01/11/2025")</f>
        <v>01/11/2025</v>
      </c>
      <c r="K930" t="str">
        <f>("26/12/2025")</f>
        <v>26/12/2025</v>
      </c>
      <c r="L930">
        <v>27.2</v>
      </c>
      <c r="M930">
        <v>27.2</v>
      </c>
      <c r="N930">
        <v>401</v>
      </c>
      <c r="O930" t="str">
        <f>"IOF/JUROS/DESP.FINANCEIRA"</f>
        <v>IOF/JUROS/DESP.FINANCEIRA</v>
      </c>
      <c r="P930">
        <v>27.2</v>
      </c>
      <c r="S930" t="str">
        <f>"BANCO CORA (102)"</f>
        <v>BANCO CORA (102)</v>
      </c>
      <c r="T930">
        <v>3736</v>
      </c>
      <c r="U930">
        <v>3291</v>
      </c>
      <c r="V930" t="s">
        <v>22</v>
      </c>
    </row>
    <row r="931" spans="1:22">
      <c r="A931" t="str">
        <f t="shared" si="314"/>
        <v>26/12/2025</v>
      </c>
      <c r="B931" t="str">
        <f>"SAÍDA"</f>
        <v>SAÍDA</v>
      </c>
      <c r="C931" t="str">
        <f>"BOLETO"</f>
        <v>BOLETO</v>
      </c>
      <c r="D931" t="str">
        <f>"011125"</f>
        <v>011125</v>
      </c>
      <c r="E931" t="str">
        <f>"3"</f>
        <v>3</v>
      </c>
      <c r="F931" t="str">
        <f t="shared" si="320"/>
        <v>COM</v>
      </c>
      <c r="G931" t="str">
        <f>"CORA SOCIEDADE DE CREDITO, FINANCIAMENTO E INVESTIMENTO (20035)"</f>
        <v>CORA SOCIEDADE DE CREDITO, FINANCIAMENTO E INVESTIMENTO (20035)</v>
      </c>
      <c r="H931" t="s">
        <v>275</v>
      </c>
      <c r="I931" t="str">
        <f>("24/01/2026")</f>
        <v>24/01/2026</v>
      </c>
      <c r="J931" t="str">
        <f>("01/11/2025")</f>
        <v>01/11/2025</v>
      </c>
      <c r="K931">
        <v>46017</v>
      </c>
      <c r="N931">
        <v>401</v>
      </c>
      <c r="O931" t="s">
        <v>34</v>
      </c>
      <c r="Q931">
        <v>27.2</v>
      </c>
      <c r="R931" t="str">
        <f>"CORA SOCIEDADE DE CREDITO, FINANCIAMENTO E INVESTIMENTO (20035)"</f>
        <v>CORA SOCIEDADE DE CREDITO, FINANCIAMENTO E INVESTIMENTO (20035)</v>
      </c>
      <c r="S931" t="s">
        <v>22</v>
      </c>
      <c r="T931">
        <v>3736</v>
      </c>
      <c r="U931">
        <v>3291</v>
      </c>
      <c r="V931" t="s">
        <v>22</v>
      </c>
    </row>
    <row r="932" spans="1:22">
      <c r="A932" t="str">
        <f>("27/12/2025")</f>
        <v>27/12/2025</v>
      </c>
      <c r="B932" t="str">
        <f>"SAÍDA"</f>
        <v>SAÍDA</v>
      </c>
      <c r="C932" t="str">
        <f>"PIX"</f>
        <v>PIX</v>
      </c>
      <c r="D932" t="str">
        <f>"1509251000"</f>
        <v>1509251000</v>
      </c>
      <c r="E932" t="str">
        <f>""</f>
        <v/>
      </c>
      <c r="F932" t="str">
        <f t="shared" si="320"/>
        <v>COM</v>
      </c>
      <c r="G932" t="str">
        <f>"CONTA SIMPLES SOLUCOES DE PAGAMENTOS LTDA (20019)"</f>
        <v>CONTA SIMPLES SOLUCOES DE PAGAMENTOS LTDA (20019)</v>
      </c>
      <c r="H932" t="str">
        <f>"MARKETING REDES SOCIAIS - PIX- CHAVE ALEATORIA: 1d5b84cc-db31-469d-b8ee-076ced54c3e9"</f>
        <v>MARKETING REDES SOCIAIS - PIX- CHAVE ALEATORIA: 1d5b84cc-db31-469d-b8ee-076ced54c3e9</v>
      </c>
      <c r="I932" t="str">
        <f>("27/12/2025")</f>
        <v>27/12/2025</v>
      </c>
      <c r="J932" t="str">
        <f>("15/12/2025")</f>
        <v>15/12/2025</v>
      </c>
      <c r="K932" t="str">
        <f>("27/12/2025")</f>
        <v>27/12/2025</v>
      </c>
      <c r="L932">
        <v>1500</v>
      </c>
      <c r="M932">
        <v>1500</v>
      </c>
      <c r="N932">
        <v>127</v>
      </c>
      <c r="O932" t="str">
        <f>"PUBLICIDADE E PROPAGANDAS"</f>
        <v>PUBLICIDADE E PROPAGANDAS</v>
      </c>
      <c r="P932">
        <v>1500</v>
      </c>
      <c r="S932" t="str">
        <f>"BANCO CORA (102)"</f>
        <v>BANCO CORA (102)</v>
      </c>
      <c r="T932">
        <v>3919</v>
      </c>
      <c r="U932">
        <v>2175</v>
      </c>
      <c r="V932" t="s">
        <v>22</v>
      </c>
    </row>
    <row r="933" spans="1:22">
      <c r="A933" t="str">
        <f>("27/12/2025")</f>
        <v>27/12/2025</v>
      </c>
      <c r="B933" t="str">
        <f>"SAÍDA"</f>
        <v>SAÍDA</v>
      </c>
      <c r="C933" t="str">
        <f>"PIX"</f>
        <v>PIX</v>
      </c>
      <c r="D933" t="str">
        <f>"1509251000"</f>
        <v>1509251000</v>
      </c>
      <c r="E933" t="str">
        <f>""</f>
        <v/>
      </c>
      <c r="F933" t="str">
        <f t="shared" si="320"/>
        <v>COM</v>
      </c>
      <c r="G933" t="str">
        <f>"CONTA SIMPLES SOLUCOES DE PAGAMENTOS LTDA (20019)"</f>
        <v>CONTA SIMPLES SOLUCOES DE PAGAMENTOS LTDA (20019)</v>
      </c>
      <c r="H933" t="s">
        <v>23</v>
      </c>
      <c r="I933" t="str">
        <f>("27/12/2025")</f>
        <v>27/12/2025</v>
      </c>
      <c r="J933" t="str">
        <f>("15/12/2025")</f>
        <v>15/12/2025</v>
      </c>
      <c r="K933">
        <v>46018</v>
      </c>
      <c r="N933">
        <v>127</v>
      </c>
      <c r="O933" t="s">
        <v>24</v>
      </c>
      <c r="Q933">
        <v>1500</v>
      </c>
      <c r="R933" t="str">
        <f>"CONTA SIMPLES SOLUCOES DE PAGAMENTOS LTDA (20019)"</f>
        <v>CONTA SIMPLES SOLUCOES DE PAGAMENTOS LTDA (20019)</v>
      </c>
      <c r="S933" t="s">
        <v>22</v>
      </c>
      <c r="T933">
        <v>3919</v>
      </c>
      <c r="U933">
        <v>2175</v>
      </c>
      <c r="V933" t="s">
        <v>22</v>
      </c>
    </row>
    <row r="934" spans="1:22">
      <c r="A934" t="str">
        <f>("29/12/2025")</f>
        <v>29/12/2025</v>
      </c>
      <c r="B934" t="str">
        <f>"ENTRADA"</f>
        <v>ENTRADA</v>
      </c>
      <c r="C934" t="str">
        <f>"NFSE"</f>
        <v>NFSE</v>
      </c>
      <c r="D934" t="str">
        <f>"4107"</f>
        <v>4107</v>
      </c>
      <c r="E934" t="str">
        <f>"1"</f>
        <v>1</v>
      </c>
      <c r="F934" t="str">
        <f t="shared" si="320"/>
        <v>COM</v>
      </c>
      <c r="G934" t="str">
        <f>"DROGARIA VAZ (10179)"</f>
        <v>DROGARIA VAZ (10179)</v>
      </c>
      <c r="H934" t="str">
        <f>"Serv.Prest. 15/12/2025 a 21/12/2025 - RPS: 1869 - NFSe: 4107"</f>
        <v>Serv.Prest. 15/12/2025 a 21/12/2025 - RPS: 1869 - NFSe: 4107</v>
      </c>
      <c r="I934" t="str">
        <f>("24/12/2025")</f>
        <v>24/12/2025</v>
      </c>
      <c r="J934" t="str">
        <f>("22/12/2025")</f>
        <v>22/12/2025</v>
      </c>
      <c r="K934" t="str">
        <f>("29/12/2025")</f>
        <v>29/12/2025</v>
      </c>
      <c r="L934">
        <v>408.16</v>
      </c>
      <c r="M934">
        <v>417</v>
      </c>
      <c r="N934">
        <v>303</v>
      </c>
      <c r="O934" t="str">
        <f>"RECEITAS COM ENTREGAS"</f>
        <v>RECEITAS COM ENTREGAS</v>
      </c>
      <c r="P934">
        <v>417</v>
      </c>
      <c r="S934" t="str">
        <f>"RECEITAS COM ENTREGAS (303)"</f>
        <v>RECEITAS COM ENTREGAS (303)</v>
      </c>
      <c r="T934">
        <v>3683</v>
      </c>
      <c r="U934">
        <v>3125</v>
      </c>
      <c r="V934" t="s">
        <v>22</v>
      </c>
    </row>
    <row r="935" spans="1:22">
      <c r="A935" t="str">
        <f>("29/12/2025")</f>
        <v>29/12/2025</v>
      </c>
      <c r="B935" t="str">
        <f>"ENTRADA"</f>
        <v>ENTRADA</v>
      </c>
      <c r="C935" t="str">
        <f>"NFSE"</f>
        <v>NFSE</v>
      </c>
      <c r="D935" t="str">
        <f>"4107"</f>
        <v>4107</v>
      </c>
      <c r="E935" t="str">
        <f>"1"</f>
        <v>1</v>
      </c>
      <c r="F935" t="str">
        <f t="shared" si="320"/>
        <v>COM</v>
      </c>
      <c r="G935" t="str">
        <f>"DROGARIA VAZ (10179)"</f>
        <v>DROGARIA VAZ (10179)</v>
      </c>
      <c r="H935" t="s">
        <v>276</v>
      </c>
      <c r="I935" t="str">
        <f>("24/12/2025")</f>
        <v>24/12/2025</v>
      </c>
      <c r="J935" t="str">
        <f>("22/12/2025")</f>
        <v>22/12/2025</v>
      </c>
      <c r="K935">
        <v>46020</v>
      </c>
      <c r="N935">
        <v>303</v>
      </c>
      <c r="O935" t="s">
        <v>30</v>
      </c>
      <c r="Q935">
        <v>417</v>
      </c>
      <c r="R935" t="str">
        <f>"DROGARIA VAZ (10179)"</f>
        <v>DROGARIA VAZ (10179)</v>
      </c>
      <c r="S935" t="s">
        <v>31</v>
      </c>
      <c r="T935">
        <v>3683</v>
      </c>
      <c r="U935">
        <v>3125</v>
      </c>
      <c r="V935" t="s">
        <v>22</v>
      </c>
    </row>
    <row r="936" spans="1:22">
      <c r="A936" t="str">
        <f>("29/12/2025")</f>
        <v>29/12/2025</v>
      </c>
      <c r="B936" t="str">
        <f>"SAÍDA"</f>
        <v>SAÍDA</v>
      </c>
      <c r="C936" t="str">
        <f>"BOLETO"</f>
        <v>BOLETO</v>
      </c>
      <c r="D936" t="str">
        <f>"2912"</f>
        <v>2912</v>
      </c>
      <c r="E936" t="str">
        <f>"25"</f>
        <v>25</v>
      </c>
      <c r="F936" t="str">
        <f t="shared" si="320"/>
        <v>COM</v>
      </c>
      <c r="G936" t="str">
        <f>"CORA SOCIEDADE DE CREDITO, FINANCIAMENTO E INVESTIMENTO (20035)"</f>
        <v>CORA SOCIEDADE DE CREDITO, FINANCIAMENTO E INVESTIMENTO (20035)</v>
      </c>
      <c r="H936" t="str">
        <f>"TAXA BOLETO CORA"</f>
        <v>TAXA BOLETO CORA</v>
      </c>
      <c r="I936" t="str">
        <f>("29/12/2025")</f>
        <v>29/12/2025</v>
      </c>
      <c r="J936" t="str">
        <f>("29/12/2025")</f>
        <v>29/12/2025</v>
      </c>
      <c r="K936" t="str">
        <f>("29/12/2025")</f>
        <v>29/12/2025</v>
      </c>
      <c r="L936">
        <v>0.5</v>
      </c>
      <c r="M936">
        <v>0.5</v>
      </c>
      <c r="N936">
        <v>401</v>
      </c>
      <c r="O936" t="str">
        <f>"IOF/JUROS/DESP.FINANCEIRA"</f>
        <v>IOF/JUROS/DESP.FINANCEIRA</v>
      </c>
      <c r="P936">
        <v>0.5</v>
      </c>
      <c r="S936" t="str">
        <f>"BANCO CORA (102)"</f>
        <v>BANCO CORA (102)</v>
      </c>
      <c r="T936">
        <v>3920</v>
      </c>
      <c r="U936">
        <v>3301</v>
      </c>
      <c r="V936" t="s">
        <v>22</v>
      </c>
    </row>
    <row r="937" spans="1:22">
      <c r="A937" t="str">
        <f>("29/12/2025")</f>
        <v>29/12/2025</v>
      </c>
      <c r="B937" t="str">
        <f>"SAÍDA"</f>
        <v>SAÍDA</v>
      </c>
      <c r="C937" t="str">
        <f>"BOLETO"</f>
        <v>BOLETO</v>
      </c>
      <c r="D937" t="str">
        <f>"2912"</f>
        <v>2912</v>
      </c>
      <c r="E937" t="str">
        <f>"25"</f>
        <v>25</v>
      </c>
      <c r="F937" t="str">
        <f t="shared" si="320"/>
        <v>COM</v>
      </c>
      <c r="G937" t="str">
        <f>"CORA SOCIEDADE DE CREDITO, FINANCIAMENTO E INVESTIMENTO (20035)"</f>
        <v>CORA SOCIEDADE DE CREDITO, FINANCIAMENTO E INVESTIMENTO (20035)</v>
      </c>
      <c r="H937" t="s">
        <v>33</v>
      </c>
      <c r="I937" t="str">
        <f>("29/12/2025")</f>
        <v>29/12/2025</v>
      </c>
      <c r="J937" t="str">
        <f>("29/12/2025")</f>
        <v>29/12/2025</v>
      </c>
      <c r="K937">
        <v>46020</v>
      </c>
      <c r="N937">
        <v>401</v>
      </c>
      <c r="O937" t="s">
        <v>34</v>
      </c>
      <c r="Q937">
        <v>0.5</v>
      </c>
      <c r="R937" t="str">
        <f>"CORA SOCIEDADE DE CREDITO, FINANCIAMENTO E INVESTIMENTO (20035)"</f>
        <v>CORA SOCIEDADE DE CREDITO, FINANCIAMENTO E INVESTIMENTO (20035)</v>
      </c>
      <c r="S937" t="s">
        <v>22</v>
      </c>
      <c r="T937">
        <v>3920</v>
      </c>
      <c r="U937">
        <v>3301</v>
      </c>
      <c r="V937" t="s">
        <v>22</v>
      </c>
    </row>
    <row r="938" spans="1:22">
      <c r="A938" t="str">
        <f t="shared" ref="A938:A956" si="321">("30/12/2025")</f>
        <v>30/12/2025</v>
      </c>
      <c r="B938" t="str">
        <f t="shared" ref="B938:B953" si="322">"ENTRADA"</f>
        <v>ENTRADA</v>
      </c>
      <c r="C938" t="str">
        <f t="shared" ref="C938:C953" si="323">"NFSE"</f>
        <v>NFSE</v>
      </c>
      <c r="D938" t="str">
        <f>"4128"</f>
        <v>4128</v>
      </c>
      <c r="E938" t="str">
        <f t="shared" ref="E938:E953" si="324">"1"</f>
        <v>1</v>
      </c>
      <c r="F938" t="str">
        <f t="shared" si="320"/>
        <v>COM</v>
      </c>
      <c r="G938" t="str">
        <f>"ENTREFARMA (10164)"</f>
        <v>ENTREFARMA (10164)</v>
      </c>
      <c r="H938" t="str">
        <f>"Serv.Prest. 22/12/2025 a 28/12/2025 - RPS: 1890 - NFSe: 4128"</f>
        <v>Serv.Prest. 22/12/2025 a 28/12/2025 - RPS: 1890 - NFSe: 4128</v>
      </c>
      <c r="I938" t="str">
        <f t="shared" ref="I938:I943" si="325">("31/12/2025")</f>
        <v>31/12/2025</v>
      </c>
      <c r="J938" t="str">
        <f t="shared" ref="J938:J943" si="326">("29/12/2025")</f>
        <v>29/12/2025</v>
      </c>
      <c r="K938" t="str">
        <f>("30/12/2025")</f>
        <v>30/12/2025</v>
      </c>
      <c r="L938">
        <v>782.85</v>
      </c>
      <c r="M938">
        <v>782.85</v>
      </c>
      <c r="N938">
        <v>303</v>
      </c>
      <c r="O938" t="str">
        <f>"RECEITAS COM ENTREGAS"</f>
        <v>RECEITAS COM ENTREGAS</v>
      </c>
      <c r="P938">
        <v>782.85</v>
      </c>
      <c r="S938" t="str">
        <f>"RECEITAS COM ENTREGAS (303)"</f>
        <v>RECEITAS COM ENTREGAS (303)</v>
      </c>
      <c r="T938">
        <v>3673</v>
      </c>
      <c r="U938">
        <v>3148</v>
      </c>
      <c r="V938" t="s">
        <v>22</v>
      </c>
    </row>
    <row r="939" spans="1:22">
      <c r="A939" t="str">
        <f t="shared" si="321"/>
        <v>30/12/2025</v>
      </c>
      <c r="B939" t="str">
        <f t="shared" si="322"/>
        <v>ENTRADA</v>
      </c>
      <c r="C939" t="str">
        <f t="shared" si="323"/>
        <v>NFSE</v>
      </c>
      <c r="D939" t="str">
        <f>"4128"</f>
        <v>4128</v>
      </c>
      <c r="E939" t="str">
        <f t="shared" si="324"/>
        <v>1</v>
      </c>
      <c r="F939" t="str">
        <f t="shared" si="320"/>
        <v>COM</v>
      </c>
      <c r="G939" t="str">
        <f>"ENTREFARMA (10164)"</f>
        <v>ENTREFARMA (10164)</v>
      </c>
      <c r="H939" t="s">
        <v>277</v>
      </c>
      <c r="I939" t="str">
        <f t="shared" si="325"/>
        <v>31/12/2025</v>
      </c>
      <c r="J939" t="str">
        <f t="shared" si="326"/>
        <v>29/12/2025</v>
      </c>
      <c r="K939">
        <v>46021</v>
      </c>
      <c r="N939">
        <v>303</v>
      </c>
      <c r="O939" t="s">
        <v>30</v>
      </c>
      <c r="Q939">
        <v>782.85</v>
      </c>
      <c r="R939" t="str">
        <f>"ENTREFARMA (10164)"</f>
        <v>ENTREFARMA (10164)</v>
      </c>
      <c r="S939" t="s">
        <v>31</v>
      </c>
      <c r="T939">
        <v>3673</v>
      </c>
      <c r="U939">
        <v>3148</v>
      </c>
      <c r="V939" t="s">
        <v>22</v>
      </c>
    </row>
    <row r="940" spans="1:22">
      <c r="A940" t="str">
        <f t="shared" si="321"/>
        <v>30/12/2025</v>
      </c>
      <c r="B940" t="str">
        <f t="shared" si="322"/>
        <v>ENTRADA</v>
      </c>
      <c r="C940" t="str">
        <f t="shared" si="323"/>
        <v>NFSE</v>
      </c>
      <c r="D940" t="str">
        <f>"4156"</f>
        <v>4156</v>
      </c>
      <c r="E940" t="str">
        <f t="shared" si="324"/>
        <v>1</v>
      </c>
      <c r="F940" t="str">
        <f t="shared" si="320"/>
        <v>COM</v>
      </c>
      <c r="G940" t="str">
        <f>"LBL FARMACIA LTDA (10189)"</f>
        <v>LBL FARMACIA LTDA (10189)</v>
      </c>
      <c r="H940" t="str">
        <f>"Serv.Prest. 22/12/2025 a 28/12/2025 - RPS: 1918 - NFSe: 4156"</f>
        <v>Serv.Prest. 22/12/2025 a 28/12/2025 - RPS: 1918 - NFSe: 4156</v>
      </c>
      <c r="I940" t="str">
        <f t="shared" si="325"/>
        <v>31/12/2025</v>
      </c>
      <c r="J940" t="str">
        <f t="shared" si="326"/>
        <v>29/12/2025</v>
      </c>
      <c r="K940" t="str">
        <f>("30/12/2025")</f>
        <v>30/12/2025</v>
      </c>
      <c r="L940">
        <v>108.15</v>
      </c>
      <c r="M940">
        <v>108.15</v>
      </c>
      <c r="N940">
        <v>303</v>
      </c>
      <c r="O940" t="str">
        <f>"RECEITAS COM ENTREGAS"</f>
        <v>RECEITAS COM ENTREGAS</v>
      </c>
      <c r="P940">
        <v>108.15</v>
      </c>
      <c r="S940" t="str">
        <f>"RECEITAS COM ENTREGAS (303)"</f>
        <v>RECEITAS COM ENTREGAS (303)</v>
      </c>
      <c r="T940">
        <v>3674</v>
      </c>
      <c r="U940">
        <v>3176</v>
      </c>
      <c r="V940" t="s">
        <v>22</v>
      </c>
    </row>
    <row r="941" spans="1:22">
      <c r="A941" t="str">
        <f t="shared" si="321"/>
        <v>30/12/2025</v>
      </c>
      <c r="B941" t="str">
        <f t="shared" si="322"/>
        <v>ENTRADA</v>
      </c>
      <c r="C941" t="str">
        <f t="shared" si="323"/>
        <v>NFSE</v>
      </c>
      <c r="D941" t="str">
        <f>"4156"</f>
        <v>4156</v>
      </c>
      <c r="E941" t="str">
        <f t="shared" si="324"/>
        <v>1</v>
      </c>
      <c r="F941" t="str">
        <f t="shared" si="320"/>
        <v>COM</v>
      </c>
      <c r="G941" t="str">
        <f>"LBL FARMACIA LTDA (10189)"</f>
        <v>LBL FARMACIA LTDA (10189)</v>
      </c>
      <c r="H941" t="s">
        <v>278</v>
      </c>
      <c r="I941" t="str">
        <f t="shared" si="325"/>
        <v>31/12/2025</v>
      </c>
      <c r="J941" t="str">
        <f t="shared" si="326"/>
        <v>29/12/2025</v>
      </c>
      <c r="K941">
        <v>46021</v>
      </c>
      <c r="N941">
        <v>303</v>
      </c>
      <c r="O941" t="s">
        <v>30</v>
      </c>
      <c r="Q941">
        <v>108.15</v>
      </c>
      <c r="R941" t="str">
        <f>"LBL FARMACIA LTDA (10189)"</f>
        <v>LBL FARMACIA LTDA (10189)</v>
      </c>
      <c r="S941" t="s">
        <v>31</v>
      </c>
      <c r="T941">
        <v>3674</v>
      </c>
      <c r="U941">
        <v>3176</v>
      </c>
      <c r="V941" t="s">
        <v>22</v>
      </c>
    </row>
    <row r="942" spans="1:22">
      <c r="A942" t="str">
        <f t="shared" si="321"/>
        <v>30/12/2025</v>
      </c>
      <c r="B942" t="str">
        <f t="shared" si="322"/>
        <v>ENTRADA</v>
      </c>
      <c r="C942" t="str">
        <f t="shared" si="323"/>
        <v>NFSE</v>
      </c>
      <c r="D942" t="str">
        <f>"4157"</f>
        <v>4157</v>
      </c>
      <c r="E942" t="str">
        <f t="shared" si="324"/>
        <v>1</v>
      </c>
      <c r="F942" t="str">
        <f t="shared" si="320"/>
        <v>COM</v>
      </c>
      <c r="G942" t="str">
        <f>"LBL FARMACIA LTDA FILIAL (10192)"</f>
        <v>LBL FARMACIA LTDA FILIAL (10192)</v>
      </c>
      <c r="H942" t="str">
        <f>"Serv.Prest. 22/12/2025 a 28/12/2025 - RPS: 1919 - NFSe: 4157"</f>
        <v>Serv.Prest. 22/12/2025 a 28/12/2025 - RPS: 1919 - NFSe: 4157</v>
      </c>
      <c r="I942" t="str">
        <f t="shared" si="325"/>
        <v>31/12/2025</v>
      </c>
      <c r="J942" t="str">
        <f t="shared" si="326"/>
        <v>29/12/2025</v>
      </c>
      <c r="K942" t="str">
        <f>("30/12/2025")</f>
        <v>30/12/2025</v>
      </c>
      <c r="L942">
        <v>300.3</v>
      </c>
      <c r="M942">
        <v>300.3</v>
      </c>
      <c r="N942">
        <v>303</v>
      </c>
      <c r="O942" t="str">
        <f>"RECEITAS COM ENTREGAS"</f>
        <v>RECEITAS COM ENTREGAS</v>
      </c>
      <c r="P942">
        <v>300.3</v>
      </c>
      <c r="S942" t="str">
        <f>"RECEITAS COM ENTREGAS (303)"</f>
        <v>RECEITAS COM ENTREGAS (303)</v>
      </c>
      <c r="T942">
        <v>3675</v>
      </c>
      <c r="U942">
        <v>3177</v>
      </c>
      <c r="V942" t="s">
        <v>22</v>
      </c>
    </row>
    <row r="943" spans="1:22">
      <c r="A943" t="str">
        <f t="shared" si="321"/>
        <v>30/12/2025</v>
      </c>
      <c r="B943" t="str">
        <f t="shared" si="322"/>
        <v>ENTRADA</v>
      </c>
      <c r="C943" t="str">
        <f t="shared" si="323"/>
        <v>NFSE</v>
      </c>
      <c r="D943" t="str">
        <f>"4157"</f>
        <v>4157</v>
      </c>
      <c r="E943" t="str">
        <f t="shared" si="324"/>
        <v>1</v>
      </c>
      <c r="F943" t="str">
        <f t="shared" si="320"/>
        <v>COM</v>
      </c>
      <c r="G943" t="str">
        <f>"LBL FARMACIA LTDA FILIAL (10192)"</f>
        <v>LBL FARMACIA LTDA FILIAL (10192)</v>
      </c>
      <c r="H943" t="s">
        <v>279</v>
      </c>
      <c r="I943" t="str">
        <f t="shared" si="325"/>
        <v>31/12/2025</v>
      </c>
      <c r="J943" t="str">
        <f t="shared" si="326"/>
        <v>29/12/2025</v>
      </c>
      <c r="K943">
        <v>46021</v>
      </c>
      <c r="N943">
        <v>303</v>
      </c>
      <c r="O943" t="s">
        <v>30</v>
      </c>
      <c r="Q943">
        <v>300.3</v>
      </c>
      <c r="R943" t="str">
        <f>"LBL FARMACIA LTDA FILIAL (10192)"</f>
        <v>LBL FARMACIA LTDA FILIAL (10192)</v>
      </c>
      <c r="S943" t="s">
        <v>31</v>
      </c>
      <c r="T943">
        <v>3675</v>
      </c>
      <c r="U943">
        <v>3177</v>
      </c>
      <c r="V943" t="s">
        <v>22</v>
      </c>
    </row>
    <row r="944" spans="1:22">
      <c r="A944" t="str">
        <f t="shared" si="321"/>
        <v>30/12/2025</v>
      </c>
      <c r="B944" t="str">
        <f t="shared" si="322"/>
        <v>ENTRADA</v>
      </c>
      <c r="C944" t="str">
        <f t="shared" si="323"/>
        <v>NFSE</v>
      </c>
      <c r="D944" t="str">
        <f>"4092"</f>
        <v>4092</v>
      </c>
      <c r="E944" t="str">
        <f t="shared" si="324"/>
        <v>1</v>
      </c>
      <c r="F944" t="str">
        <f t="shared" si="320"/>
        <v>COM</v>
      </c>
      <c r="G944" t="str">
        <f>"BELLESE FARMA (10279)"</f>
        <v>BELLESE FARMA (10279)</v>
      </c>
      <c r="H944" t="str">
        <f>"Serv.Prest. 15/12/2025 a 21/12/2025 - RPS: 1854 - NFSe: 4092"</f>
        <v>Serv.Prest. 15/12/2025 a 21/12/2025 - RPS: 1854 - NFSe: 4092</v>
      </c>
      <c r="I944" t="str">
        <f>("24/12/2025")</f>
        <v>24/12/2025</v>
      </c>
      <c r="J944" t="str">
        <f>("22/12/2025")</f>
        <v>22/12/2025</v>
      </c>
      <c r="K944" t="str">
        <f>("30/12/2025")</f>
        <v>30/12/2025</v>
      </c>
      <c r="L944">
        <v>162.69</v>
      </c>
      <c r="M944">
        <v>162.69</v>
      </c>
      <c r="N944">
        <v>303</v>
      </c>
      <c r="O944" t="str">
        <f>"RECEITAS COM ENTREGAS"</f>
        <v>RECEITAS COM ENTREGAS</v>
      </c>
      <c r="P944">
        <v>162.69</v>
      </c>
      <c r="S944" t="str">
        <f>"RECEITAS COM ENTREGAS (303)"</f>
        <v>RECEITAS COM ENTREGAS (303)</v>
      </c>
      <c r="T944">
        <v>3676</v>
      </c>
      <c r="U944">
        <v>3110</v>
      </c>
      <c r="V944" t="s">
        <v>22</v>
      </c>
    </row>
    <row r="945" spans="1:22">
      <c r="A945" t="str">
        <f t="shared" si="321"/>
        <v>30/12/2025</v>
      </c>
      <c r="B945" t="str">
        <f t="shared" si="322"/>
        <v>ENTRADA</v>
      </c>
      <c r="C945" t="str">
        <f t="shared" si="323"/>
        <v>NFSE</v>
      </c>
      <c r="D945" t="str">
        <f>"4092"</f>
        <v>4092</v>
      </c>
      <c r="E945" t="str">
        <f t="shared" si="324"/>
        <v>1</v>
      </c>
      <c r="F945" t="str">
        <f t="shared" si="320"/>
        <v>COM</v>
      </c>
      <c r="G945" t="str">
        <f>"BELLESE FARMA (10279)"</f>
        <v>BELLESE FARMA (10279)</v>
      </c>
      <c r="H945" t="s">
        <v>280</v>
      </c>
      <c r="I945" t="str">
        <f>("24/12/2025")</f>
        <v>24/12/2025</v>
      </c>
      <c r="J945" t="str">
        <f>("22/12/2025")</f>
        <v>22/12/2025</v>
      </c>
      <c r="K945">
        <v>46021</v>
      </c>
      <c r="N945">
        <v>303</v>
      </c>
      <c r="O945" t="s">
        <v>30</v>
      </c>
      <c r="Q945">
        <v>162.69</v>
      </c>
      <c r="R945" t="str">
        <f>"BELLESE FARMA (10279)"</f>
        <v>BELLESE FARMA (10279)</v>
      </c>
      <c r="S945" t="s">
        <v>31</v>
      </c>
      <c r="T945">
        <v>3676</v>
      </c>
      <c r="U945">
        <v>3110</v>
      </c>
      <c r="V945" t="s">
        <v>22</v>
      </c>
    </row>
    <row r="946" spans="1:22">
      <c r="A946" t="str">
        <f t="shared" si="321"/>
        <v>30/12/2025</v>
      </c>
      <c r="B946" t="str">
        <f t="shared" si="322"/>
        <v>ENTRADA</v>
      </c>
      <c r="C946" t="str">
        <f t="shared" si="323"/>
        <v>NFSE</v>
      </c>
      <c r="D946" t="str">
        <f>"4162"</f>
        <v>4162</v>
      </c>
      <c r="E946" t="str">
        <f t="shared" si="324"/>
        <v>1</v>
      </c>
      <c r="F946" t="str">
        <f t="shared" si="320"/>
        <v>COM</v>
      </c>
      <c r="G946" t="str">
        <f>"BELLESE FARMA (10279)"</f>
        <v>BELLESE FARMA (10279)</v>
      </c>
      <c r="H946" t="str">
        <f>"Serv.Prest. 22/12/2025 a 28/12/2025 - RPS: 1924 - NFSe: 4162"</f>
        <v>Serv.Prest. 22/12/2025 a 28/12/2025 - RPS: 1924 - NFSe: 4162</v>
      </c>
      <c r="I946" t="str">
        <f>("31/12/2025")</f>
        <v>31/12/2025</v>
      </c>
      <c r="J946" t="str">
        <f>("29/12/2025")</f>
        <v>29/12/2025</v>
      </c>
      <c r="K946" t="str">
        <f>("30/12/2025")</f>
        <v>30/12/2025</v>
      </c>
      <c r="L946">
        <v>162.69</v>
      </c>
      <c r="M946">
        <v>162.69</v>
      </c>
      <c r="N946">
        <v>303</v>
      </c>
      <c r="O946" t="str">
        <f>"RECEITAS COM ENTREGAS"</f>
        <v>RECEITAS COM ENTREGAS</v>
      </c>
      <c r="P946">
        <v>162.69</v>
      </c>
      <c r="S946" t="str">
        <f>"RECEITAS COM ENTREGAS (303)"</f>
        <v>RECEITAS COM ENTREGAS (303)</v>
      </c>
      <c r="T946">
        <v>3677</v>
      </c>
      <c r="U946">
        <v>3182</v>
      </c>
      <c r="V946" t="s">
        <v>22</v>
      </c>
    </row>
    <row r="947" spans="1:22">
      <c r="A947" t="str">
        <f t="shared" si="321"/>
        <v>30/12/2025</v>
      </c>
      <c r="B947" t="str">
        <f t="shared" si="322"/>
        <v>ENTRADA</v>
      </c>
      <c r="C947" t="str">
        <f t="shared" si="323"/>
        <v>NFSE</v>
      </c>
      <c r="D947" t="str">
        <f>"4162"</f>
        <v>4162</v>
      </c>
      <c r="E947" t="str">
        <f t="shared" si="324"/>
        <v>1</v>
      </c>
      <c r="F947" t="str">
        <f t="shared" si="320"/>
        <v>COM</v>
      </c>
      <c r="G947" t="str">
        <f>"BELLESE FARMA (10279)"</f>
        <v>BELLESE FARMA (10279)</v>
      </c>
      <c r="H947" t="s">
        <v>281</v>
      </c>
      <c r="I947" t="str">
        <f>("31/12/2025")</f>
        <v>31/12/2025</v>
      </c>
      <c r="J947" t="str">
        <f>("29/12/2025")</f>
        <v>29/12/2025</v>
      </c>
      <c r="K947">
        <v>46021</v>
      </c>
      <c r="N947">
        <v>303</v>
      </c>
      <c r="O947" t="s">
        <v>30</v>
      </c>
      <c r="Q947">
        <v>162.69</v>
      </c>
      <c r="R947" t="str">
        <f>"BELLESE FARMA (10279)"</f>
        <v>BELLESE FARMA (10279)</v>
      </c>
      <c r="S947" t="s">
        <v>31</v>
      </c>
      <c r="T947">
        <v>3677</v>
      </c>
      <c r="U947">
        <v>3182</v>
      </c>
      <c r="V947" t="s">
        <v>22</v>
      </c>
    </row>
    <row r="948" spans="1:22">
      <c r="A948" t="str">
        <f t="shared" si="321"/>
        <v>30/12/2025</v>
      </c>
      <c r="B948" t="str">
        <f t="shared" si="322"/>
        <v>ENTRADA</v>
      </c>
      <c r="C948" t="str">
        <f t="shared" si="323"/>
        <v>NFSE</v>
      </c>
      <c r="D948" t="str">
        <f t="shared" ref="D948:D953" si="327">"4040"</f>
        <v>4040</v>
      </c>
      <c r="E948" t="str">
        <f t="shared" si="324"/>
        <v>1</v>
      </c>
      <c r="F948" t="str">
        <f t="shared" si="320"/>
        <v>COM</v>
      </c>
      <c r="G948" t="str">
        <f t="shared" ref="G948:G953" si="328">"PAGMENOS - LJ 608 (10135)"</f>
        <v>PAGMENOS - LJ 608 (10135)</v>
      </c>
      <c r="H948" t="str">
        <f>"Serv.Prest. 08/12/2025 a 14/12/2025 - RPS: 1802 - NFSe: 4040"</f>
        <v>Serv.Prest. 08/12/2025 a 14/12/2025 - RPS: 1802 - NFSe: 4040</v>
      </c>
      <c r="I948" t="str">
        <f t="shared" ref="I948:I953" si="329">("24/12/2025")</f>
        <v>24/12/2025</v>
      </c>
      <c r="J948" t="str">
        <f t="shared" ref="J948:J953" si="330">("15/12/2025")</f>
        <v>15/12/2025</v>
      </c>
      <c r="K948" t="str">
        <f>("30/12/2025")</f>
        <v>30/12/2025</v>
      </c>
      <c r="L948">
        <v>1244.25</v>
      </c>
      <c r="M948">
        <v>1244.25</v>
      </c>
      <c r="N948">
        <v>303</v>
      </c>
      <c r="O948" t="str">
        <f>"RECEITAS COM ENTREGAS"</f>
        <v>RECEITAS COM ENTREGAS</v>
      </c>
      <c r="P948">
        <v>1244.25</v>
      </c>
      <c r="S948" t="str">
        <f>"RECEITAS COM ENTREGAS (303)"</f>
        <v>RECEITAS COM ENTREGAS (303)</v>
      </c>
      <c r="T948">
        <v>3678</v>
      </c>
      <c r="U948">
        <v>3055</v>
      </c>
      <c r="V948" t="s">
        <v>22</v>
      </c>
    </row>
    <row r="949" spans="1:22">
      <c r="A949" t="str">
        <f t="shared" si="321"/>
        <v>30/12/2025</v>
      </c>
      <c r="B949" t="str">
        <f t="shared" si="322"/>
        <v>ENTRADA</v>
      </c>
      <c r="C949" t="str">
        <f t="shared" si="323"/>
        <v>NFSE</v>
      </c>
      <c r="D949" t="str">
        <f t="shared" si="327"/>
        <v>4040</v>
      </c>
      <c r="E949" t="str">
        <f t="shared" si="324"/>
        <v>1</v>
      </c>
      <c r="F949" t="str">
        <f t="shared" si="320"/>
        <v>COM</v>
      </c>
      <c r="G949" t="str">
        <f t="shared" si="328"/>
        <v>PAGMENOS - LJ 608 (10135)</v>
      </c>
      <c r="H949" t="s">
        <v>282</v>
      </c>
      <c r="I949" t="str">
        <f t="shared" si="329"/>
        <v>24/12/2025</v>
      </c>
      <c r="J949" t="str">
        <f t="shared" si="330"/>
        <v>15/12/2025</v>
      </c>
      <c r="K949">
        <v>46021</v>
      </c>
      <c r="N949">
        <v>303</v>
      </c>
      <c r="O949" t="s">
        <v>30</v>
      </c>
      <c r="Q949">
        <v>220.23</v>
      </c>
      <c r="R949" t="str">
        <f>"PAGMENOS - LJ 608 (10135)"</f>
        <v>PAGMENOS - LJ 608 (10135)</v>
      </c>
      <c r="S949" t="s">
        <v>31</v>
      </c>
      <c r="T949">
        <v>3678</v>
      </c>
      <c r="U949">
        <v>3055</v>
      </c>
      <c r="V949" t="s">
        <v>22</v>
      </c>
    </row>
    <row r="950" spans="1:22">
      <c r="A950" t="str">
        <f t="shared" si="321"/>
        <v>30/12/2025</v>
      </c>
      <c r="B950" t="str">
        <f t="shared" si="322"/>
        <v>ENTRADA</v>
      </c>
      <c r="C950" t="str">
        <f t="shared" si="323"/>
        <v>NFSE</v>
      </c>
      <c r="D950" t="str">
        <f t="shared" si="327"/>
        <v>4040</v>
      </c>
      <c r="E950" t="str">
        <f t="shared" si="324"/>
        <v>1</v>
      </c>
      <c r="F950" t="str">
        <f t="shared" si="320"/>
        <v>COM</v>
      </c>
      <c r="G950" t="str">
        <f t="shared" si="328"/>
        <v>PAGMENOS - LJ 608 (10135)</v>
      </c>
      <c r="H950" t="s">
        <v>282</v>
      </c>
      <c r="I950" t="str">
        <f t="shared" si="329"/>
        <v>24/12/2025</v>
      </c>
      <c r="J950" t="str">
        <f t="shared" si="330"/>
        <v>15/12/2025</v>
      </c>
      <c r="K950">
        <v>46021</v>
      </c>
      <c r="N950">
        <v>303</v>
      </c>
      <c r="O950" t="s">
        <v>30</v>
      </c>
      <c r="Q950">
        <v>550.58000000000004</v>
      </c>
      <c r="R950" t="str">
        <f>"PAGMENOS - LJ 657 (10136)"</f>
        <v>PAGMENOS - LJ 657 (10136)</v>
      </c>
      <c r="S950" t="s">
        <v>31</v>
      </c>
      <c r="T950">
        <v>3678</v>
      </c>
      <c r="U950">
        <v>3055</v>
      </c>
      <c r="V950" t="s">
        <v>22</v>
      </c>
    </row>
    <row r="951" spans="1:22">
      <c r="A951" t="str">
        <f t="shared" si="321"/>
        <v>30/12/2025</v>
      </c>
      <c r="B951" t="str">
        <f t="shared" si="322"/>
        <v>ENTRADA</v>
      </c>
      <c r="C951" t="str">
        <f t="shared" si="323"/>
        <v>NFSE</v>
      </c>
      <c r="D951" t="str">
        <f t="shared" si="327"/>
        <v>4040</v>
      </c>
      <c r="E951" t="str">
        <f t="shared" si="324"/>
        <v>1</v>
      </c>
      <c r="F951" t="str">
        <f t="shared" si="320"/>
        <v>COM</v>
      </c>
      <c r="G951" t="str">
        <f t="shared" si="328"/>
        <v>PAGMENOS - LJ 608 (10135)</v>
      </c>
      <c r="H951" t="s">
        <v>282</v>
      </c>
      <c r="I951" t="str">
        <f t="shared" si="329"/>
        <v>24/12/2025</v>
      </c>
      <c r="J951" t="str">
        <f t="shared" si="330"/>
        <v>15/12/2025</v>
      </c>
      <c r="K951">
        <v>46021</v>
      </c>
      <c r="N951">
        <v>303</v>
      </c>
      <c r="O951" t="s">
        <v>30</v>
      </c>
      <c r="Q951">
        <v>25.88</v>
      </c>
      <c r="R951" t="str">
        <f>"PAGMENOS - LJ 326 (10264)"</f>
        <v>PAGMENOS - LJ 326 (10264)</v>
      </c>
      <c r="S951" t="s">
        <v>31</v>
      </c>
      <c r="T951">
        <v>3678</v>
      </c>
      <c r="U951">
        <v>3055</v>
      </c>
      <c r="V951" t="s">
        <v>22</v>
      </c>
    </row>
    <row r="952" spans="1:22">
      <c r="A952" t="str">
        <f t="shared" si="321"/>
        <v>30/12/2025</v>
      </c>
      <c r="B952" t="str">
        <f t="shared" si="322"/>
        <v>ENTRADA</v>
      </c>
      <c r="C952" t="str">
        <f t="shared" si="323"/>
        <v>NFSE</v>
      </c>
      <c r="D952" t="str">
        <f t="shared" si="327"/>
        <v>4040</v>
      </c>
      <c r="E952" t="str">
        <f t="shared" si="324"/>
        <v>1</v>
      </c>
      <c r="F952" t="str">
        <f t="shared" si="320"/>
        <v>COM</v>
      </c>
      <c r="G952" t="str">
        <f t="shared" si="328"/>
        <v>PAGMENOS - LJ 608 (10135)</v>
      </c>
      <c r="H952" t="s">
        <v>282</v>
      </c>
      <c r="I952" t="str">
        <f t="shared" si="329"/>
        <v>24/12/2025</v>
      </c>
      <c r="J952" t="str">
        <f t="shared" si="330"/>
        <v>15/12/2025</v>
      </c>
      <c r="K952">
        <v>46021</v>
      </c>
      <c r="N952">
        <v>303</v>
      </c>
      <c r="O952" t="s">
        <v>30</v>
      </c>
      <c r="Q952">
        <v>173.82</v>
      </c>
      <c r="R952" t="str">
        <f>"PAGMENOS - LJ 431 (10265)"</f>
        <v>PAGMENOS - LJ 431 (10265)</v>
      </c>
      <c r="S952" t="s">
        <v>31</v>
      </c>
      <c r="T952">
        <v>3678</v>
      </c>
      <c r="U952">
        <v>3055</v>
      </c>
      <c r="V952" t="s">
        <v>22</v>
      </c>
    </row>
    <row r="953" spans="1:22">
      <c r="A953" t="str">
        <f t="shared" si="321"/>
        <v>30/12/2025</v>
      </c>
      <c r="B953" t="str">
        <f t="shared" si="322"/>
        <v>ENTRADA</v>
      </c>
      <c r="C953" t="str">
        <f t="shared" si="323"/>
        <v>NFSE</v>
      </c>
      <c r="D953" t="str">
        <f t="shared" si="327"/>
        <v>4040</v>
      </c>
      <c r="E953" t="str">
        <f t="shared" si="324"/>
        <v>1</v>
      </c>
      <c r="F953" t="str">
        <f t="shared" si="320"/>
        <v>COM</v>
      </c>
      <c r="G953" t="str">
        <f t="shared" si="328"/>
        <v>PAGMENOS - LJ 608 (10135)</v>
      </c>
      <c r="H953" t="s">
        <v>282</v>
      </c>
      <c r="I953" t="str">
        <f t="shared" si="329"/>
        <v>24/12/2025</v>
      </c>
      <c r="J953" t="str">
        <f t="shared" si="330"/>
        <v>15/12/2025</v>
      </c>
      <c r="K953">
        <v>46021</v>
      </c>
      <c r="N953">
        <v>303</v>
      </c>
      <c r="O953" t="s">
        <v>30</v>
      </c>
      <c r="Q953">
        <v>273.74</v>
      </c>
      <c r="R953" t="str">
        <f>"PAGMENOS - LJ 768 (10266)"</f>
        <v>PAGMENOS - LJ 768 (10266)</v>
      </c>
      <c r="S953" t="s">
        <v>31</v>
      </c>
      <c r="T953">
        <v>3678</v>
      </c>
      <c r="U953">
        <v>3055</v>
      </c>
      <c r="V953" t="s">
        <v>22</v>
      </c>
    </row>
    <row r="954" spans="1:22">
      <c r="A954" t="str">
        <f t="shared" si="321"/>
        <v>30/12/2025</v>
      </c>
      <c r="B954" t="str">
        <f>"SAÍDA"</f>
        <v>SAÍDA</v>
      </c>
      <c r="C954" t="str">
        <f>"JUROS"</f>
        <v>JUROS</v>
      </c>
      <c r="D954" t="str">
        <f>""</f>
        <v/>
      </c>
      <c r="F954" t="str">
        <f>"CXA"</f>
        <v>CXA</v>
      </c>
      <c r="G954" t="str">
        <f>""</f>
        <v/>
      </c>
      <c r="H954" t="str">
        <f>"TARIFA SERV.COBR.TITULOS"</f>
        <v>TARIFA SERV.COBR.TITULOS</v>
      </c>
      <c r="I954" t="str">
        <f t="shared" ref="I954:K955" si="331">("30/12/2025")</f>
        <v>30/12/2025</v>
      </c>
      <c r="J954" t="str">
        <f t="shared" si="331"/>
        <v>30/12/2025</v>
      </c>
      <c r="K954" t="str">
        <f t="shared" si="331"/>
        <v>30/12/2025</v>
      </c>
      <c r="L954">
        <v>4.17</v>
      </c>
      <c r="M954">
        <v>4.17</v>
      </c>
      <c r="N954">
        <v>401</v>
      </c>
      <c r="O954" t="str">
        <f>"IOF/JUROS/DESP.FINANCEIRA"</f>
        <v>IOF/JUROS/DESP.FINANCEIRA</v>
      </c>
      <c r="P954">
        <v>4.17</v>
      </c>
      <c r="S954" t="str">
        <f>"BANCO SICREDI (131)"</f>
        <v>BANCO SICREDI (131)</v>
      </c>
      <c r="T954">
        <v>3747</v>
      </c>
      <c r="U954">
        <v>0</v>
      </c>
      <c r="V954" t="s">
        <v>53</v>
      </c>
    </row>
    <row r="955" spans="1:22">
      <c r="A955" t="str">
        <f t="shared" si="321"/>
        <v>30/12/2025</v>
      </c>
      <c r="B955" t="str">
        <f>"SAÍDA"</f>
        <v>SAÍDA</v>
      </c>
      <c r="C955" t="str">
        <f>"BOLETO"</f>
        <v>BOLETO</v>
      </c>
      <c r="D955" t="str">
        <f>"3012"</f>
        <v>3012</v>
      </c>
      <c r="E955" t="str">
        <f>"25"</f>
        <v>25</v>
      </c>
      <c r="F955" t="str">
        <f t="shared" ref="F955:F972" si="332">"COM"</f>
        <v>COM</v>
      </c>
      <c r="G955" t="str">
        <f>"CORA SOCIEDADE DE CREDITO, FINANCIAMENTO E INVESTIMENTO (20035)"</f>
        <v>CORA SOCIEDADE DE CREDITO, FINANCIAMENTO E INVESTIMENTO (20035)</v>
      </c>
      <c r="H955" t="str">
        <f>"TAXA BOLETO CORA (3x1,7)"</f>
        <v>TAXA BOLETO CORA (3x1,7)</v>
      </c>
      <c r="I955" t="str">
        <f t="shared" si="331"/>
        <v>30/12/2025</v>
      </c>
      <c r="J955" t="str">
        <f t="shared" si="331"/>
        <v>30/12/2025</v>
      </c>
      <c r="K955" t="str">
        <f t="shared" si="331"/>
        <v>30/12/2025</v>
      </c>
      <c r="L955">
        <v>5.0999999999999996</v>
      </c>
      <c r="M955">
        <v>5.0999999999999996</v>
      </c>
      <c r="N955">
        <v>401</v>
      </c>
      <c r="O955" t="str">
        <f>"IOF/JUROS/DESP.FINANCEIRA"</f>
        <v>IOF/JUROS/DESP.FINANCEIRA</v>
      </c>
      <c r="P955">
        <v>5.0999999999999996</v>
      </c>
      <c r="S955" t="str">
        <f>"BANCO CORA (102)"</f>
        <v>BANCO CORA (102)</v>
      </c>
      <c r="T955">
        <v>3921</v>
      </c>
      <c r="U955">
        <v>3302</v>
      </c>
      <c r="V955" t="s">
        <v>22</v>
      </c>
    </row>
    <row r="956" spans="1:22">
      <c r="A956" t="str">
        <f t="shared" si="321"/>
        <v>30/12/2025</v>
      </c>
      <c r="B956" t="str">
        <f>"SAÍDA"</f>
        <v>SAÍDA</v>
      </c>
      <c r="C956" t="str">
        <f>"BOLETO"</f>
        <v>BOLETO</v>
      </c>
      <c r="D956" t="str">
        <f>"3012"</f>
        <v>3012</v>
      </c>
      <c r="E956" t="str">
        <f>"25"</f>
        <v>25</v>
      </c>
      <c r="F956" t="str">
        <f t="shared" si="332"/>
        <v>COM</v>
      </c>
      <c r="G956" t="str">
        <f>"CORA SOCIEDADE DE CREDITO, FINANCIAMENTO E INVESTIMENTO (20035)"</f>
        <v>CORA SOCIEDADE DE CREDITO, FINANCIAMENTO E INVESTIMENTO (20035)</v>
      </c>
      <c r="H956" t="s">
        <v>283</v>
      </c>
      <c r="I956" t="str">
        <f>("30/12/2025")</f>
        <v>30/12/2025</v>
      </c>
      <c r="J956" t="str">
        <f>("30/12/2025")</f>
        <v>30/12/2025</v>
      </c>
      <c r="K956">
        <v>46021</v>
      </c>
      <c r="N956">
        <v>401</v>
      </c>
      <c r="O956" t="s">
        <v>34</v>
      </c>
      <c r="Q956">
        <v>5.0999999999999996</v>
      </c>
      <c r="R956" t="str">
        <f>"CORA SOCIEDADE DE CREDITO, FINANCIAMENTO E INVESTIMENTO (20035)"</f>
        <v>CORA SOCIEDADE DE CREDITO, FINANCIAMENTO E INVESTIMENTO (20035)</v>
      </c>
      <c r="S956" t="s">
        <v>22</v>
      </c>
      <c r="T956">
        <v>3921</v>
      </c>
      <c r="U956">
        <v>3302</v>
      </c>
      <c r="V956" t="s">
        <v>22</v>
      </c>
    </row>
    <row r="957" spans="1:22">
      <c r="A957" t="str">
        <f t="shared" ref="A957:A972" si="333">("31/12/2025")</f>
        <v>31/12/2025</v>
      </c>
      <c r="B957" t="str">
        <f t="shared" ref="B957:B968" si="334">"ENTRADA"</f>
        <v>ENTRADA</v>
      </c>
      <c r="C957" t="str">
        <f t="shared" ref="C957:C968" si="335">"NFSE"</f>
        <v>NFSE</v>
      </c>
      <c r="D957" t="str">
        <f>"4129"</f>
        <v>4129</v>
      </c>
      <c r="E957" t="str">
        <f t="shared" ref="E957:E968" si="336">"1"</f>
        <v>1</v>
      </c>
      <c r="F957" t="str">
        <f t="shared" si="332"/>
        <v>COM</v>
      </c>
      <c r="G957" t="str">
        <f>"FARMACIA ECONOMIZE (10103)"</f>
        <v>FARMACIA ECONOMIZE (10103)</v>
      </c>
      <c r="H957" t="str">
        <f>"Serv.Prest. 22/12/2025 a 28/12/2025 - RPS: 1891 - NFSe: 4129"</f>
        <v>Serv.Prest. 22/12/2025 a 28/12/2025 - RPS: 1891 - NFSe: 4129</v>
      </c>
      <c r="I957" t="str">
        <f t="shared" ref="I957:I964" si="337">("31/12/2025")</f>
        <v>31/12/2025</v>
      </c>
      <c r="J957" t="str">
        <f t="shared" ref="J957:J968" si="338">("29/12/2025")</f>
        <v>29/12/2025</v>
      </c>
      <c r="K957" t="str">
        <f>("31/12/2025")</f>
        <v>31/12/2025</v>
      </c>
      <c r="L957">
        <v>20</v>
      </c>
      <c r="M957">
        <v>20</v>
      </c>
      <c r="N957">
        <v>303</v>
      </c>
      <c r="O957" t="str">
        <f>"RECEITAS COM ENTREGAS"</f>
        <v>RECEITAS COM ENTREGAS</v>
      </c>
      <c r="P957">
        <v>20</v>
      </c>
      <c r="S957" t="str">
        <f>"RECEITAS COM ENTREGAS (303)"</f>
        <v>RECEITAS COM ENTREGAS (303)</v>
      </c>
      <c r="T957">
        <v>3667</v>
      </c>
      <c r="U957">
        <v>3149</v>
      </c>
      <c r="V957" t="s">
        <v>22</v>
      </c>
    </row>
    <row r="958" spans="1:22">
      <c r="A958" t="str">
        <f t="shared" si="333"/>
        <v>31/12/2025</v>
      </c>
      <c r="B958" t="str">
        <f t="shared" si="334"/>
        <v>ENTRADA</v>
      </c>
      <c r="C958" t="str">
        <f t="shared" si="335"/>
        <v>NFSE</v>
      </c>
      <c r="D958" t="str">
        <f>"4129"</f>
        <v>4129</v>
      </c>
      <c r="E958" t="str">
        <f t="shared" si="336"/>
        <v>1</v>
      </c>
      <c r="F958" t="str">
        <f t="shared" si="332"/>
        <v>COM</v>
      </c>
      <c r="G958" t="str">
        <f>"FARMACIA ECONOMIZE (10103)"</f>
        <v>FARMACIA ECONOMIZE (10103)</v>
      </c>
      <c r="H958" t="s">
        <v>284</v>
      </c>
      <c r="I958" t="str">
        <f t="shared" si="337"/>
        <v>31/12/2025</v>
      </c>
      <c r="J958" t="str">
        <f t="shared" si="338"/>
        <v>29/12/2025</v>
      </c>
      <c r="K958">
        <v>46022</v>
      </c>
      <c r="N958">
        <v>303</v>
      </c>
      <c r="O958" t="s">
        <v>30</v>
      </c>
      <c r="Q958">
        <v>20</v>
      </c>
      <c r="R958" t="str">
        <f>"FARMACIA ECONOMIZE (10103)"</f>
        <v>FARMACIA ECONOMIZE (10103)</v>
      </c>
      <c r="S958" t="s">
        <v>31</v>
      </c>
      <c r="T958">
        <v>3667</v>
      </c>
      <c r="U958">
        <v>3149</v>
      </c>
      <c r="V958" t="s">
        <v>22</v>
      </c>
    </row>
    <row r="959" spans="1:22">
      <c r="A959" t="str">
        <f t="shared" si="333"/>
        <v>31/12/2025</v>
      </c>
      <c r="B959" t="str">
        <f t="shared" si="334"/>
        <v>ENTRADA</v>
      </c>
      <c r="C959" t="str">
        <f t="shared" si="335"/>
        <v>NFSE</v>
      </c>
      <c r="D959" t="str">
        <f>"4150"</f>
        <v>4150</v>
      </c>
      <c r="E959" t="str">
        <f t="shared" si="336"/>
        <v>1</v>
      </c>
      <c r="F959" t="str">
        <f t="shared" si="332"/>
        <v>COM</v>
      </c>
      <c r="G959" t="str">
        <f>"DROGARIA ISABELLA (10276)"</f>
        <v>DROGARIA ISABELLA (10276)</v>
      </c>
      <c r="H959" t="str">
        <f>"Serv.Prest. 22/12/2025 a 28/12/2025 - RPS: 1912 - NFSe: 4150"</f>
        <v>Serv.Prest. 22/12/2025 a 28/12/2025 - RPS: 1912 - NFSe: 4150</v>
      </c>
      <c r="I959" t="str">
        <f t="shared" si="337"/>
        <v>31/12/2025</v>
      </c>
      <c r="J959" t="str">
        <f t="shared" si="338"/>
        <v>29/12/2025</v>
      </c>
      <c r="K959" t="str">
        <f>("31/12/2025")</f>
        <v>31/12/2025</v>
      </c>
      <c r="L959">
        <v>120.6</v>
      </c>
      <c r="M959">
        <v>120.6</v>
      </c>
      <c r="N959">
        <v>303</v>
      </c>
      <c r="O959" t="str">
        <f>"RECEITAS COM ENTREGAS"</f>
        <v>RECEITAS COM ENTREGAS</v>
      </c>
      <c r="P959">
        <v>120.6</v>
      </c>
      <c r="S959" t="str">
        <f>"RECEITAS COM ENTREGAS (303)"</f>
        <v>RECEITAS COM ENTREGAS (303)</v>
      </c>
      <c r="T959">
        <v>3668</v>
      </c>
      <c r="U959">
        <v>3170</v>
      </c>
      <c r="V959" t="s">
        <v>22</v>
      </c>
    </row>
    <row r="960" spans="1:22">
      <c r="A960" t="str">
        <f t="shared" si="333"/>
        <v>31/12/2025</v>
      </c>
      <c r="B960" t="str">
        <f t="shared" si="334"/>
        <v>ENTRADA</v>
      </c>
      <c r="C960" t="str">
        <f t="shared" si="335"/>
        <v>NFSE</v>
      </c>
      <c r="D960" t="str">
        <f>"4150"</f>
        <v>4150</v>
      </c>
      <c r="E960" t="str">
        <f t="shared" si="336"/>
        <v>1</v>
      </c>
      <c r="F960" t="str">
        <f t="shared" si="332"/>
        <v>COM</v>
      </c>
      <c r="G960" t="str">
        <f>"DROGARIA ISABELLA (10276)"</f>
        <v>DROGARIA ISABELLA (10276)</v>
      </c>
      <c r="H960" t="s">
        <v>285</v>
      </c>
      <c r="I960" t="str">
        <f t="shared" si="337"/>
        <v>31/12/2025</v>
      </c>
      <c r="J960" t="str">
        <f t="shared" si="338"/>
        <v>29/12/2025</v>
      </c>
      <c r="K960">
        <v>46022</v>
      </c>
      <c r="N960">
        <v>303</v>
      </c>
      <c r="O960" t="s">
        <v>30</v>
      </c>
      <c r="Q960">
        <v>120.6</v>
      </c>
      <c r="R960" t="str">
        <f>"DROGARIA ISABELLA (10276)"</f>
        <v>DROGARIA ISABELLA (10276)</v>
      </c>
      <c r="S960" t="s">
        <v>31</v>
      </c>
      <c r="T960">
        <v>3668</v>
      </c>
      <c r="U960">
        <v>3170</v>
      </c>
      <c r="V960" t="s">
        <v>22</v>
      </c>
    </row>
    <row r="961" spans="1:22">
      <c r="A961" t="str">
        <f t="shared" si="333"/>
        <v>31/12/2025</v>
      </c>
      <c r="B961" t="str">
        <f t="shared" si="334"/>
        <v>ENTRADA</v>
      </c>
      <c r="C961" t="str">
        <f t="shared" si="335"/>
        <v>NFSE</v>
      </c>
      <c r="D961" t="str">
        <f>"4151"</f>
        <v>4151</v>
      </c>
      <c r="E961" t="str">
        <f t="shared" si="336"/>
        <v>1</v>
      </c>
      <c r="F961" t="str">
        <f t="shared" si="332"/>
        <v>COM</v>
      </c>
      <c r="G961" t="str">
        <f>"DROGARIA MEDIC CENTER LTDA (10172)"</f>
        <v>DROGARIA MEDIC CENTER LTDA (10172)</v>
      </c>
      <c r="H961" t="str">
        <f>"Serv.Prest. 22/12/2025 a 28/12/2025 - RPS: 1913 - NFSe: 4151"</f>
        <v>Serv.Prest. 22/12/2025 a 28/12/2025 - RPS: 1913 - NFSe: 4151</v>
      </c>
      <c r="I961" t="str">
        <f t="shared" si="337"/>
        <v>31/12/2025</v>
      </c>
      <c r="J961" t="str">
        <f t="shared" si="338"/>
        <v>29/12/2025</v>
      </c>
      <c r="K961" t="str">
        <f>("31/12/2025")</f>
        <v>31/12/2025</v>
      </c>
      <c r="L961">
        <v>99.9</v>
      </c>
      <c r="M961">
        <v>99.9</v>
      </c>
      <c r="N961">
        <v>303</v>
      </c>
      <c r="O961" t="str">
        <f>"RECEITAS COM ENTREGAS"</f>
        <v>RECEITAS COM ENTREGAS</v>
      </c>
      <c r="P961">
        <v>99.9</v>
      </c>
      <c r="S961" t="str">
        <f>"RECEITAS COM ENTREGAS (303)"</f>
        <v>RECEITAS COM ENTREGAS (303)</v>
      </c>
      <c r="T961">
        <v>3669</v>
      </c>
      <c r="U961">
        <v>3171</v>
      </c>
      <c r="V961" t="s">
        <v>22</v>
      </c>
    </row>
    <row r="962" spans="1:22">
      <c r="A962" t="str">
        <f t="shared" si="333"/>
        <v>31/12/2025</v>
      </c>
      <c r="B962" t="str">
        <f t="shared" si="334"/>
        <v>ENTRADA</v>
      </c>
      <c r="C962" t="str">
        <f t="shared" si="335"/>
        <v>NFSE</v>
      </c>
      <c r="D962" t="str">
        <f>"4151"</f>
        <v>4151</v>
      </c>
      <c r="E962" t="str">
        <f t="shared" si="336"/>
        <v>1</v>
      </c>
      <c r="F962" t="str">
        <f t="shared" si="332"/>
        <v>COM</v>
      </c>
      <c r="G962" t="str">
        <f>"DROGARIA MEDIC CENTER LTDA (10172)"</f>
        <v>DROGARIA MEDIC CENTER LTDA (10172)</v>
      </c>
      <c r="H962" t="s">
        <v>286</v>
      </c>
      <c r="I962" t="str">
        <f t="shared" si="337"/>
        <v>31/12/2025</v>
      </c>
      <c r="J962" t="str">
        <f t="shared" si="338"/>
        <v>29/12/2025</v>
      </c>
      <c r="K962">
        <v>46022</v>
      </c>
      <c r="N962">
        <v>303</v>
      </c>
      <c r="O962" t="s">
        <v>30</v>
      </c>
      <c r="Q962">
        <v>99.9</v>
      </c>
      <c r="R962" t="str">
        <f>"DROGARIA MEDIC CENTER LTDA (10172)"</f>
        <v>DROGARIA MEDIC CENTER LTDA (10172)</v>
      </c>
      <c r="S962" t="s">
        <v>31</v>
      </c>
      <c r="T962">
        <v>3669</v>
      </c>
      <c r="U962">
        <v>3171</v>
      </c>
      <c r="V962" t="s">
        <v>22</v>
      </c>
    </row>
    <row r="963" spans="1:22">
      <c r="A963" t="str">
        <f t="shared" si="333"/>
        <v>31/12/2025</v>
      </c>
      <c r="B963" t="str">
        <f t="shared" si="334"/>
        <v>ENTRADA</v>
      </c>
      <c r="C963" t="str">
        <f t="shared" si="335"/>
        <v>NFSE</v>
      </c>
      <c r="D963" t="str">
        <f>"4152"</f>
        <v>4152</v>
      </c>
      <c r="E963" t="str">
        <f t="shared" si="336"/>
        <v>1</v>
      </c>
      <c r="F963" t="str">
        <f t="shared" si="332"/>
        <v>COM</v>
      </c>
      <c r="G963" t="str">
        <f>"DROGARIA MORENO LTDA (10171)"</f>
        <v>DROGARIA MORENO LTDA (10171)</v>
      </c>
      <c r="H963" t="str">
        <f>"Serv.Prest. 22/12/2025 a 28/12/2025 - RPS: 1914 - NFSe: 4152"</f>
        <v>Serv.Prest. 22/12/2025 a 28/12/2025 - RPS: 1914 - NFSe: 4152</v>
      </c>
      <c r="I963" t="str">
        <f t="shared" si="337"/>
        <v>31/12/2025</v>
      </c>
      <c r="J963" t="str">
        <f t="shared" si="338"/>
        <v>29/12/2025</v>
      </c>
      <c r="K963" t="str">
        <f>("31/12/2025")</f>
        <v>31/12/2025</v>
      </c>
      <c r="L963">
        <v>299.7</v>
      </c>
      <c r="M963">
        <v>299.7</v>
      </c>
      <c r="N963">
        <v>303</v>
      </c>
      <c r="O963" t="str">
        <f>"RECEITAS COM ENTREGAS"</f>
        <v>RECEITAS COM ENTREGAS</v>
      </c>
      <c r="P963">
        <v>299.7</v>
      </c>
      <c r="S963" t="str">
        <f>"RECEITAS COM ENTREGAS (303)"</f>
        <v>RECEITAS COM ENTREGAS (303)</v>
      </c>
      <c r="T963">
        <v>3670</v>
      </c>
      <c r="U963">
        <v>3172</v>
      </c>
      <c r="V963" t="s">
        <v>22</v>
      </c>
    </row>
    <row r="964" spans="1:22">
      <c r="A964" t="str">
        <f t="shared" si="333"/>
        <v>31/12/2025</v>
      </c>
      <c r="B964" t="str">
        <f t="shared" si="334"/>
        <v>ENTRADA</v>
      </c>
      <c r="C964" t="str">
        <f t="shared" si="335"/>
        <v>NFSE</v>
      </c>
      <c r="D964" t="str">
        <f>"4152"</f>
        <v>4152</v>
      </c>
      <c r="E964" t="str">
        <f t="shared" si="336"/>
        <v>1</v>
      </c>
      <c r="F964" t="str">
        <f t="shared" si="332"/>
        <v>COM</v>
      </c>
      <c r="G964" t="str">
        <f>"DROGARIA MORENO LTDA (10171)"</f>
        <v>DROGARIA MORENO LTDA (10171)</v>
      </c>
      <c r="H964" t="s">
        <v>287</v>
      </c>
      <c r="I964" t="str">
        <f t="shared" si="337"/>
        <v>31/12/2025</v>
      </c>
      <c r="J964" t="str">
        <f t="shared" si="338"/>
        <v>29/12/2025</v>
      </c>
      <c r="K964">
        <v>46022</v>
      </c>
      <c r="N964">
        <v>303</v>
      </c>
      <c r="O964" t="s">
        <v>30</v>
      </c>
      <c r="Q964">
        <v>299.7</v>
      </c>
      <c r="R964" t="str">
        <f>"DROGARIA MORENO LTDA (10171)"</f>
        <v>DROGARIA MORENO LTDA (10171)</v>
      </c>
      <c r="S964" t="s">
        <v>31</v>
      </c>
      <c r="T964">
        <v>3670</v>
      </c>
      <c r="U964">
        <v>3172</v>
      </c>
      <c r="V964" t="s">
        <v>22</v>
      </c>
    </row>
    <row r="965" spans="1:22">
      <c r="A965" t="str">
        <f t="shared" si="333"/>
        <v>31/12/2025</v>
      </c>
      <c r="B965" t="str">
        <f t="shared" si="334"/>
        <v>ENTRADA</v>
      </c>
      <c r="C965" t="str">
        <f t="shared" si="335"/>
        <v>NFSE</v>
      </c>
      <c r="D965" t="str">
        <f>"4133"</f>
        <v>4133</v>
      </c>
      <c r="E965" t="str">
        <f t="shared" si="336"/>
        <v>1</v>
      </c>
      <c r="F965" t="str">
        <f t="shared" si="332"/>
        <v>COM</v>
      </c>
      <c r="G965" t="str">
        <f>"JAL FARMACIA E DROGARIA LJ 1 (10137)"</f>
        <v>JAL FARMACIA E DROGARIA LJ 1 (10137)</v>
      </c>
      <c r="H965" t="str">
        <f>"Serv.Prest. 22/12/2025 a 28/12/2025 - RPS: 1895 - NFSe: 4133"</f>
        <v>Serv.Prest. 22/12/2025 a 28/12/2025 - RPS: 1895 - NFSe: 4133</v>
      </c>
      <c r="I965" t="str">
        <f>("30/12/2025")</f>
        <v>30/12/2025</v>
      </c>
      <c r="J965" t="str">
        <f t="shared" si="338"/>
        <v>29/12/2025</v>
      </c>
      <c r="K965" t="str">
        <f>("31/12/2025")</f>
        <v>31/12/2025</v>
      </c>
      <c r="L965">
        <v>412.5</v>
      </c>
      <c r="M965">
        <v>412.5</v>
      </c>
      <c r="N965">
        <v>303</v>
      </c>
      <c r="O965" t="str">
        <f>"RECEITAS COM ENTREGAS"</f>
        <v>RECEITAS COM ENTREGAS</v>
      </c>
      <c r="P965">
        <v>412.5</v>
      </c>
      <c r="S965" t="str">
        <f>"RECEITAS COM ENTREGAS (303)"</f>
        <v>RECEITAS COM ENTREGAS (303)</v>
      </c>
      <c r="T965">
        <v>3671</v>
      </c>
      <c r="U965">
        <v>3153</v>
      </c>
      <c r="V965" t="s">
        <v>22</v>
      </c>
    </row>
    <row r="966" spans="1:22">
      <c r="A966" t="str">
        <f t="shared" si="333"/>
        <v>31/12/2025</v>
      </c>
      <c r="B966" t="str">
        <f t="shared" si="334"/>
        <v>ENTRADA</v>
      </c>
      <c r="C966" t="str">
        <f t="shared" si="335"/>
        <v>NFSE</v>
      </c>
      <c r="D966" t="str">
        <f>"4133"</f>
        <v>4133</v>
      </c>
      <c r="E966" t="str">
        <f t="shared" si="336"/>
        <v>1</v>
      </c>
      <c r="F966" t="str">
        <f t="shared" si="332"/>
        <v>COM</v>
      </c>
      <c r="G966" t="str">
        <f>"JAL FARMACIA E DROGARIA LJ 1 (10137)"</f>
        <v>JAL FARMACIA E DROGARIA LJ 1 (10137)</v>
      </c>
      <c r="H966" t="s">
        <v>288</v>
      </c>
      <c r="I966" t="str">
        <f>("30/12/2025")</f>
        <v>30/12/2025</v>
      </c>
      <c r="J966" t="str">
        <f t="shared" si="338"/>
        <v>29/12/2025</v>
      </c>
      <c r="K966">
        <v>46022</v>
      </c>
      <c r="N966">
        <v>303</v>
      </c>
      <c r="O966" t="s">
        <v>30</v>
      </c>
      <c r="Q966">
        <v>412.5</v>
      </c>
      <c r="R966" t="str">
        <f>"JAL FARMACIA E DROGARIA LJ 1 (10137)"</f>
        <v>JAL FARMACIA E DROGARIA LJ 1 (10137)</v>
      </c>
      <c r="S966" t="s">
        <v>31</v>
      </c>
      <c r="T966">
        <v>3671</v>
      </c>
      <c r="U966">
        <v>3153</v>
      </c>
      <c r="V966" t="s">
        <v>22</v>
      </c>
    </row>
    <row r="967" spans="1:22">
      <c r="A967" t="str">
        <f t="shared" si="333"/>
        <v>31/12/2025</v>
      </c>
      <c r="B967" t="str">
        <f t="shared" si="334"/>
        <v>ENTRADA</v>
      </c>
      <c r="C967" t="str">
        <f t="shared" si="335"/>
        <v>NFSE</v>
      </c>
      <c r="D967" t="str">
        <f>"4134"</f>
        <v>4134</v>
      </c>
      <c r="E967" t="str">
        <f t="shared" si="336"/>
        <v>1</v>
      </c>
      <c r="F967" t="str">
        <f t="shared" si="332"/>
        <v>COM</v>
      </c>
      <c r="G967" t="str">
        <f>"JAL FARMACIA E DROGARIA LJ 2 (10138)"</f>
        <v>JAL FARMACIA E DROGARIA LJ 2 (10138)</v>
      </c>
      <c r="H967" t="str">
        <f>"Serv.Prest. 22/12/2025 a 28/12/2025 - RPS: 1896 - NFSe: 4134"</f>
        <v>Serv.Prest. 22/12/2025 a 28/12/2025 - RPS: 1896 - NFSe: 4134</v>
      </c>
      <c r="I967" t="str">
        <f>("30/12/2025")</f>
        <v>30/12/2025</v>
      </c>
      <c r="J967" t="str">
        <f t="shared" si="338"/>
        <v>29/12/2025</v>
      </c>
      <c r="K967" t="str">
        <f>("31/12/2025")</f>
        <v>31/12/2025</v>
      </c>
      <c r="L967">
        <v>259.5</v>
      </c>
      <c r="M967">
        <v>259.5</v>
      </c>
      <c r="N967">
        <v>303</v>
      </c>
      <c r="O967" t="str">
        <f>"RECEITAS COM ENTREGAS"</f>
        <v>RECEITAS COM ENTREGAS</v>
      </c>
      <c r="P967">
        <v>259.5</v>
      </c>
      <c r="S967" t="str">
        <f>"RECEITAS COM ENTREGAS (303)"</f>
        <v>RECEITAS COM ENTREGAS (303)</v>
      </c>
      <c r="T967">
        <v>3672</v>
      </c>
      <c r="U967">
        <v>3154</v>
      </c>
      <c r="V967" t="s">
        <v>22</v>
      </c>
    </row>
    <row r="968" spans="1:22">
      <c r="A968" t="str">
        <f t="shared" si="333"/>
        <v>31/12/2025</v>
      </c>
      <c r="B968" t="str">
        <f t="shared" si="334"/>
        <v>ENTRADA</v>
      </c>
      <c r="C968" t="str">
        <f t="shared" si="335"/>
        <v>NFSE</v>
      </c>
      <c r="D968" t="str">
        <f>"4134"</f>
        <v>4134</v>
      </c>
      <c r="E968" t="str">
        <f t="shared" si="336"/>
        <v>1</v>
      </c>
      <c r="F968" t="str">
        <f t="shared" si="332"/>
        <v>COM</v>
      </c>
      <c r="G968" t="str">
        <f>"JAL FARMACIA E DROGARIA LJ 2 (10138)"</f>
        <v>JAL FARMACIA E DROGARIA LJ 2 (10138)</v>
      </c>
      <c r="H968" t="s">
        <v>289</v>
      </c>
      <c r="I968" t="str">
        <f>("30/12/2025")</f>
        <v>30/12/2025</v>
      </c>
      <c r="J968" t="str">
        <f t="shared" si="338"/>
        <v>29/12/2025</v>
      </c>
      <c r="K968">
        <v>46022</v>
      </c>
      <c r="N968">
        <v>303</v>
      </c>
      <c r="O968" t="s">
        <v>30</v>
      </c>
      <c r="Q968">
        <v>259.5</v>
      </c>
      <c r="R968" t="str">
        <f>"JAL FARMACIA E DROGARIA LJ 2 (10138)"</f>
        <v>JAL FARMACIA E DROGARIA LJ 2 (10138)</v>
      </c>
      <c r="S968" t="s">
        <v>31</v>
      </c>
      <c r="T968">
        <v>3672</v>
      </c>
      <c r="U968">
        <v>3154</v>
      </c>
      <c r="V968" t="s">
        <v>22</v>
      </c>
    </row>
    <row r="969" spans="1:22">
      <c r="A969" t="str">
        <f t="shared" si="333"/>
        <v>31/12/2025</v>
      </c>
      <c r="B969" t="str">
        <f>"SAÍDA"</f>
        <v>SAÍDA</v>
      </c>
      <c r="C969" t="str">
        <f>"BOLETO"</f>
        <v>BOLETO</v>
      </c>
      <c r="D969" t="str">
        <f>"3112"</f>
        <v>3112</v>
      </c>
      <c r="E969" t="str">
        <f>"25"</f>
        <v>25</v>
      </c>
      <c r="F969" t="str">
        <f t="shared" si="332"/>
        <v>COM</v>
      </c>
      <c r="G969" t="str">
        <f>"CORA SOCIEDADE DE CREDITO, FINANCIAMENTO E INVESTIMENTO (20035)"</f>
        <v>CORA SOCIEDADE DE CREDITO, FINANCIAMENTO E INVESTIMENTO (20035)</v>
      </c>
      <c r="H969" t="str">
        <f>"TAXA BOLETO CORA (6x1,7)"</f>
        <v>TAXA BOLETO CORA (6x1,7)</v>
      </c>
      <c r="I969" t="str">
        <f>("31/12/2025")</f>
        <v>31/12/2025</v>
      </c>
      <c r="J969" t="str">
        <f>("31/12/2025")</f>
        <v>31/12/2025</v>
      </c>
      <c r="K969" t="str">
        <f>("31/12/2025")</f>
        <v>31/12/2025</v>
      </c>
      <c r="L969">
        <v>10.199999999999999</v>
      </c>
      <c r="M969">
        <v>10.199999999999999</v>
      </c>
      <c r="N969">
        <v>401</v>
      </c>
      <c r="O969" t="str">
        <f>"IOF/JUROS/DESP.FINANCEIRA"</f>
        <v>IOF/JUROS/DESP.FINANCEIRA</v>
      </c>
      <c r="P969">
        <v>10.199999999999999</v>
      </c>
      <c r="S969" t="str">
        <f>"BANCO CORA (102)"</f>
        <v>BANCO CORA (102)</v>
      </c>
      <c r="T969">
        <v>3922</v>
      </c>
      <c r="U969">
        <v>3303</v>
      </c>
      <c r="V969" t="s">
        <v>22</v>
      </c>
    </row>
    <row r="970" spans="1:22">
      <c r="A970" t="str">
        <f t="shared" si="333"/>
        <v>31/12/2025</v>
      </c>
      <c r="B970" t="str">
        <f>"SAÍDA"</f>
        <v>SAÍDA</v>
      </c>
      <c r="C970" t="str">
        <f>"BOLETO"</f>
        <v>BOLETO</v>
      </c>
      <c r="D970" t="str">
        <f>"3112"</f>
        <v>3112</v>
      </c>
      <c r="E970" t="str">
        <f>"25"</f>
        <v>25</v>
      </c>
      <c r="F970" t="str">
        <f t="shared" si="332"/>
        <v>COM</v>
      </c>
      <c r="G970" t="str">
        <f>"CORA SOCIEDADE DE CREDITO, FINANCIAMENTO E INVESTIMENTO (20035)"</f>
        <v>CORA SOCIEDADE DE CREDITO, FINANCIAMENTO E INVESTIMENTO (20035)</v>
      </c>
      <c r="H970" t="s">
        <v>290</v>
      </c>
      <c r="I970" t="str">
        <f t="shared" ref="I970:J972" si="339">("31/12/2025")</f>
        <v>31/12/2025</v>
      </c>
      <c r="J970" t="str">
        <f t="shared" si="339"/>
        <v>31/12/2025</v>
      </c>
      <c r="K970">
        <v>46022</v>
      </c>
      <c r="N970">
        <v>401</v>
      </c>
      <c r="O970" t="s">
        <v>34</v>
      </c>
      <c r="Q970">
        <v>10.199999999999999</v>
      </c>
      <c r="R970" t="str">
        <f>"CORA SOCIEDADE DE CREDITO, FINANCIAMENTO E INVESTIMENTO (20035)"</f>
        <v>CORA SOCIEDADE DE CREDITO, FINANCIAMENTO E INVESTIMENTO (20035)</v>
      </c>
      <c r="S970" t="s">
        <v>22</v>
      </c>
      <c r="T970">
        <v>3922</v>
      </c>
      <c r="U970">
        <v>3303</v>
      </c>
      <c r="V970" t="s">
        <v>22</v>
      </c>
    </row>
    <row r="971" spans="1:22">
      <c r="A971" t="str">
        <f t="shared" si="333"/>
        <v>31/12/2025</v>
      </c>
      <c r="B971" t="str">
        <f>"SAÍDA"</f>
        <v>SAÍDA</v>
      </c>
      <c r="C971" t="str">
        <f>"BOLETO"</f>
        <v>BOLETO</v>
      </c>
      <c r="D971" t="str">
        <f>"3112"</f>
        <v>3112</v>
      </c>
      <c r="E971" t="str">
        <f>"25"</f>
        <v>25</v>
      </c>
      <c r="F971" t="str">
        <f t="shared" si="332"/>
        <v>COM</v>
      </c>
      <c r="G971" t="str">
        <f>"LOCALIZA RENT A CAR SA (20068)"</f>
        <v>LOCALIZA RENT A CAR SA (20068)</v>
      </c>
      <c r="H971" t="str">
        <f>"DESPESAS COM LOCACAO VEICULO VIAGEM"</f>
        <v>DESPESAS COM LOCACAO VEICULO VIAGEM</v>
      </c>
      <c r="I971" t="str">
        <f t="shared" si="339"/>
        <v>31/12/2025</v>
      </c>
      <c r="J971" t="str">
        <f t="shared" si="339"/>
        <v>31/12/2025</v>
      </c>
      <c r="K971" t="str">
        <f>("31/12/2025")</f>
        <v>31/12/2025</v>
      </c>
      <c r="L971">
        <v>345.52</v>
      </c>
      <c r="M971">
        <v>345.52</v>
      </c>
      <c r="N971">
        <v>128</v>
      </c>
      <c r="O971" t="str">
        <f>"DESPESAS COM VIAGENS"</f>
        <v>DESPESAS COM VIAGENS</v>
      </c>
      <c r="P971">
        <v>345.52</v>
      </c>
      <c r="S971" t="str">
        <f>"BANCO CORA (102)"</f>
        <v>BANCO CORA (102)</v>
      </c>
      <c r="T971">
        <v>3923</v>
      </c>
      <c r="U971">
        <v>3304</v>
      </c>
      <c r="V971" t="s">
        <v>22</v>
      </c>
    </row>
    <row r="972" spans="1:22">
      <c r="A972" t="str">
        <f t="shared" si="333"/>
        <v>31/12/2025</v>
      </c>
      <c r="B972" t="str">
        <f>"SAÍDA"</f>
        <v>SAÍDA</v>
      </c>
      <c r="C972" t="str">
        <f>"BOLETO"</f>
        <v>BOLETO</v>
      </c>
      <c r="D972" t="str">
        <f>"3112"</f>
        <v>3112</v>
      </c>
      <c r="E972" t="str">
        <f>"25"</f>
        <v>25</v>
      </c>
      <c r="F972" t="str">
        <f t="shared" si="332"/>
        <v>COM</v>
      </c>
      <c r="G972" t="str">
        <f>"LOCALIZA RENT A CAR SA (20068)"</f>
        <v>LOCALIZA RENT A CAR SA (20068)</v>
      </c>
      <c r="H972" t="s">
        <v>291</v>
      </c>
      <c r="I972" t="str">
        <f t="shared" si="339"/>
        <v>31/12/2025</v>
      </c>
      <c r="J972" t="str">
        <f t="shared" si="339"/>
        <v>31/12/2025</v>
      </c>
      <c r="K972">
        <v>46022</v>
      </c>
      <c r="N972">
        <v>128</v>
      </c>
      <c r="O972" t="s">
        <v>26</v>
      </c>
      <c r="Q972">
        <v>345.52</v>
      </c>
      <c r="R972" t="str">
        <f>"LOCALIZA RENT A CAR SA (20068)"</f>
        <v>LOCALIZA RENT A CAR SA (20068)</v>
      </c>
      <c r="S972" t="s">
        <v>22</v>
      </c>
      <c r="T972">
        <v>3923</v>
      </c>
      <c r="U972">
        <v>3304</v>
      </c>
      <c r="V972" t="s">
        <v>22</v>
      </c>
    </row>
  </sheetData>
  <autoFilter ref="A1:V97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Robert Magdiel</cp:lastModifiedBy>
  <dcterms:created xsi:type="dcterms:W3CDTF">2026-01-11T14:14:03Z</dcterms:created>
  <dcterms:modified xsi:type="dcterms:W3CDTF">2026-03-05T12:21:55Z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1046-11.2.0.9363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2026-01-12T12:39:05Z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31f5bc76-ef0a-4a69-b4b4-c5f83a2d53a4</vt:lpwstr>
  </property>
  <property fmtid="{D5CDD505-2E9C-101B-9397-08002B2CF9AE}" pid="8" name="MSIP_Label_defa4170-0d19-0005-0004-bc88714345d2_ActionId">
    <vt:lpwstr>10a1cde4-f5e4-4f0e-8629-c346a622dc7f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