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data/"/>
    </mc:Choice>
  </mc:AlternateContent>
  <xr:revisionPtr revIDLastSave="15" documentId="11_77EF4096AEC978F2B9EF58C0DBA8CBBC048B4B67" xr6:coauthVersionLast="47" xr6:coauthVersionMax="47" xr10:uidLastSave="{F241827D-1ACC-401D-8240-C440E692E29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72" i="1" l="1"/>
  <c r="J1972" i="1"/>
  <c r="I1972" i="1"/>
  <c r="G1972" i="1"/>
  <c r="F1972" i="1"/>
  <c r="E1972" i="1"/>
  <c r="D1972" i="1"/>
  <c r="C1972" i="1"/>
  <c r="B1972" i="1"/>
  <c r="A1972" i="1"/>
  <c r="S1971" i="1"/>
  <c r="O1971" i="1"/>
  <c r="K1971" i="1"/>
  <c r="J1971" i="1"/>
  <c r="I1971" i="1"/>
  <c r="H1971" i="1"/>
  <c r="G1971" i="1"/>
  <c r="F1971" i="1"/>
  <c r="E1971" i="1"/>
  <c r="D1971" i="1"/>
  <c r="C1971" i="1"/>
  <c r="B1971" i="1"/>
  <c r="A1971" i="1"/>
  <c r="R1970" i="1"/>
  <c r="J1970" i="1"/>
  <c r="I1970" i="1"/>
  <c r="G1970" i="1"/>
  <c r="F1970" i="1"/>
  <c r="E1970" i="1"/>
  <c r="D1970" i="1"/>
  <c r="C1970" i="1"/>
  <c r="B1970" i="1"/>
  <c r="A1970" i="1"/>
  <c r="S1969" i="1"/>
  <c r="O1969" i="1"/>
  <c r="K1969" i="1"/>
  <c r="J1969" i="1"/>
  <c r="I1969" i="1"/>
  <c r="H1969" i="1"/>
  <c r="G1969" i="1"/>
  <c r="F1969" i="1"/>
  <c r="E1969" i="1"/>
  <c r="D1969" i="1"/>
  <c r="C1969" i="1"/>
  <c r="B1969" i="1"/>
  <c r="A1969" i="1"/>
  <c r="R1968" i="1"/>
  <c r="J1968" i="1"/>
  <c r="I1968" i="1"/>
  <c r="G1968" i="1"/>
  <c r="F1968" i="1"/>
  <c r="E1968" i="1"/>
  <c r="D1968" i="1"/>
  <c r="C1968" i="1"/>
  <c r="B1968" i="1"/>
  <c r="A1968" i="1"/>
  <c r="R1967" i="1"/>
  <c r="J1967" i="1"/>
  <c r="I1967" i="1"/>
  <c r="G1967" i="1"/>
  <c r="F1967" i="1"/>
  <c r="E1967" i="1"/>
  <c r="D1967" i="1"/>
  <c r="C1967" i="1"/>
  <c r="B1967" i="1"/>
  <c r="A1967" i="1"/>
  <c r="R1966" i="1"/>
  <c r="J1966" i="1"/>
  <c r="I1966" i="1"/>
  <c r="G1966" i="1"/>
  <c r="F1966" i="1"/>
  <c r="E1966" i="1"/>
  <c r="D1966" i="1"/>
  <c r="C1966" i="1"/>
  <c r="B1966" i="1"/>
  <c r="A1966" i="1"/>
  <c r="R1965" i="1"/>
  <c r="J1965" i="1"/>
  <c r="I1965" i="1"/>
  <c r="G1965" i="1"/>
  <c r="F1965" i="1"/>
  <c r="E1965" i="1"/>
  <c r="D1965" i="1"/>
  <c r="C1965" i="1"/>
  <c r="B1965" i="1"/>
  <c r="A1965" i="1"/>
  <c r="R1964" i="1"/>
  <c r="J1964" i="1"/>
  <c r="I1964" i="1"/>
  <c r="G1964" i="1"/>
  <c r="F1964" i="1"/>
  <c r="E1964" i="1"/>
  <c r="D1964" i="1"/>
  <c r="C1964" i="1"/>
  <c r="B1964" i="1"/>
  <c r="A1964" i="1"/>
  <c r="S1963" i="1"/>
  <c r="O1963" i="1"/>
  <c r="K1963" i="1"/>
  <c r="J1963" i="1"/>
  <c r="I1963" i="1"/>
  <c r="H1963" i="1"/>
  <c r="G1963" i="1"/>
  <c r="F1963" i="1"/>
  <c r="E1963" i="1"/>
  <c r="D1963" i="1"/>
  <c r="C1963" i="1"/>
  <c r="B1963" i="1"/>
  <c r="A1963" i="1"/>
  <c r="R1962" i="1"/>
  <c r="J1962" i="1"/>
  <c r="I1962" i="1"/>
  <c r="G1962" i="1"/>
  <c r="F1962" i="1"/>
  <c r="E1962" i="1"/>
  <c r="D1962" i="1"/>
  <c r="C1962" i="1"/>
  <c r="B1962" i="1"/>
  <c r="A1962" i="1"/>
  <c r="S1961" i="1"/>
  <c r="O1961" i="1"/>
  <c r="K1961" i="1"/>
  <c r="J1961" i="1"/>
  <c r="I1961" i="1"/>
  <c r="H1961" i="1"/>
  <c r="G1961" i="1"/>
  <c r="F1961" i="1"/>
  <c r="E1961" i="1"/>
  <c r="D1961" i="1"/>
  <c r="C1961" i="1"/>
  <c r="B1961" i="1"/>
  <c r="A1961" i="1"/>
  <c r="R1960" i="1"/>
  <c r="J1960" i="1"/>
  <c r="I1960" i="1"/>
  <c r="G1960" i="1"/>
  <c r="F1960" i="1"/>
  <c r="E1960" i="1"/>
  <c r="D1960" i="1"/>
  <c r="C1960" i="1"/>
  <c r="B1960" i="1"/>
  <c r="A1960" i="1"/>
  <c r="S1959" i="1"/>
  <c r="O1959" i="1"/>
  <c r="K1959" i="1"/>
  <c r="J1959" i="1"/>
  <c r="I1959" i="1"/>
  <c r="H1959" i="1"/>
  <c r="G1959" i="1"/>
  <c r="F1959" i="1"/>
  <c r="E1959" i="1"/>
  <c r="D1959" i="1"/>
  <c r="C1959" i="1"/>
  <c r="B1959" i="1"/>
  <c r="A1959" i="1"/>
  <c r="R1958" i="1"/>
  <c r="J1958" i="1"/>
  <c r="I1958" i="1"/>
  <c r="G1958" i="1"/>
  <c r="F1958" i="1"/>
  <c r="E1958" i="1"/>
  <c r="D1958" i="1"/>
  <c r="C1958" i="1"/>
  <c r="B1958" i="1"/>
  <c r="A1958" i="1"/>
  <c r="S1957" i="1"/>
  <c r="O1957" i="1"/>
  <c r="K1957" i="1"/>
  <c r="J1957" i="1"/>
  <c r="I1957" i="1"/>
  <c r="H1957" i="1"/>
  <c r="G1957" i="1"/>
  <c r="F1957" i="1"/>
  <c r="E1957" i="1"/>
  <c r="D1957" i="1"/>
  <c r="C1957" i="1"/>
  <c r="B1957" i="1"/>
  <c r="A1957" i="1"/>
  <c r="R1956" i="1"/>
  <c r="J1956" i="1"/>
  <c r="I1956" i="1"/>
  <c r="G1956" i="1"/>
  <c r="F1956" i="1"/>
  <c r="E1956" i="1"/>
  <c r="D1956" i="1"/>
  <c r="C1956" i="1"/>
  <c r="B1956" i="1"/>
  <c r="A1956" i="1"/>
  <c r="S1955" i="1"/>
  <c r="O1955" i="1"/>
  <c r="K1955" i="1"/>
  <c r="J1955" i="1"/>
  <c r="I1955" i="1"/>
  <c r="H1955" i="1"/>
  <c r="G1955" i="1"/>
  <c r="F1955" i="1"/>
  <c r="E1955" i="1"/>
  <c r="D1955" i="1"/>
  <c r="C1955" i="1"/>
  <c r="B1955" i="1"/>
  <c r="A1955" i="1"/>
  <c r="R1954" i="1"/>
  <c r="J1954" i="1"/>
  <c r="I1954" i="1"/>
  <c r="G1954" i="1"/>
  <c r="F1954" i="1"/>
  <c r="E1954" i="1"/>
  <c r="D1954" i="1"/>
  <c r="C1954" i="1"/>
  <c r="B1954" i="1"/>
  <c r="A1954" i="1"/>
  <c r="S1953" i="1"/>
  <c r="O1953" i="1"/>
  <c r="K1953" i="1"/>
  <c r="J1953" i="1"/>
  <c r="I1953" i="1"/>
  <c r="H1953" i="1"/>
  <c r="G1953" i="1"/>
  <c r="F1953" i="1"/>
  <c r="E1953" i="1"/>
  <c r="D1953" i="1"/>
  <c r="C1953" i="1"/>
  <c r="B1953" i="1"/>
  <c r="A1953" i="1"/>
  <c r="R1952" i="1"/>
  <c r="J1952" i="1"/>
  <c r="I1952" i="1"/>
  <c r="G1952" i="1"/>
  <c r="F1952" i="1"/>
  <c r="E1952" i="1"/>
  <c r="D1952" i="1"/>
  <c r="C1952" i="1"/>
  <c r="B1952" i="1"/>
  <c r="A1952" i="1"/>
  <c r="S1951" i="1"/>
  <c r="O1951" i="1"/>
  <c r="K1951" i="1"/>
  <c r="J1951" i="1"/>
  <c r="I1951" i="1"/>
  <c r="H1951" i="1"/>
  <c r="G1951" i="1"/>
  <c r="F1951" i="1"/>
  <c r="E1951" i="1"/>
  <c r="D1951" i="1"/>
  <c r="C1951" i="1"/>
  <c r="B1951" i="1"/>
  <c r="A1951" i="1"/>
  <c r="R1950" i="1"/>
  <c r="J1950" i="1"/>
  <c r="I1950" i="1"/>
  <c r="G1950" i="1"/>
  <c r="F1950" i="1"/>
  <c r="E1950" i="1"/>
  <c r="D1950" i="1"/>
  <c r="C1950" i="1"/>
  <c r="B1950" i="1"/>
  <c r="A1950" i="1"/>
  <c r="S1949" i="1"/>
  <c r="O1949" i="1"/>
  <c r="K1949" i="1"/>
  <c r="J1949" i="1"/>
  <c r="I1949" i="1"/>
  <c r="H1949" i="1"/>
  <c r="G1949" i="1"/>
  <c r="F1949" i="1"/>
  <c r="E1949" i="1"/>
  <c r="D1949" i="1"/>
  <c r="C1949" i="1"/>
  <c r="B1949" i="1"/>
  <c r="A1949" i="1"/>
  <c r="R1948" i="1"/>
  <c r="J1948" i="1"/>
  <c r="I1948" i="1"/>
  <c r="G1948" i="1"/>
  <c r="F1948" i="1"/>
  <c r="E1948" i="1"/>
  <c r="D1948" i="1"/>
  <c r="C1948" i="1"/>
  <c r="B1948" i="1"/>
  <c r="A1948" i="1"/>
  <c r="R1947" i="1"/>
  <c r="J1947" i="1"/>
  <c r="I1947" i="1"/>
  <c r="G1947" i="1"/>
  <c r="F1947" i="1"/>
  <c r="E1947" i="1"/>
  <c r="D1947" i="1"/>
  <c r="C1947" i="1"/>
  <c r="B1947" i="1"/>
  <c r="A1947" i="1"/>
  <c r="R1946" i="1"/>
  <c r="J1946" i="1"/>
  <c r="I1946" i="1"/>
  <c r="G1946" i="1"/>
  <c r="F1946" i="1"/>
  <c r="E1946" i="1"/>
  <c r="D1946" i="1"/>
  <c r="C1946" i="1"/>
  <c r="B1946" i="1"/>
  <c r="A1946" i="1"/>
  <c r="R1945" i="1"/>
  <c r="J1945" i="1"/>
  <c r="I1945" i="1"/>
  <c r="G1945" i="1"/>
  <c r="F1945" i="1"/>
  <c r="E1945" i="1"/>
  <c r="D1945" i="1"/>
  <c r="C1945" i="1"/>
  <c r="B1945" i="1"/>
  <c r="A1945" i="1"/>
  <c r="R1944" i="1"/>
  <c r="J1944" i="1"/>
  <c r="I1944" i="1"/>
  <c r="G1944" i="1"/>
  <c r="F1944" i="1"/>
  <c r="E1944" i="1"/>
  <c r="D1944" i="1"/>
  <c r="C1944" i="1"/>
  <c r="B1944" i="1"/>
  <c r="A1944" i="1"/>
  <c r="R1943" i="1"/>
  <c r="J1943" i="1"/>
  <c r="I1943" i="1"/>
  <c r="G1943" i="1"/>
  <c r="F1943" i="1"/>
  <c r="E1943" i="1"/>
  <c r="D1943" i="1"/>
  <c r="C1943" i="1"/>
  <c r="B1943" i="1"/>
  <c r="A1943" i="1"/>
  <c r="R1942" i="1"/>
  <c r="J1942" i="1"/>
  <c r="I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R1940" i="1"/>
  <c r="J1940" i="1"/>
  <c r="I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R1938" i="1"/>
  <c r="J1938" i="1"/>
  <c r="I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R1936" i="1"/>
  <c r="J1936" i="1"/>
  <c r="I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R1934" i="1"/>
  <c r="J1934" i="1"/>
  <c r="I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R1932" i="1"/>
  <c r="J1932" i="1"/>
  <c r="I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R1930" i="1"/>
  <c r="J1930" i="1"/>
  <c r="I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R1928" i="1"/>
  <c r="J1928" i="1"/>
  <c r="I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R1926" i="1"/>
  <c r="J1926" i="1"/>
  <c r="I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R1924" i="1"/>
  <c r="J1924" i="1"/>
  <c r="I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R1922" i="1"/>
  <c r="J1922" i="1"/>
  <c r="I1922" i="1"/>
  <c r="G1922" i="1"/>
  <c r="F1922" i="1"/>
  <c r="E1922" i="1"/>
  <c r="D1922" i="1"/>
  <c r="C1922" i="1"/>
  <c r="B1922" i="1"/>
  <c r="A1922" i="1"/>
  <c r="R1921" i="1"/>
  <c r="J1921" i="1"/>
  <c r="I1921" i="1"/>
  <c r="G1921" i="1"/>
  <c r="F1921" i="1"/>
  <c r="E1921" i="1"/>
  <c r="D1921" i="1"/>
  <c r="C1921" i="1"/>
  <c r="B1921" i="1"/>
  <c r="A1921" i="1"/>
  <c r="R1920" i="1"/>
  <c r="J1920" i="1"/>
  <c r="I1920" i="1"/>
  <c r="G1920" i="1"/>
  <c r="F1920" i="1"/>
  <c r="E1920" i="1"/>
  <c r="D1920" i="1"/>
  <c r="C1920" i="1"/>
  <c r="B1920" i="1"/>
  <c r="A1920" i="1"/>
  <c r="R1919" i="1"/>
  <c r="J1919" i="1"/>
  <c r="I1919" i="1"/>
  <c r="G1919" i="1"/>
  <c r="F1919" i="1"/>
  <c r="E1919" i="1"/>
  <c r="D1919" i="1"/>
  <c r="C1919" i="1"/>
  <c r="B1919" i="1"/>
  <c r="A1919" i="1"/>
  <c r="R1918" i="1"/>
  <c r="J1918" i="1"/>
  <c r="I1918" i="1"/>
  <c r="G1918" i="1"/>
  <c r="F1918" i="1"/>
  <c r="E1918" i="1"/>
  <c r="D1918" i="1"/>
  <c r="C1918" i="1"/>
  <c r="B1918" i="1"/>
  <c r="A1918" i="1"/>
  <c r="R1917" i="1"/>
  <c r="J1917" i="1"/>
  <c r="I1917" i="1"/>
  <c r="G1917" i="1"/>
  <c r="F1917" i="1"/>
  <c r="E1917" i="1"/>
  <c r="D1917" i="1"/>
  <c r="C1917" i="1"/>
  <c r="B1917" i="1"/>
  <c r="A1917" i="1"/>
  <c r="R1916" i="1"/>
  <c r="J1916" i="1"/>
  <c r="I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R1914" i="1"/>
  <c r="J1914" i="1"/>
  <c r="I1914" i="1"/>
  <c r="G1914" i="1"/>
  <c r="F1914" i="1"/>
  <c r="E1914" i="1"/>
  <c r="D1914" i="1"/>
  <c r="C1914" i="1"/>
  <c r="B1914" i="1"/>
  <c r="A1914" i="1"/>
  <c r="R1913" i="1"/>
  <c r="J1913" i="1"/>
  <c r="I1913" i="1"/>
  <c r="G1913" i="1"/>
  <c r="F1913" i="1"/>
  <c r="E1913" i="1"/>
  <c r="D1913" i="1"/>
  <c r="C1913" i="1"/>
  <c r="B1913" i="1"/>
  <c r="A1913" i="1"/>
  <c r="R1912" i="1"/>
  <c r="J1912" i="1"/>
  <c r="I1912" i="1"/>
  <c r="G1912" i="1"/>
  <c r="F1912" i="1"/>
  <c r="E1912" i="1"/>
  <c r="D1912" i="1"/>
  <c r="C1912" i="1"/>
  <c r="B1912" i="1"/>
  <c r="A1912" i="1"/>
  <c r="R1911" i="1"/>
  <c r="J1911" i="1"/>
  <c r="I1911" i="1"/>
  <c r="G1911" i="1"/>
  <c r="F1911" i="1"/>
  <c r="E1911" i="1"/>
  <c r="D1911" i="1"/>
  <c r="C1911" i="1"/>
  <c r="B1911" i="1"/>
  <c r="A1911" i="1"/>
  <c r="R1910" i="1"/>
  <c r="J1910" i="1"/>
  <c r="I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R1908" i="1"/>
  <c r="J1908" i="1"/>
  <c r="I1908" i="1"/>
  <c r="G1908" i="1"/>
  <c r="F1908" i="1"/>
  <c r="E1908" i="1"/>
  <c r="D1908" i="1"/>
  <c r="C1908" i="1"/>
  <c r="B1908" i="1"/>
  <c r="A1908" i="1"/>
  <c r="R1907" i="1"/>
  <c r="J1907" i="1"/>
  <c r="I1907" i="1"/>
  <c r="G1907" i="1"/>
  <c r="F1907" i="1"/>
  <c r="E1907" i="1"/>
  <c r="D1907" i="1"/>
  <c r="C1907" i="1"/>
  <c r="B1907" i="1"/>
  <c r="A1907" i="1"/>
  <c r="R1906" i="1"/>
  <c r="J1906" i="1"/>
  <c r="I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R1904" i="1"/>
  <c r="J1904" i="1"/>
  <c r="I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R1902" i="1"/>
  <c r="J1902" i="1"/>
  <c r="I1902" i="1"/>
  <c r="G1902" i="1"/>
  <c r="F1902" i="1"/>
  <c r="E1902" i="1"/>
  <c r="D1902" i="1"/>
  <c r="C1902" i="1"/>
  <c r="B1902" i="1"/>
  <c r="A1902" i="1"/>
  <c r="R1901" i="1"/>
  <c r="J1901" i="1"/>
  <c r="I1901" i="1"/>
  <c r="G1901" i="1"/>
  <c r="F1901" i="1"/>
  <c r="E1901" i="1"/>
  <c r="D1901" i="1"/>
  <c r="C1901" i="1"/>
  <c r="B1901" i="1"/>
  <c r="A1901" i="1"/>
  <c r="R1900" i="1"/>
  <c r="J1900" i="1"/>
  <c r="I1900" i="1"/>
  <c r="G1900" i="1"/>
  <c r="F1900" i="1"/>
  <c r="E1900" i="1"/>
  <c r="D1900" i="1"/>
  <c r="C1900" i="1"/>
  <c r="B1900" i="1"/>
  <c r="A1900" i="1"/>
  <c r="S1899" i="1"/>
  <c r="O1899" i="1"/>
  <c r="K1899" i="1"/>
  <c r="J1899" i="1"/>
  <c r="I1899" i="1"/>
  <c r="H1899" i="1"/>
  <c r="G1899" i="1"/>
  <c r="F1899" i="1"/>
  <c r="E1899" i="1"/>
  <c r="D1899" i="1"/>
  <c r="C1899" i="1"/>
  <c r="B1899" i="1"/>
  <c r="A1899" i="1"/>
  <c r="R1898" i="1"/>
  <c r="J1898" i="1"/>
  <c r="I1898" i="1"/>
  <c r="G1898" i="1"/>
  <c r="F1898" i="1"/>
  <c r="E1898" i="1"/>
  <c r="D1898" i="1"/>
  <c r="C1898" i="1"/>
  <c r="B1898" i="1"/>
  <c r="A1898" i="1"/>
  <c r="R1897" i="1"/>
  <c r="J1897" i="1"/>
  <c r="I1897" i="1"/>
  <c r="G1897" i="1"/>
  <c r="F1897" i="1"/>
  <c r="E1897" i="1"/>
  <c r="D1897" i="1"/>
  <c r="C1897" i="1"/>
  <c r="B1897" i="1"/>
  <c r="A1897" i="1"/>
  <c r="R1896" i="1"/>
  <c r="J1896" i="1"/>
  <c r="I1896" i="1"/>
  <c r="G1896" i="1"/>
  <c r="F1896" i="1"/>
  <c r="E1896" i="1"/>
  <c r="D1896" i="1"/>
  <c r="C1896" i="1"/>
  <c r="B1896" i="1"/>
  <c r="A1896" i="1"/>
  <c r="R1895" i="1"/>
  <c r="J1895" i="1"/>
  <c r="I1895" i="1"/>
  <c r="G1895" i="1"/>
  <c r="F1895" i="1"/>
  <c r="E1895" i="1"/>
  <c r="D1895" i="1"/>
  <c r="C1895" i="1"/>
  <c r="B1895" i="1"/>
  <c r="A1895" i="1"/>
  <c r="R1894" i="1"/>
  <c r="J1894" i="1"/>
  <c r="I1894" i="1"/>
  <c r="G1894" i="1"/>
  <c r="F1894" i="1"/>
  <c r="E1894" i="1"/>
  <c r="D1894" i="1"/>
  <c r="C1894" i="1"/>
  <c r="B1894" i="1"/>
  <c r="A1894" i="1"/>
  <c r="R1893" i="1"/>
  <c r="J1893" i="1"/>
  <c r="I1893" i="1"/>
  <c r="G1893" i="1"/>
  <c r="F1893" i="1"/>
  <c r="E1893" i="1"/>
  <c r="D1893" i="1"/>
  <c r="C1893" i="1"/>
  <c r="B1893" i="1"/>
  <c r="A1893" i="1"/>
  <c r="R1892" i="1"/>
  <c r="J1892" i="1"/>
  <c r="I1892" i="1"/>
  <c r="G1892" i="1"/>
  <c r="F1892" i="1"/>
  <c r="E1892" i="1"/>
  <c r="D1892" i="1"/>
  <c r="C1892" i="1"/>
  <c r="B1892" i="1"/>
  <c r="A1892" i="1"/>
  <c r="R1891" i="1"/>
  <c r="J1891" i="1"/>
  <c r="I1891" i="1"/>
  <c r="G1891" i="1"/>
  <c r="F1891" i="1"/>
  <c r="E1891" i="1"/>
  <c r="D1891" i="1"/>
  <c r="C1891" i="1"/>
  <c r="B1891" i="1"/>
  <c r="A1891" i="1"/>
  <c r="R1890" i="1"/>
  <c r="J1890" i="1"/>
  <c r="I1890" i="1"/>
  <c r="G1890" i="1"/>
  <c r="F1890" i="1"/>
  <c r="E1890" i="1"/>
  <c r="D1890" i="1"/>
  <c r="C1890" i="1"/>
  <c r="B1890" i="1"/>
  <c r="A1890" i="1"/>
  <c r="R1889" i="1"/>
  <c r="J1889" i="1"/>
  <c r="I1889" i="1"/>
  <c r="G1889" i="1"/>
  <c r="F1889" i="1"/>
  <c r="E1889" i="1"/>
  <c r="D1889" i="1"/>
  <c r="C1889" i="1"/>
  <c r="B1889" i="1"/>
  <c r="A1889" i="1"/>
  <c r="R1888" i="1"/>
  <c r="J1888" i="1"/>
  <c r="I1888" i="1"/>
  <c r="G1888" i="1"/>
  <c r="F1888" i="1"/>
  <c r="E1888" i="1"/>
  <c r="D1888" i="1"/>
  <c r="C1888" i="1"/>
  <c r="B1888" i="1"/>
  <c r="A1888" i="1"/>
  <c r="R1887" i="1"/>
  <c r="J1887" i="1"/>
  <c r="I1887" i="1"/>
  <c r="G1887" i="1"/>
  <c r="F1887" i="1"/>
  <c r="E1887" i="1"/>
  <c r="D1887" i="1"/>
  <c r="C1887" i="1"/>
  <c r="B1887" i="1"/>
  <c r="A1887" i="1"/>
  <c r="R1886" i="1"/>
  <c r="J1886" i="1"/>
  <c r="I1886" i="1"/>
  <c r="G1886" i="1"/>
  <c r="F1886" i="1"/>
  <c r="E1886" i="1"/>
  <c r="D1886" i="1"/>
  <c r="C1886" i="1"/>
  <c r="B1886" i="1"/>
  <c r="A1886" i="1"/>
  <c r="R1885" i="1"/>
  <c r="J1885" i="1"/>
  <c r="I1885" i="1"/>
  <c r="G1885" i="1"/>
  <c r="F1885" i="1"/>
  <c r="E1885" i="1"/>
  <c r="D1885" i="1"/>
  <c r="C1885" i="1"/>
  <c r="B1885" i="1"/>
  <c r="A1885" i="1"/>
  <c r="R1884" i="1"/>
  <c r="J1884" i="1"/>
  <c r="I1884" i="1"/>
  <c r="G1884" i="1"/>
  <c r="F1884" i="1"/>
  <c r="E1884" i="1"/>
  <c r="D1884" i="1"/>
  <c r="C1884" i="1"/>
  <c r="B1884" i="1"/>
  <c r="A1884" i="1"/>
  <c r="R1883" i="1"/>
  <c r="J1883" i="1"/>
  <c r="I1883" i="1"/>
  <c r="G1883" i="1"/>
  <c r="F1883" i="1"/>
  <c r="E1883" i="1"/>
  <c r="D1883" i="1"/>
  <c r="C1883" i="1"/>
  <c r="B1883" i="1"/>
  <c r="A1883" i="1"/>
  <c r="R1882" i="1"/>
  <c r="J1882" i="1"/>
  <c r="I1882" i="1"/>
  <c r="G1882" i="1"/>
  <c r="F1882" i="1"/>
  <c r="E1882" i="1"/>
  <c r="D1882" i="1"/>
  <c r="C1882" i="1"/>
  <c r="B1882" i="1"/>
  <c r="A1882" i="1"/>
  <c r="S1881" i="1"/>
  <c r="O1881" i="1"/>
  <c r="K1881" i="1"/>
  <c r="J1881" i="1"/>
  <c r="I1881" i="1"/>
  <c r="H1881" i="1"/>
  <c r="G1881" i="1"/>
  <c r="F1881" i="1"/>
  <c r="E1881" i="1"/>
  <c r="D1881" i="1"/>
  <c r="C1881" i="1"/>
  <c r="B1881" i="1"/>
  <c r="A1881" i="1"/>
  <c r="R1880" i="1"/>
  <c r="J1880" i="1"/>
  <c r="I1880" i="1"/>
  <c r="G1880" i="1"/>
  <c r="F1880" i="1"/>
  <c r="E1880" i="1"/>
  <c r="D1880" i="1"/>
  <c r="C1880" i="1"/>
  <c r="B1880" i="1"/>
  <c r="A1880" i="1"/>
  <c r="R1879" i="1"/>
  <c r="J1879" i="1"/>
  <c r="I1879" i="1"/>
  <c r="G1879" i="1"/>
  <c r="F1879" i="1"/>
  <c r="E1879" i="1"/>
  <c r="D1879" i="1"/>
  <c r="C1879" i="1"/>
  <c r="B1879" i="1"/>
  <c r="A1879" i="1"/>
  <c r="R1878" i="1"/>
  <c r="J1878" i="1"/>
  <c r="I1878" i="1"/>
  <c r="G1878" i="1"/>
  <c r="F1878" i="1"/>
  <c r="E1878" i="1"/>
  <c r="D1878" i="1"/>
  <c r="C1878" i="1"/>
  <c r="B1878" i="1"/>
  <c r="A1878" i="1"/>
  <c r="R1877" i="1"/>
  <c r="J1877" i="1"/>
  <c r="I1877" i="1"/>
  <c r="G1877" i="1"/>
  <c r="F1877" i="1"/>
  <c r="E1877" i="1"/>
  <c r="D1877" i="1"/>
  <c r="C1877" i="1"/>
  <c r="B1877" i="1"/>
  <c r="A1877" i="1"/>
  <c r="R1876" i="1"/>
  <c r="J1876" i="1"/>
  <c r="I1876" i="1"/>
  <c r="G1876" i="1"/>
  <c r="F1876" i="1"/>
  <c r="E1876" i="1"/>
  <c r="D1876" i="1"/>
  <c r="C1876" i="1"/>
  <c r="B1876" i="1"/>
  <c r="A1876" i="1"/>
  <c r="R1875" i="1"/>
  <c r="J1875" i="1"/>
  <c r="I1875" i="1"/>
  <c r="G1875" i="1"/>
  <c r="F1875" i="1"/>
  <c r="E1875" i="1"/>
  <c r="D1875" i="1"/>
  <c r="C1875" i="1"/>
  <c r="B1875" i="1"/>
  <c r="A1875" i="1"/>
  <c r="R1874" i="1"/>
  <c r="J1874" i="1"/>
  <c r="I1874" i="1"/>
  <c r="G1874" i="1"/>
  <c r="F1874" i="1"/>
  <c r="E1874" i="1"/>
  <c r="D1874" i="1"/>
  <c r="C1874" i="1"/>
  <c r="B1874" i="1"/>
  <c r="A1874" i="1"/>
  <c r="R1873" i="1"/>
  <c r="J1873" i="1"/>
  <c r="I1873" i="1"/>
  <c r="G1873" i="1"/>
  <c r="F1873" i="1"/>
  <c r="E1873" i="1"/>
  <c r="D1873" i="1"/>
  <c r="C1873" i="1"/>
  <c r="B1873" i="1"/>
  <c r="A1873" i="1"/>
  <c r="R1872" i="1"/>
  <c r="J1872" i="1"/>
  <c r="I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S1870" i="1"/>
  <c r="O1870" i="1"/>
  <c r="K1870" i="1"/>
  <c r="J1870" i="1"/>
  <c r="I1870" i="1"/>
  <c r="H1870" i="1"/>
  <c r="G1870" i="1"/>
  <c r="F1870" i="1"/>
  <c r="E1870" i="1"/>
  <c r="D1870" i="1"/>
  <c r="C1870" i="1"/>
  <c r="B1870" i="1"/>
  <c r="A1870" i="1"/>
  <c r="R1869" i="1"/>
  <c r="J1869" i="1"/>
  <c r="I1869" i="1"/>
  <c r="G1869" i="1"/>
  <c r="F1869" i="1"/>
  <c r="E1869" i="1"/>
  <c r="D1869" i="1"/>
  <c r="C1869" i="1"/>
  <c r="B1869" i="1"/>
  <c r="A1869" i="1"/>
  <c r="S1868" i="1"/>
  <c r="O1868" i="1"/>
  <c r="K1868" i="1"/>
  <c r="J1868" i="1"/>
  <c r="I1868" i="1"/>
  <c r="H1868" i="1"/>
  <c r="G1868" i="1"/>
  <c r="F1868" i="1"/>
  <c r="E1868" i="1"/>
  <c r="D1868" i="1"/>
  <c r="C1868" i="1"/>
  <c r="B1868" i="1"/>
  <c r="A1868" i="1"/>
  <c r="R1867" i="1"/>
  <c r="J1867" i="1"/>
  <c r="I1867" i="1"/>
  <c r="G1867" i="1"/>
  <c r="F1867" i="1"/>
  <c r="E1867" i="1"/>
  <c r="D1867" i="1"/>
  <c r="C1867" i="1"/>
  <c r="B1867" i="1"/>
  <c r="A1867" i="1"/>
  <c r="S1866" i="1"/>
  <c r="O1866" i="1"/>
  <c r="K1866" i="1"/>
  <c r="J1866" i="1"/>
  <c r="I1866" i="1"/>
  <c r="H1866" i="1"/>
  <c r="G1866" i="1"/>
  <c r="F1866" i="1"/>
  <c r="E1866" i="1"/>
  <c r="D1866" i="1"/>
  <c r="C1866" i="1"/>
  <c r="B1866" i="1"/>
  <c r="A1866" i="1"/>
  <c r="S1865" i="1"/>
  <c r="O1865" i="1"/>
  <c r="K1865" i="1"/>
  <c r="J1865" i="1"/>
  <c r="I1865" i="1"/>
  <c r="H1865" i="1"/>
  <c r="G1865" i="1"/>
  <c r="F1865" i="1"/>
  <c r="D1865" i="1"/>
  <c r="C1865" i="1"/>
  <c r="B1865" i="1"/>
  <c r="A1865" i="1"/>
  <c r="S1864" i="1"/>
  <c r="O1864" i="1"/>
  <c r="K1864" i="1"/>
  <c r="J1864" i="1"/>
  <c r="I1864" i="1"/>
  <c r="H1864" i="1"/>
  <c r="G1864" i="1"/>
  <c r="F1864" i="1"/>
  <c r="D1864" i="1"/>
  <c r="C1864" i="1"/>
  <c r="B1864" i="1"/>
  <c r="A1864" i="1"/>
  <c r="S1863" i="1"/>
  <c r="O1863" i="1"/>
  <c r="K1863" i="1"/>
  <c r="J1863" i="1"/>
  <c r="I1863" i="1"/>
  <c r="H1863" i="1"/>
  <c r="G1863" i="1"/>
  <c r="F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D1862" i="1"/>
  <c r="C1862" i="1"/>
  <c r="B1862" i="1"/>
  <c r="A1862" i="1"/>
  <c r="S1861" i="1"/>
  <c r="O1861" i="1"/>
  <c r="K1861" i="1"/>
  <c r="J1861" i="1"/>
  <c r="I1861" i="1"/>
  <c r="H1861" i="1"/>
  <c r="G1861" i="1"/>
  <c r="F1861" i="1"/>
  <c r="D1861" i="1"/>
  <c r="C1861" i="1"/>
  <c r="B1861" i="1"/>
  <c r="A1861" i="1"/>
  <c r="R1860" i="1"/>
  <c r="J1860" i="1"/>
  <c r="I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R1858" i="1"/>
  <c r="J1858" i="1"/>
  <c r="I1858" i="1"/>
  <c r="G1858" i="1"/>
  <c r="F1858" i="1"/>
  <c r="E1858" i="1"/>
  <c r="D1858" i="1"/>
  <c r="C1858" i="1"/>
  <c r="B1858" i="1"/>
  <c r="A1858" i="1"/>
  <c r="R1857" i="1"/>
  <c r="J1857" i="1"/>
  <c r="I1857" i="1"/>
  <c r="G1857" i="1"/>
  <c r="F1857" i="1"/>
  <c r="E1857" i="1"/>
  <c r="D1857" i="1"/>
  <c r="C1857" i="1"/>
  <c r="B1857" i="1"/>
  <c r="A1857" i="1"/>
  <c r="R1856" i="1"/>
  <c r="J1856" i="1"/>
  <c r="I1856" i="1"/>
  <c r="G1856" i="1"/>
  <c r="F1856" i="1"/>
  <c r="E1856" i="1"/>
  <c r="D1856" i="1"/>
  <c r="C1856" i="1"/>
  <c r="B1856" i="1"/>
  <c r="A1856" i="1"/>
  <c r="R1855" i="1"/>
  <c r="J1855" i="1"/>
  <c r="I1855" i="1"/>
  <c r="G1855" i="1"/>
  <c r="F1855" i="1"/>
  <c r="E1855" i="1"/>
  <c r="D1855" i="1"/>
  <c r="C1855" i="1"/>
  <c r="B1855" i="1"/>
  <c r="A1855" i="1"/>
  <c r="R1854" i="1"/>
  <c r="J1854" i="1"/>
  <c r="I1854" i="1"/>
  <c r="G1854" i="1"/>
  <c r="F1854" i="1"/>
  <c r="E1854" i="1"/>
  <c r="D1854" i="1"/>
  <c r="C1854" i="1"/>
  <c r="B1854" i="1"/>
  <c r="A1854" i="1"/>
  <c r="S1853" i="1"/>
  <c r="O1853" i="1"/>
  <c r="K1853" i="1"/>
  <c r="J1853" i="1"/>
  <c r="I1853" i="1"/>
  <c r="H1853" i="1"/>
  <c r="G1853" i="1"/>
  <c r="F1853" i="1"/>
  <c r="E1853" i="1"/>
  <c r="D1853" i="1"/>
  <c r="C1853" i="1"/>
  <c r="B1853" i="1"/>
  <c r="A1853" i="1"/>
  <c r="R1852" i="1"/>
  <c r="J1852" i="1"/>
  <c r="I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S1848" i="1"/>
  <c r="O1848" i="1"/>
  <c r="K1848" i="1"/>
  <c r="J1848" i="1"/>
  <c r="I1848" i="1"/>
  <c r="H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S1842" i="1"/>
  <c r="O1842" i="1"/>
  <c r="K1842" i="1"/>
  <c r="J1842" i="1"/>
  <c r="I1842" i="1"/>
  <c r="H1842" i="1"/>
  <c r="G1842" i="1"/>
  <c r="F1842" i="1"/>
  <c r="E1842" i="1"/>
  <c r="D1842" i="1"/>
  <c r="C1842" i="1"/>
  <c r="B1842" i="1"/>
  <c r="A1842" i="1"/>
  <c r="S1841" i="1"/>
  <c r="O1841" i="1"/>
  <c r="K1841" i="1"/>
  <c r="J1841" i="1"/>
  <c r="I1841" i="1"/>
  <c r="H1841" i="1"/>
  <c r="G1841" i="1"/>
  <c r="F1841" i="1"/>
  <c r="D1841" i="1"/>
  <c r="C1841" i="1"/>
  <c r="B1841" i="1"/>
  <c r="A1841" i="1"/>
  <c r="S1840" i="1"/>
  <c r="O1840" i="1"/>
  <c r="K1840" i="1"/>
  <c r="J1840" i="1"/>
  <c r="I1840" i="1"/>
  <c r="H1840" i="1"/>
  <c r="G1840" i="1"/>
  <c r="F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R1838" i="1"/>
  <c r="J1838" i="1"/>
  <c r="I1838" i="1"/>
  <c r="G1838" i="1"/>
  <c r="F1838" i="1"/>
  <c r="E1838" i="1"/>
  <c r="D1838" i="1"/>
  <c r="C1838" i="1"/>
  <c r="B1838" i="1"/>
  <c r="A1838" i="1"/>
  <c r="R1837" i="1"/>
  <c r="J1837" i="1"/>
  <c r="I1837" i="1"/>
  <c r="G1837" i="1"/>
  <c r="F1837" i="1"/>
  <c r="E1837" i="1"/>
  <c r="D1837" i="1"/>
  <c r="C1837" i="1"/>
  <c r="B1837" i="1"/>
  <c r="A1837" i="1"/>
  <c r="R1836" i="1"/>
  <c r="J1836" i="1"/>
  <c r="I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R1834" i="1"/>
  <c r="J1834" i="1"/>
  <c r="I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R1832" i="1"/>
  <c r="J1832" i="1"/>
  <c r="I1832" i="1"/>
  <c r="G1832" i="1"/>
  <c r="F1832" i="1"/>
  <c r="E1832" i="1"/>
  <c r="D1832" i="1"/>
  <c r="C1832" i="1"/>
  <c r="B1832" i="1"/>
  <c r="A1832" i="1"/>
  <c r="R1831" i="1"/>
  <c r="J1831" i="1"/>
  <c r="I1831" i="1"/>
  <c r="G1831" i="1"/>
  <c r="F1831" i="1"/>
  <c r="E1831" i="1"/>
  <c r="D1831" i="1"/>
  <c r="C1831" i="1"/>
  <c r="B1831" i="1"/>
  <c r="A1831" i="1"/>
  <c r="R1830" i="1"/>
  <c r="J1830" i="1"/>
  <c r="I1830" i="1"/>
  <c r="G1830" i="1"/>
  <c r="F1830" i="1"/>
  <c r="E1830" i="1"/>
  <c r="D1830" i="1"/>
  <c r="C1830" i="1"/>
  <c r="B1830" i="1"/>
  <c r="A1830" i="1"/>
  <c r="R1829" i="1"/>
  <c r="J1829" i="1"/>
  <c r="I1829" i="1"/>
  <c r="G1829" i="1"/>
  <c r="F1829" i="1"/>
  <c r="E1829" i="1"/>
  <c r="D1829" i="1"/>
  <c r="C1829" i="1"/>
  <c r="B1829" i="1"/>
  <c r="A1829" i="1"/>
  <c r="R1828" i="1"/>
  <c r="J1828" i="1"/>
  <c r="I1828" i="1"/>
  <c r="G1828" i="1"/>
  <c r="F1828" i="1"/>
  <c r="E1828" i="1"/>
  <c r="D1828" i="1"/>
  <c r="C1828" i="1"/>
  <c r="B1828" i="1"/>
  <c r="A1828" i="1"/>
  <c r="R1827" i="1"/>
  <c r="J1827" i="1"/>
  <c r="I1827" i="1"/>
  <c r="G1827" i="1"/>
  <c r="F1827" i="1"/>
  <c r="E1827" i="1"/>
  <c r="D1827" i="1"/>
  <c r="C1827" i="1"/>
  <c r="B1827" i="1"/>
  <c r="A1827" i="1"/>
  <c r="R1826" i="1"/>
  <c r="J1826" i="1"/>
  <c r="I1826" i="1"/>
  <c r="G1826" i="1"/>
  <c r="F1826" i="1"/>
  <c r="E1826" i="1"/>
  <c r="D1826" i="1"/>
  <c r="C1826" i="1"/>
  <c r="B1826" i="1"/>
  <c r="A1826" i="1"/>
  <c r="R1825" i="1"/>
  <c r="J1825" i="1"/>
  <c r="I1825" i="1"/>
  <c r="G1825" i="1"/>
  <c r="F1825" i="1"/>
  <c r="E1825" i="1"/>
  <c r="D1825" i="1"/>
  <c r="C1825" i="1"/>
  <c r="B1825" i="1"/>
  <c r="A1825" i="1"/>
  <c r="R1824" i="1"/>
  <c r="J1824" i="1"/>
  <c r="I1824" i="1"/>
  <c r="G1824" i="1"/>
  <c r="F1824" i="1"/>
  <c r="E1824" i="1"/>
  <c r="D1824" i="1"/>
  <c r="C1824" i="1"/>
  <c r="B1824" i="1"/>
  <c r="A1824" i="1"/>
  <c r="R1823" i="1"/>
  <c r="J1823" i="1"/>
  <c r="I1823" i="1"/>
  <c r="G1823" i="1"/>
  <c r="F1823" i="1"/>
  <c r="E1823" i="1"/>
  <c r="D1823" i="1"/>
  <c r="C1823" i="1"/>
  <c r="B1823" i="1"/>
  <c r="A1823" i="1"/>
  <c r="R1822" i="1"/>
  <c r="J1822" i="1"/>
  <c r="I1822" i="1"/>
  <c r="G1822" i="1"/>
  <c r="F1822" i="1"/>
  <c r="E1822" i="1"/>
  <c r="D1822" i="1"/>
  <c r="C1822" i="1"/>
  <c r="B1822" i="1"/>
  <c r="A1822" i="1"/>
  <c r="R1821" i="1"/>
  <c r="J1821" i="1"/>
  <c r="I1821" i="1"/>
  <c r="G1821" i="1"/>
  <c r="F1821" i="1"/>
  <c r="E1821" i="1"/>
  <c r="D1821" i="1"/>
  <c r="C1821" i="1"/>
  <c r="B1821" i="1"/>
  <c r="A1821" i="1"/>
  <c r="R1820" i="1"/>
  <c r="J1820" i="1"/>
  <c r="I1820" i="1"/>
  <c r="G1820" i="1"/>
  <c r="F1820" i="1"/>
  <c r="E1820" i="1"/>
  <c r="D1820" i="1"/>
  <c r="C1820" i="1"/>
  <c r="B1820" i="1"/>
  <c r="A1820" i="1"/>
  <c r="R1819" i="1"/>
  <c r="J1819" i="1"/>
  <c r="I1819" i="1"/>
  <c r="G1819" i="1"/>
  <c r="F1819" i="1"/>
  <c r="E1819" i="1"/>
  <c r="D1819" i="1"/>
  <c r="C1819" i="1"/>
  <c r="B1819" i="1"/>
  <c r="A1819" i="1"/>
  <c r="R1818" i="1"/>
  <c r="J1818" i="1"/>
  <c r="I1818" i="1"/>
  <c r="G1818" i="1"/>
  <c r="F1818" i="1"/>
  <c r="E1818" i="1"/>
  <c r="D1818" i="1"/>
  <c r="C1818" i="1"/>
  <c r="B1818" i="1"/>
  <c r="A1818" i="1"/>
  <c r="R1817" i="1"/>
  <c r="J1817" i="1"/>
  <c r="I1817" i="1"/>
  <c r="G1817" i="1"/>
  <c r="F1817" i="1"/>
  <c r="E1817" i="1"/>
  <c r="D1817" i="1"/>
  <c r="C1817" i="1"/>
  <c r="B1817" i="1"/>
  <c r="A1817" i="1"/>
  <c r="R1816" i="1"/>
  <c r="J1816" i="1"/>
  <c r="I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R1814" i="1"/>
  <c r="J1814" i="1"/>
  <c r="I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R1812" i="1"/>
  <c r="J1812" i="1"/>
  <c r="I1812" i="1"/>
  <c r="G1812" i="1"/>
  <c r="F1812" i="1"/>
  <c r="E1812" i="1"/>
  <c r="D1812" i="1"/>
  <c r="C1812" i="1"/>
  <c r="B1812" i="1"/>
  <c r="A1812" i="1"/>
  <c r="R1811" i="1"/>
  <c r="J1811" i="1"/>
  <c r="I1811" i="1"/>
  <c r="G1811" i="1"/>
  <c r="F1811" i="1"/>
  <c r="E1811" i="1"/>
  <c r="D1811" i="1"/>
  <c r="C1811" i="1"/>
  <c r="B1811" i="1"/>
  <c r="A1811" i="1"/>
  <c r="R1810" i="1"/>
  <c r="J1810" i="1"/>
  <c r="I1810" i="1"/>
  <c r="G1810" i="1"/>
  <c r="F1810" i="1"/>
  <c r="E1810" i="1"/>
  <c r="D1810" i="1"/>
  <c r="C1810" i="1"/>
  <c r="B1810" i="1"/>
  <c r="A1810" i="1"/>
  <c r="R1809" i="1"/>
  <c r="J1809" i="1"/>
  <c r="I1809" i="1"/>
  <c r="G1809" i="1"/>
  <c r="F1809" i="1"/>
  <c r="E1809" i="1"/>
  <c r="D1809" i="1"/>
  <c r="C1809" i="1"/>
  <c r="B1809" i="1"/>
  <c r="A1809" i="1"/>
  <c r="R1808" i="1"/>
  <c r="J1808" i="1"/>
  <c r="I1808" i="1"/>
  <c r="G1808" i="1"/>
  <c r="F1808" i="1"/>
  <c r="E1808" i="1"/>
  <c r="D1808" i="1"/>
  <c r="C1808" i="1"/>
  <c r="B1808" i="1"/>
  <c r="A1808" i="1"/>
  <c r="R1807" i="1"/>
  <c r="J1807" i="1"/>
  <c r="I1807" i="1"/>
  <c r="G1807" i="1"/>
  <c r="F1807" i="1"/>
  <c r="E1807" i="1"/>
  <c r="D1807" i="1"/>
  <c r="C1807" i="1"/>
  <c r="B1807" i="1"/>
  <c r="A1807" i="1"/>
  <c r="R1806" i="1"/>
  <c r="J1806" i="1"/>
  <c r="I1806" i="1"/>
  <c r="G1806" i="1"/>
  <c r="F1806" i="1"/>
  <c r="E1806" i="1"/>
  <c r="D1806" i="1"/>
  <c r="C1806" i="1"/>
  <c r="B1806" i="1"/>
  <c r="A1806" i="1"/>
  <c r="R1805" i="1"/>
  <c r="J1805" i="1"/>
  <c r="I1805" i="1"/>
  <c r="G1805" i="1"/>
  <c r="F1805" i="1"/>
  <c r="E1805" i="1"/>
  <c r="D1805" i="1"/>
  <c r="C1805" i="1"/>
  <c r="B1805" i="1"/>
  <c r="A1805" i="1"/>
  <c r="R1804" i="1"/>
  <c r="J1804" i="1"/>
  <c r="I1804" i="1"/>
  <c r="G1804" i="1"/>
  <c r="F1804" i="1"/>
  <c r="E1804" i="1"/>
  <c r="D1804" i="1"/>
  <c r="C1804" i="1"/>
  <c r="B1804" i="1"/>
  <c r="A1804" i="1"/>
  <c r="R1803" i="1"/>
  <c r="J1803" i="1"/>
  <c r="I1803" i="1"/>
  <c r="G1803" i="1"/>
  <c r="F1803" i="1"/>
  <c r="E1803" i="1"/>
  <c r="D1803" i="1"/>
  <c r="C1803" i="1"/>
  <c r="B1803" i="1"/>
  <c r="A1803" i="1"/>
  <c r="R1802" i="1"/>
  <c r="J1802" i="1"/>
  <c r="I1802" i="1"/>
  <c r="G1802" i="1"/>
  <c r="F1802" i="1"/>
  <c r="E1802" i="1"/>
  <c r="D1802" i="1"/>
  <c r="C1802" i="1"/>
  <c r="B1802" i="1"/>
  <c r="A1802" i="1"/>
  <c r="R1801" i="1"/>
  <c r="J1801" i="1"/>
  <c r="I1801" i="1"/>
  <c r="G1801" i="1"/>
  <c r="F1801" i="1"/>
  <c r="E1801" i="1"/>
  <c r="D1801" i="1"/>
  <c r="C1801" i="1"/>
  <c r="B1801" i="1"/>
  <c r="A1801" i="1"/>
  <c r="R1800" i="1"/>
  <c r="J1800" i="1"/>
  <c r="I1800" i="1"/>
  <c r="G1800" i="1"/>
  <c r="F1800" i="1"/>
  <c r="E1800" i="1"/>
  <c r="D1800" i="1"/>
  <c r="C1800" i="1"/>
  <c r="B1800" i="1"/>
  <c r="A1800" i="1"/>
  <c r="R1799" i="1"/>
  <c r="J1799" i="1"/>
  <c r="I1799" i="1"/>
  <c r="G1799" i="1"/>
  <c r="F1799" i="1"/>
  <c r="E1799" i="1"/>
  <c r="D1799" i="1"/>
  <c r="C1799" i="1"/>
  <c r="B1799" i="1"/>
  <c r="A1799" i="1"/>
  <c r="R1798" i="1"/>
  <c r="J1798" i="1"/>
  <c r="I1798" i="1"/>
  <c r="G1798" i="1"/>
  <c r="F1798" i="1"/>
  <c r="E1798" i="1"/>
  <c r="D1798" i="1"/>
  <c r="C1798" i="1"/>
  <c r="B1798" i="1"/>
  <c r="A1798" i="1"/>
  <c r="R1797" i="1"/>
  <c r="J1797" i="1"/>
  <c r="I1797" i="1"/>
  <c r="G1797" i="1"/>
  <c r="F1797" i="1"/>
  <c r="E1797" i="1"/>
  <c r="D1797" i="1"/>
  <c r="C1797" i="1"/>
  <c r="B1797" i="1"/>
  <c r="A1797" i="1"/>
  <c r="R1796" i="1"/>
  <c r="J1796" i="1"/>
  <c r="I1796" i="1"/>
  <c r="G1796" i="1"/>
  <c r="F1796" i="1"/>
  <c r="E1796" i="1"/>
  <c r="D1796" i="1"/>
  <c r="C1796" i="1"/>
  <c r="B1796" i="1"/>
  <c r="A1796" i="1"/>
  <c r="R1795" i="1"/>
  <c r="J1795" i="1"/>
  <c r="I1795" i="1"/>
  <c r="G1795" i="1"/>
  <c r="F1795" i="1"/>
  <c r="E1795" i="1"/>
  <c r="D1795" i="1"/>
  <c r="C1795" i="1"/>
  <c r="B1795" i="1"/>
  <c r="A1795" i="1"/>
  <c r="R1794" i="1"/>
  <c r="J1794" i="1"/>
  <c r="I1794" i="1"/>
  <c r="G1794" i="1"/>
  <c r="F1794" i="1"/>
  <c r="E1794" i="1"/>
  <c r="D1794" i="1"/>
  <c r="C1794" i="1"/>
  <c r="B1794" i="1"/>
  <c r="A1794" i="1"/>
  <c r="R1793" i="1"/>
  <c r="J1793" i="1"/>
  <c r="I1793" i="1"/>
  <c r="G1793" i="1"/>
  <c r="F1793" i="1"/>
  <c r="E1793" i="1"/>
  <c r="D1793" i="1"/>
  <c r="C1793" i="1"/>
  <c r="B1793" i="1"/>
  <c r="A1793" i="1"/>
  <c r="R1792" i="1"/>
  <c r="J1792" i="1"/>
  <c r="I1792" i="1"/>
  <c r="G1792" i="1"/>
  <c r="F1792" i="1"/>
  <c r="E1792" i="1"/>
  <c r="D1792" i="1"/>
  <c r="C1792" i="1"/>
  <c r="B1792" i="1"/>
  <c r="A1792" i="1"/>
  <c r="R1791" i="1"/>
  <c r="J1791" i="1"/>
  <c r="I1791" i="1"/>
  <c r="G1791" i="1"/>
  <c r="F1791" i="1"/>
  <c r="E1791" i="1"/>
  <c r="D1791" i="1"/>
  <c r="C1791" i="1"/>
  <c r="B1791" i="1"/>
  <c r="A1791" i="1"/>
  <c r="R1790" i="1"/>
  <c r="J1790" i="1"/>
  <c r="I1790" i="1"/>
  <c r="G1790" i="1"/>
  <c r="F1790" i="1"/>
  <c r="E1790" i="1"/>
  <c r="D1790" i="1"/>
  <c r="C1790" i="1"/>
  <c r="B1790" i="1"/>
  <c r="A1790" i="1"/>
  <c r="S1789" i="1"/>
  <c r="O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S1787" i="1"/>
  <c r="O1787" i="1"/>
  <c r="K1787" i="1"/>
  <c r="J1787" i="1"/>
  <c r="I1787" i="1"/>
  <c r="H1787" i="1"/>
  <c r="G1787" i="1"/>
  <c r="F1787" i="1"/>
  <c r="E1787" i="1"/>
  <c r="D1787" i="1"/>
  <c r="C1787" i="1"/>
  <c r="B1787" i="1"/>
  <c r="A1787" i="1"/>
  <c r="R1786" i="1"/>
  <c r="J1786" i="1"/>
  <c r="I1786" i="1"/>
  <c r="G1786" i="1"/>
  <c r="F1786" i="1"/>
  <c r="E1786" i="1"/>
  <c r="D1786" i="1"/>
  <c r="C1786" i="1"/>
  <c r="B1786" i="1"/>
  <c r="A1786" i="1"/>
  <c r="S1785" i="1"/>
  <c r="O1785" i="1"/>
  <c r="K1785" i="1"/>
  <c r="J1785" i="1"/>
  <c r="I1785" i="1"/>
  <c r="H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D1784" i="1"/>
  <c r="C1784" i="1"/>
  <c r="B1784" i="1"/>
  <c r="A1784" i="1"/>
  <c r="S1783" i="1"/>
  <c r="O1783" i="1"/>
  <c r="K1783" i="1"/>
  <c r="J1783" i="1"/>
  <c r="I1783" i="1"/>
  <c r="H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S1775" i="1"/>
  <c r="O1775" i="1"/>
  <c r="K1775" i="1"/>
  <c r="J1775" i="1"/>
  <c r="I1775" i="1"/>
  <c r="H1775" i="1"/>
  <c r="G1775" i="1"/>
  <c r="F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R1770" i="1"/>
  <c r="J1770" i="1"/>
  <c r="I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R1768" i="1"/>
  <c r="J1768" i="1"/>
  <c r="I1768" i="1"/>
  <c r="G1768" i="1"/>
  <c r="F1768" i="1"/>
  <c r="E1768" i="1"/>
  <c r="D1768" i="1"/>
  <c r="C1768" i="1"/>
  <c r="B1768" i="1"/>
  <c r="A1768" i="1"/>
  <c r="S1767" i="1"/>
  <c r="O1767" i="1"/>
  <c r="K1767" i="1"/>
  <c r="J1767" i="1"/>
  <c r="I1767" i="1"/>
  <c r="H1767" i="1"/>
  <c r="G1767" i="1"/>
  <c r="F1767" i="1"/>
  <c r="E1767" i="1"/>
  <c r="D1767" i="1"/>
  <c r="C1767" i="1"/>
  <c r="B1767" i="1"/>
  <c r="A1767" i="1"/>
  <c r="R1766" i="1"/>
  <c r="J1766" i="1"/>
  <c r="I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R1764" i="1"/>
  <c r="J1764" i="1"/>
  <c r="I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R1762" i="1"/>
  <c r="J1762" i="1"/>
  <c r="I1762" i="1"/>
  <c r="G1762" i="1"/>
  <c r="F1762" i="1"/>
  <c r="E1762" i="1"/>
  <c r="D1762" i="1"/>
  <c r="C1762" i="1"/>
  <c r="B1762" i="1"/>
  <c r="A1762" i="1"/>
  <c r="S1761" i="1"/>
  <c r="O1761" i="1"/>
  <c r="K1761" i="1"/>
  <c r="J1761" i="1"/>
  <c r="I1761" i="1"/>
  <c r="H1761" i="1"/>
  <c r="G1761" i="1"/>
  <c r="F1761" i="1"/>
  <c r="E1761" i="1"/>
  <c r="D1761" i="1"/>
  <c r="C1761" i="1"/>
  <c r="B1761" i="1"/>
  <c r="A1761" i="1"/>
  <c r="R1760" i="1"/>
  <c r="J1760" i="1"/>
  <c r="I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S1758" i="1"/>
  <c r="O1758" i="1"/>
  <c r="K1758" i="1"/>
  <c r="J1758" i="1"/>
  <c r="I1758" i="1"/>
  <c r="H1758" i="1"/>
  <c r="G1758" i="1"/>
  <c r="F1758" i="1"/>
  <c r="E1758" i="1"/>
  <c r="D1758" i="1"/>
  <c r="C1758" i="1"/>
  <c r="B1758" i="1"/>
  <c r="A1758" i="1"/>
  <c r="R1757" i="1"/>
  <c r="J1757" i="1"/>
  <c r="I1757" i="1"/>
  <c r="G1757" i="1"/>
  <c r="F1757" i="1"/>
  <c r="E1757" i="1"/>
  <c r="D1757" i="1"/>
  <c r="C1757" i="1"/>
  <c r="B1757" i="1"/>
  <c r="A1757" i="1"/>
  <c r="S1756" i="1"/>
  <c r="O1756" i="1"/>
  <c r="K1756" i="1"/>
  <c r="J1756" i="1"/>
  <c r="I1756" i="1"/>
  <c r="H1756" i="1"/>
  <c r="G1756" i="1"/>
  <c r="F1756" i="1"/>
  <c r="E1756" i="1"/>
  <c r="D1756" i="1"/>
  <c r="C1756" i="1"/>
  <c r="B1756" i="1"/>
  <c r="A1756" i="1"/>
  <c r="R1755" i="1"/>
  <c r="J1755" i="1"/>
  <c r="I1755" i="1"/>
  <c r="G1755" i="1"/>
  <c r="F1755" i="1"/>
  <c r="E1755" i="1"/>
  <c r="D1755" i="1"/>
  <c r="C1755" i="1"/>
  <c r="B1755" i="1"/>
  <c r="A1755" i="1"/>
  <c r="R1754" i="1"/>
  <c r="J1754" i="1"/>
  <c r="I1754" i="1"/>
  <c r="G1754" i="1"/>
  <c r="F1754" i="1"/>
  <c r="E1754" i="1"/>
  <c r="D1754" i="1"/>
  <c r="C1754" i="1"/>
  <c r="B1754" i="1"/>
  <c r="A1754" i="1"/>
  <c r="R1753" i="1"/>
  <c r="J1753" i="1"/>
  <c r="I1753" i="1"/>
  <c r="G1753" i="1"/>
  <c r="F1753" i="1"/>
  <c r="E1753" i="1"/>
  <c r="D1753" i="1"/>
  <c r="C1753" i="1"/>
  <c r="B1753" i="1"/>
  <c r="A1753" i="1"/>
  <c r="R1752" i="1"/>
  <c r="J1752" i="1"/>
  <c r="I1752" i="1"/>
  <c r="G1752" i="1"/>
  <c r="F1752" i="1"/>
  <c r="E1752" i="1"/>
  <c r="D1752" i="1"/>
  <c r="C1752" i="1"/>
  <c r="B1752" i="1"/>
  <c r="A1752" i="1"/>
  <c r="S1751" i="1"/>
  <c r="O1751" i="1"/>
  <c r="K1751" i="1"/>
  <c r="J1751" i="1"/>
  <c r="I1751" i="1"/>
  <c r="H1751" i="1"/>
  <c r="G1751" i="1"/>
  <c r="F1751" i="1"/>
  <c r="E1751" i="1"/>
  <c r="D1751" i="1"/>
  <c r="C1751" i="1"/>
  <c r="B1751" i="1"/>
  <c r="A1751" i="1"/>
  <c r="R1750" i="1"/>
  <c r="J1750" i="1"/>
  <c r="I1750" i="1"/>
  <c r="G1750" i="1"/>
  <c r="F1750" i="1"/>
  <c r="E1750" i="1"/>
  <c r="D1750" i="1"/>
  <c r="C1750" i="1"/>
  <c r="B1750" i="1"/>
  <c r="A1750" i="1"/>
  <c r="R1749" i="1"/>
  <c r="J1749" i="1"/>
  <c r="I1749" i="1"/>
  <c r="G1749" i="1"/>
  <c r="F1749" i="1"/>
  <c r="E1749" i="1"/>
  <c r="D1749" i="1"/>
  <c r="C1749" i="1"/>
  <c r="B1749" i="1"/>
  <c r="A1749" i="1"/>
  <c r="R1748" i="1"/>
  <c r="J1748" i="1"/>
  <c r="I1748" i="1"/>
  <c r="G1748" i="1"/>
  <c r="F1748" i="1"/>
  <c r="E1748" i="1"/>
  <c r="D1748" i="1"/>
  <c r="C1748" i="1"/>
  <c r="B1748" i="1"/>
  <c r="A1748" i="1"/>
  <c r="S1747" i="1"/>
  <c r="O1747" i="1"/>
  <c r="K1747" i="1"/>
  <c r="J1747" i="1"/>
  <c r="I1747" i="1"/>
  <c r="H1747" i="1"/>
  <c r="G1747" i="1"/>
  <c r="F1747" i="1"/>
  <c r="E1747" i="1"/>
  <c r="D1747" i="1"/>
  <c r="C1747" i="1"/>
  <c r="B1747" i="1"/>
  <c r="A1747" i="1"/>
  <c r="R1746" i="1"/>
  <c r="J1746" i="1"/>
  <c r="I1746" i="1"/>
  <c r="G1746" i="1"/>
  <c r="F1746" i="1"/>
  <c r="E1746" i="1"/>
  <c r="D1746" i="1"/>
  <c r="C1746" i="1"/>
  <c r="B1746" i="1"/>
  <c r="A1746" i="1"/>
  <c r="S1745" i="1"/>
  <c r="O1745" i="1"/>
  <c r="K1745" i="1"/>
  <c r="J1745" i="1"/>
  <c r="I1745" i="1"/>
  <c r="H1745" i="1"/>
  <c r="G1745" i="1"/>
  <c r="F1745" i="1"/>
  <c r="E1745" i="1"/>
  <c r="D1745" i="1"/>
  <c r="C1745" i="1"/>
  <c r="B1745" i="1"/>
  <c r="A1745" i="1"/>
  <c r="R1744" i="1"/>
  <c r="J1744" i="1"/>
  <c r="I1744" i="1"/>
  <c r="G1744" i="1"/>
  <c r="F1744" i="1"/>
  <c r="E1744" i="1"/>
  <c r="D1744" i="1"/>
  <c r="C1744" i="1"/>
  <c r="B1744" i="1"/>
  <c r="A1744" i="1"/>
  <c r="S1743" i="1"/>
  <c r="O1743" i="1"/>
  <c r="K1743" i="1"/>
  <c r="J1743" i="1"/>
  <c r="I1743" i="1"/>
  <c r="H1743" i="1"/>
  <c r="G1743" i="1"/>
  <c r="F1743" i="1"/>
  <c r="E1743" i="1"/>
  <c r="D1743" i="1"/>
  <c r="C1743" i="1"/>
  <c r="B1743" i="1"/>
  <c r="A1743" i="1"/>
  <c r="R1742" i="1"/>
  <c r="J1742" i="1"/>
  <c r="I1742" i="1"/>
  <c r="G1742" i="1"/>
  <c r="F1742" i="1"/>
  <c r="E1742" i="1"/>
  <c r="D1742" i="1"/>
  <c r="C1742" i="1"/>
  <c r="B1742" i="1"/>
  <c r="A1742" i="1"/>
  <c r="R1741" i="1"/>
  <c r="J1741" i="1"/>
  <c r="I1741" i="1"/>
  <c r="G1741" i="1"/>
  <c r="F1741" i="1"/>
  <c r="E1741" i="1"/>
  <c r="D1741" i="1"/>
  <c r="C1741" i="1"/>
  <c r="B1741" i="1"/>
  <c r="A1741" i="1"/>
  <c r="S1740" i="1"/>
  <c r="O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J1739" i="1"/>
  <c r="I1739" i="1"/>
  <c r="G1739" i="1"/>
  <c r="F1739" i="1"/>
  <c r="E1739" i="1"/>
  <c r="D1739" i="1"/>
  <c r="C1739" i="1"/>
  <c r="B1739" i="1"/>
  <c r="A1739" i="1"/>
  <c r="S1738" i="1"/>
  <c r="O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J1737" i="1"/>
  <c r="I1737" i="1"/>
  <c r="G1737" i="1"/>
  <c r="F1737" i="1"/>
  <c r="E1737" i="1"/>
  <c r="D1737" i="1"/>
  <c r="C1737" i="1"/>
  <c r="B1737" i="1"/>
  <c r="A1737" i="1"/>
  <c r="S1736" i="1"/>
  <c r="O1736" i="1"/>
  <c r="K1736" i="1"/>
  <c r="J1736" i="1"/>
  <c r="I1736" i="1"/>
  <c r="H1736" i="1"/>
  <c r="G1736" i="1"/>
  <c r="F1736" i="1"/>
  <c r="E1736" i="1"/>
  <c r="D1736" i="1"/>
  <c r="C1736" i="1"/>
  <c r="B1736" i="1"/>
  <c r="A1736" i="1"/>
  <c r="R1735" i="1"/>
  <c r="J1735" i="1"/>
  <c r="I1735" i="1"/>
  <c r="G1735" i="1"/>
  <c r="F1735" i="1"/>
  <c r="E1735" i="1"/>
  <c r="D1735" i="1"/>
  <c r="C1735" i="1"/>
  <c r="B1735" i="1"/>
  <c r="A1735" i="1"/>
  <c r="R1734" i="1"/>
  <c r="J1734" i="1"/>
  <c r="I1734" i="1"/>
  <c r="G1734" i="1"/>
  <c r="F1734" i="1"/>
  <c r="E1734" i="1"/>
  <c r="D1734" i="1"/>
  <c r="C1734" i="1"/>
  <c r="B1734" i="1"/>
  <c r="A1734" i="1"/>
  <c r="R1733" i="1"/>
  <c r="J1733" i="1"/>
  <c r="I1733" i="1"/>
  <c r="G1733" i="1"/>
  <c r="F1733" i="1"/>
  <c r="E1733" i="1"/>
  <c r="D1733" i="1"/>
  <c r="C1733" i="1"/>
  <c r="B1733" i="1"/>
  <c r="A1733" i="1"/>
  <c r="R1732" i="1"/>
  <c r="J1732" i="1"/>
  <c r="I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R1730" i="1"/>
  <c r="J1730" i="1"/>
  <c r="I1730" i="1"/>
  <c r="G1730" i="1"/>
  <c r="F1730" i="1"/>
  <c r="E1730" i="1"/>
  <c r="D1730" i="1"/>
  <c r="C1730" i="1"/>
  <c r="B1730" i="1"/>
  <c r="A1730" i="1"/>
  <c r="S1729" i="1"/>
  <c r="O1729" i="1"/>
  <c r="K1729" i="1"/>
  <c r="J1729" i="1"/>
  <c r="I1729" i="1"/>
  <c r="H1729" i="1"/>
  <c r="G1729" i="1"/>
  <c r="F1729" i="1"/>
  <c r="E1729" i="1"/>
  <c r="D1729" i="1"/>
  <c r="C1729" i="1"/>
  <c r="B1729" i="1"/>
  <c r="A1729" i="1"/>
  <c r="R1728" i="1"/>
  <c r="J1728" i="1"/>
  <c r="I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R1726" i="1"/>
  <c r="J1726" i="1"/>
  <c r="I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S1724" i="1"/>
  <c r="O1724" i="1"/>
  <c r="K1724" i="1"/>
  <c r="J1724" i="1"/>
  <c r="I1724" i="1"/>
  <c r="H1724" i="1"/>
  <c r="G1724" i="1"/>
  <c r="F1724" i="1"/>
  <c r="E1724" i="1"/>
  <c r="D1724" i="1"/>
  <c r="C1724" i="1"/>
  <c r="B1724" i="1"/>
  <c r="A1724" i="1"/>
  <c r="R1723" i="1"/>
  <c r="J1723" i="1"/>
  <c r="I1723" i="1"/>
  <c r="G1723" i="1"/>
  <c r="F1723" i="1"/>
  <c r="E1723" i="1"/>
  <c r="D1723" i="1"/>
  <c r="C1723" i="1"/>
  <c r="B1723" i="1"/>
  <c r="A1723" i="1"/>
  <c r="S1722" i="1"/>
  <c r="O1722" i="1"/>
  <c r="K1722" i="1"/>
  <c r="J1722" i="1"/>
  <c r="I1722" i="1"/>
  <c r="H1722" i="1"/>
  <c r="G1722" i="1"/>
  <c r="F1722" i="1"/>
  <c r="E1722" i="1"/>
  <c r="D1722" i="1"/>
  <c r="C1722" i="1"/>
  <c r="B1722" i="1"/>
  <c r="A1722" i="1"/>
  <c r="R1721" i="1"/>
  <c r="J1721" i="1"/>
  <c r="I1721" i="1"/>
  <c r="G1721" i="1"/>
  <c r="F1721" i="1"/>
  <c r="E1721" i="1"/>
  <c r="D1721" i="1"/>
  <c r="C1721" i="1"/>
  <c r="B1721" i="1"/>
  <c r="A1721" i="1"/>
  <c r="R1720" i="1"/>
  <c r="J1720" i="1"/>
  <c r="I1720" i="1"/>
  <c r="G1720" i="1"/>
  <c r="F1720" i="1"/>
  <c r="E1720" i="1"/>
  <c r="D1720" i="1"/>
  <c r="C1720" i="1"/>
  <c r="B1720" i="1"/>
  <c r="A1720" i="1"/>
  <c r="R1719" i="1"/>
  <c r="J1719" i="1"/>
  <c r="I1719" i="1"/>
  <c r="G1719" i="1"/>
  <c r="F1719" i="1"/>
  <c r="E1719" i="1"/>
  <c r="D1719" i="1"/>
  <c r="C1719" i="1"/>
  <c r="B1719" i="1"/>
  <c r="A1719" i="1"/>
  <c r="S1718" i="1"/>
  <c r="O1718" i="1"/>
  <c r="K1718" i="1"/>
  <c r="J1718" i="1"/>
  <c r="I1718" i="1"/>
  <c r="H1718" i="1"/>
  <c r="G1718" i="1"/>
  <c r="F1718" i="1"/>
  <c r="E1718" i="1"/>
  <c r="D1718" i="1"/>
  <c r="C1718" i="1"/>
  <c r="B1718" i="1"/>
  <c r="A1718" i="1"/>
  <c r="R1717" i="1"/>
  <c r="J1717" i="1"/>
  <c r="I1717" i="1"/>
  <c r="G1717" i="1"/>
  <c r="F1717" i="1"/>
  <c r="E1717" i="1"/>
  <c r="D1717" i="1"/>
  <c r="C1717" i="1"/>
  <c r="B1717" i="1"/>
  <c r="A1717" i="1"/>
  <c r="S1716" i="1"/>
  <c r="O1716" i="1"/>
  <c r="K1716" i="1"/>
  <c r="J1716" i="1"/>
  <c r="I1716" i="1"/>
  <c r="H1716" i="1"/>
  <c r="G1716" i="1"/>
  <c r="F1716" i="1"/>
  <c r="E1716" i="1"/>
  <c r="D1716" i="1"/>
  <c r="C1716" i="1"/>
  <c r="B1716" i="1"/>
  <c r="A1716" i="1"/>
  <c r="R1715" i="1"/>
  <c r="J1715" i="1"/>
  <c r="I1715" i="1"/>
  <c r="G1715" i="1"/>
  <c r="F1715" i="1"/>
  <c r="E1715" i="1"/>
  <c r="D1715" i="1"/>
  <c r="C1715" i="1"/>
  <c r="B1715" i="1"/>
  <c r="A1715" i="1"/>
  <c r="S1714" i="1"/>
  <c r="O1714" i="1"/>
  <c r="K1714" i="1"/>
  <c r="J1714" i="1"/>
  <c r="I1714" i="1"/>
  <c r="H1714" i="1"/>
  <c r="G1714" i="1"/>
  <c r="F1714" i="1"/>
  <c r="E1714" i="1"/>
  <c r="D1714" i="1"/>
  <c r="C1714" i="1"/>
  <c r="B1714" i="1"/>
  <c r="A1714" i="1"/>
  <c r="R1713" i="1"/>
  <c r="J1713" i="1"/>
  <c r="I1713" i="1"/>
  <c r="G1713" i="1"/>
  <c r="F1713" i="1"/>
  <c r="E1713" i="1"/>
  <c r="D1713" i="1"/>
  <c r="C1713" i="1"/>
  <c r="B1713" i="1"/>
  <c r="A1713" i="1"/>
  <c r="S1712" i="1"/>
  <c r="O1712" i="1"/>
  <c r="K1712" i="1"/>
  <c r="J1712" i="1"/>
  <c r="I1712" i="1"/>
  <c r="H1712" i="1"/>
  <c r="G1712" i="1"/>
  <c r="F1712" i="1"/>
  <c r="E1712" i="1"/>
  <c r="D1712" i="1"/>
  <c r="C1712" i="1"/>
  <c r="B1712" i="1"/>
  <c r="A1712" i="1"/>
  <c r="R1711" i="1"/>
  <c r="J1711" i="1"/>
  <c r="I1711" i="1"/>
  <c r="G1711" i="1"/>
  <c r="F1711" i="1"/>
  <c r="E1711" i="1"/>
  <c r="D1711" i="1"/>
  <c r="C1711" i="1"/>
  <c r="B1711" i="1"/>
  <c r="A1711" i="1"/>
  <c r="S1710" i="1"/>
  <c r="O1710" i="1"/>
  <c r="K1710" i="1"/>
  <c r="J1710" i="1"/>
  <c r="I1710" i="1"/>
  <c r="H1710" i="1"/>
  <c r="G1710" i="1"/>
  <c r="F1710" i="1"/>
  <c r="E1710" i="1"/>
  <c r="D1710" i="1"/>
  <c r="C1710" i="1"/>
  <c r="B1710" i="1"/>
  <c r="A1710" i="1"/>
  <c r="R1709" i="1"/>
  <c r="J1709" i="1"/>
  <c r="I1709" i="1"/>
  <c r="G1709" i="1"/>
  <c r="F1709" i="1"/>
  <c r="E1709" i="1"/>
  <c r="D1709" i="1"/>
  <c r="C1709" i="1"/>
  <c r="B1709" i="1"/>
  <c r="A1709" i="1"/>
  <c r="S1708" i="1"/>
  <c r="O1708" i="1"/>
  <c r="K1708" i="1"/>
  <c r="J1708" i="1"/>
  <c r="I1708" i="1"/>
  <c r="H1708" i="1"/>
  <c r="G1708" i="1"/>
  <c r="F1708" i="1"/>
  <c r="E1708" i="1"/>
  <c r="D1708" i="1"/>
  <c r="C1708" i="1"/>
  <c r="B1708" i="1"/>
  <c r="A1708" i="1"/>
  <c r="R1707" i="1"/>
  <c r="J1707" i="1"/>
  <c r="I1707" i="1"/>
  <c r="G1707" i="1"/>
  <c r="F1707" i="1"/>
  <c r="E1707" i="1"/>
  <c r="D1707" i="1"/>
  <c r="C1707" i="1"/>
  <c r="B1707" i="1"/>
  <c r="A1707" i="1"/>
  <c r="R1706" i="1"/>
  <c r="J1706" i="1"/>
  <c r="I1706" i="1"/>
  <c r="G1706" i="1"/>
  <c r="F1706" i="1"/>
  <c r="E1706" i="1"/>
  <c r="D1706" i="1"/>
  <c r="C1706" i="1"/>
  <c r="B1706" i="1"/>
  <c r="A1706" i="1"/>
  <c r="S1705" i="1"/>
  <c r="O1705" i="1"/>
  <c r="K1705" i="1"/>
  <c r="J1705" i="1"/>
  <c r="I1705" i="1"/>
  <c r="H1705" i="1"/>
  <c r="G1705" i="1"/>
  <c r="F1705" i="1"/>
  <c r="E1705" i="1"/>
  <c r="D1705" i="1"/>
  <c r="C1705" i="1"/>
  <c r="B1705" i="1"/>
  <c r="A1705" i="1"/>
  <c r="R1704" i="1"/>
  <c r="J1704" i="1"/>
  <c r="I1704" i="1"/>
  <c r="G1704" i="1"/>
  <c r="F1704" i="1"/>
  <c r="E1704" i="1"/>
  <c r="D1704" i="1"/>
  <c r="C1704" i="1"/>
  <c r="B1704" i="1"/>
  <c r="A1704" i="1"/>
  <c r="S1703" i="1"/>
  <c r="O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J1702" i="1"/>
  <c r="I1702" i="1"/>
  <c r="G1702" i="1"/>
  <c r="F1702" i="1"/>
  <c r="E1702" i="1"/>
  <c r="D1702" i="1"/>
  <c r="C1702" i="1"/>
  <c r="B1702" i="1"/>
  <c r="A1702" i="1"/>
  <c r="S1701" i="1"/>
  <c r="O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J1700" i="1"/>
  <c r="I1700" i="1"/>
  <c r="G1700" i="1"/>
  <c r="F1700" i="1"/>
  <c r="E1700" i="1"/>
  <c r="D1700" i="1"/>
  <c r="C1700" i="1"/>
  <c r="B1700" i="1"/>
  <c r="A1700" i="1"/>
  <c r="S1699" i="1"/>
  <c r="O1699" i="1"/>
  <c r="K1699" i="1"/>
  <c r="J1699" i="1"/>
  <c r="I1699" i="1"/>
  <c r="H1699" i="1"/>
  <c r="G1699" i="1"/>
  <c r="F1699" i="1"/>
  <c r="E1699" i="1"/>
  <c r="D1699" i="1"/>
  <c r="C1699" i="1"/>
  <c r="B1699" i="1"/>
  <c r="A1699" i="1"/>
  <c r="R1698" i="1"/>
  <c r="J1698" i="1"/>
  <c r="I1698" i="1"/>
  <c r="G1698" i="1"/>
  <c r="F1698" i="1"/>
  <c r="E1698" i="1"/>
  <c r="D1698" i="1"/>
  <c r="C1698" i="1"/>
  <c r="B1698" i="1"/>
  <c r="A1698" i="1"/>
  <c r="S1697" i="1"/>
  <c r="O1697" i="1"/>
  <c r="K1697" i="1"/>
  <c r="J1697" i="1"/>
  <c r="I1697" i="1"/>
  <c r="H1697" i="1"/>
  <c r="G1697" i="1"/>
  <c r="F1697" i="1"/>
  <c r="E1697" i="1"/>
  <c r="D1697" i="1"/>
  <c r="C1697" i="1"/>
  <c r="B1697" i="1"/>
  <c r="A1697" i="1"/>
  <c r="R1696" i="1"/>
  <c r="J1696" i="1"/>
  <c r="I1696" i="1"/>
  <c r="G1696" i="1"/>
  <c r="F1696" i="1"/>
  <c r="E1696" i="1"/>
  <c r="D1696" i="1"/>
  <c r="C1696" i="1"/>
  <c r="B1696" i="1"/>
  <c r="A1696" i="1"/>
  <c r="S1695" i="1"/>
  <c r="O1695" i="1"/>
  <c r="K1695" i="1"/>
  <c r="J1695" i="1"/>
  <c r="I1695" i="1"/>
  <c r="H1695" i="1"/>
  <c r="G1695" i="1"/>
  <c r="F1695" i="1"/>
  <c r="E1695" i="1"/>
  <c r="D1695" i="1"/>
  <c r="C1695" i="1"/>
  <c r="B1695" i="1"/>
  <c r="A1695" i="1"/>
  <c r="R1694" i="1"/>
  <c r="J1694" i="1"/>
  <c r="I1694" i="1"/>
  <c r="G1694" i="1"/>
  <c r="F1694" i="1"/>
  <c r="E1694" i="1"/>
  <c r="D1694" i="1"/>
  <c r="C1694" i="1"/>
  <c r="B1694" i="1"/>
  <c r="A1694" i="1"/>
  <c r="S1693" i="1"/>
  <c r="O1693" i="1"/>
  <c r="K1693" i="1"/>
  <c r="J1693" i="1"/>
  <c r="I1693" i="1"/>
  <c r="H1693" i="1"/>
  <c r="G1693" i="1"/>
  <c r="F1693" i="1"/>
  <c r="E1693" i="1"/>
  <c r="D1693" i="1"/>
  <c r="C1693" i="1"/>
  <c r="B1693" i="1"/>
  <c r="A1693" i="1"/>
  <c r="R1692" i="1"/>
  <c r="J1692" i="1"/>
  <c r="I1692" i="1"/>
  <c r="G1692" i="1"/>
  <c r="F1692" i="1"/>
  <c r="E1692" i="1"/>
  <c r="D1692" i="1"/>
  <c r="C1692" i="1"/>
  <c r="B1692" i="1"/>
  <c r="A1692" i="1"/>
  <c r="S1691" i="1"/>
  <c r="O1691" i="1"/>
  <c r="K1691" i="1"/>
  <c r="J1691" i="1"/>
  <c r="I1691" i="1"/>
  <c r="H1691" i="1"/>
  <c r="G1691" i="1"/>
  <c r="F1691" i="1"/>
  <c r="E1691" i="1"/>
  <c r="D1691" i="1"/>
  <c r="C1691" i="1"/>
  <c r="B1691" i="1"/>
  <c r="A1691" i="1"/>
  <c r="R1690" i="1"/>
  <c r="J1690" i="1"/>
  <c r="I1690" i="1"/>
  <c r="G1690" i="1"/>
  <c r="F1690" i="1"/>
  <c r="E1690" i="1"/>
  <c r="D1690" i="1"/>
  <c r="C1690" i="1"/>
  <c r="B1690" i="1"/>
  <c r="A1690" i="1"/>
  <c r="S1689" i="1"/>
  <c r="O1689" i="1"/>
  <c r="K1689" i="1"/>
  <c r="J1689" i="1"/>
  <c r="I1689" i="1"/>
  <c r="H1689" i="1"/>
  <c r="G1689" i="1"/>
  <c r="F1689" i="1"/>
  <c r="E1689" i="1"/>
  <c r="D1689" i="1"/>
  <c r="C1689" i="1"/>
  <c r="B1689" i="1"/>
  <c r="A1689" i="1"/>
  <c r="R1688" i="1"/>
  <c r="J1688" i="1"/>
  <c r="I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R1686" i="1"/>
  <c r="J1686" i="1"/>
  <c r="I1686" i="1"/>
  <c r="G1686" i="1"/>
  <c r="F1686" i="1"/>
  <c r="E1686" i="1"/>
  <c r="D1686" i="1"/>
  <c r="C1686" i="1"/>
  <c r="B1686" i="1"/>
  <c r="A1686" i="1"/>
  <c r="R1685" i="1"/>
  <c r="J1685" i="1"/>
  <c r="I1685" i="1"/>
  <c r="G1685" i="1"/>
  <c r="F1685" i="1"/>
  <c r="E1685" i="1"/>
  <c r="D1685" i="1"/>
  <c r="C1685" i="1"/>
  <c r="B1685" i="1"/>
  <c r="A1685" i="1"/>
  <c r="R1684" i="1"/>
  <c r="J1684" i="1"/>
  <c r="I1684" i="1"/>
  <c r="G1684" i="1"/>
  <c r="F1684" i="1"/>
  <c r="E1684" i="1"/>
  <c r="D1684" i="1"/>
  <c r="C1684" i="1"/>
  <c r="B1684" i="1"/>
  <c r="A1684" i="1"/>
  <c r="R1683" i="1"/>
  <c r="J1683" i="1"/>
  <c r="I1683" i="1"/>
  <c r="G1683" i="1"/>
  <c r="F1683" i="1"/>
  <c r="E1683" i="1"/>
  <c r="D1683" i="1"/>
  <c r="C1683" i="1"/>
  <c r="B1683" i="1"/>
  <c r="A1683" i="1"/>
  <c r="S1682" i="1"/>
  <c r="O1682" i="1"/>
  <c r="K1682" i="1"/>
  <c r="J1682" i="1"/>
  <c r="I1682" i="1"/>
  <c r="H1682" i="1"/>
  <c r="G1682" i="1"/>
  <c r="F1682" i="1"/>
  <c r="E1682" i="1"/>
  <c r="D1682" i="1"/>
  <c r="C1682" i="1"/>
  <c r="B1682" i="1"/>
  <c r="A1682" i="1"/>
  <c r="R1681" i="1"/>
  <c r="J1681" i="1"/>
  <c r="I1681" i="1"/>
  <c r="G1681" i="1"/>
  <c r="F1681" i="1"/>
  <c r="E1681" i="1"/>
  <c r="D1681" i="1"/>
  <c r="C1681" i="1"/>
  <c r="B1681" i="1"/>
  <c r="A1681" i="1"/>
  <c r="S1680" i="1"/>
  <c r="O1680" i="1"/>
  <c r="K1680" i="1"/>
  <c r="J1680" i="1"/>
  <c r="I1680" i="1"/>
  <c r="H1680" i="1"/>
  <c r="G1680" i="1"/>
  <c r="F1680" i="1"/>
  <c r="E1680" i="1"/>
  <c r="D1680" i="1"/>
  <c r="C1680" i="1"/>
  <c r="B1680" i="1"/>
  <c r="A1680" i="1"/>
  <c r="R1679" i="1"/>
  <c r="J1679" i="1"/>
  <c r="I1679" i="1"/>
  <c r="G1679" i="1"/>
  <c r="F1679" i="1"/>
  <c r="E1679" i="1"/>
  <c r="D1679" i="1"/>
  <c r="C1679" i="1"/>
  <c r="B1679" i="1"/>
  <c r="A1679" i="1"/>
  <c r="S1678" i="1"/>
  <c r="O1678" i="1"/>
  <c r="K1678" i="1"/>
  <c r="J1678" i="1"/>
  <c r="I1678" i="1"/>
  <c r="H1678" i="1"/>
  <c r="G1678" i="1"/>
  <c r="F1678" i="1"/>
  <c r="E1678" i="1"/>
  <c r="D1678" i="1"/>
  <c r="C1678" i="1"/>
  <c r="B1678" i="1"/>
  <c r="A1678" i="1"/>
  <c r="R1677" i="1"/>
  <c r="J1677" i="1"/>
  <c r="I1677" i="1"/>
  <c r="G1677" i="1"/>
  <c r="F1677" i="1"/>
  <c r="E1677" i="1"/>
  <c r="D1677" i="1"/>
  <c r="C1677" i="1"/>
  <c r="B1677" i="1"/>
  <c r="A1677" i="1"/>
  <c r="S1676" i="1"/>
  <c r="O1676" i="1"/>
  <c r="K1676" i="1"/>
  <c r="J1676" i="1"/>
  <c r="I1676" i="1"/>
  <c r="H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S1670" i="1"/>
  <c r="O1670" i="1"/>
  <c r="K1670" i="1"/>
  <c r="J1670" i="1"/>
  <c r="I1670" i="1"/>
  <c r="H1670" i="1"/>
  <c r="G1670" i="1"/>
  <c r="F1670" i="1"/>
  <c r="E1670" i="1"/>
  <c r="D1670" i="1"/>
  <c r="C1670" i="1"/>
  <c r="B1670" i="1"/>
  <c r="A1670" i="1"/>
  <c r="R1669" i="1"/>
  <c r="J1669" i="1"/>
  <c r="I1669" i="1"/>
  <c r="G1669" i="1"/>
  <c r="F1669" i="1"/>
  <c r="E1669" i="1"/>
  <c r="D1669" i="1"/>
  <c r="C1669" i="1"/>
  <c r="B1669" i="1"/>
  <c r="A1669" i="1"/>
  <c r="R1668" i="1"/>
  <c r="J1668" i="1"/>
  <c r="I1668" i="1"/>
  <c r="G1668" i="1"/>
  <c r="F1668" i="1"/>
  <c r="E1668" i="1"/>
  <c r="D1668" i="1"/>
  <c r="C1668" i="1"/>
  <c r="B1668" i="1"/>
  <c r="A1668" i="1"/>
  <c r="S1667" i="1"/>
  <c r="O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J1666" i="1"/>
  <c r="I1666" i="1"/>
  <c r="G1666" i="1"/>
  <c r="F1666" i="1"/>
  <c r="E1666" i="1"/>
  <c r="D1666" i="1"/>
  <c r="C1666" i="1"/>
  <c r="B1666" i="1"/>
  <c r="A1666" i="1"/>
  <c r="R1665" i="1"/>
  <c r="J1665" i="1"/>
  <c r="I1665" i="1"/>
  <c r="G1665" i="1"/>
  <c r="F1665" i="1"/>
  <c r="E1665" i="1"/>
  <c r="D1665" i="1"/>
  <c r="C1665" i="1"/>
  <c r="B1665" i="1"/>
  <c r="A1665" i="1"/>
  <c r="S1664" i="1"/>
  <c r="O1664" i="1"/>
  <c r="K1664" i="1"/>
  <c r="J1664" i="1"/>
  <c r="I1664" i="1"/>
  <c r="H1664" i="1"/>
  <c r="G1664" i="1"/>
  <c r="F1664" i="1"/>
  <c r="E1664" i="1"/>
  <c r="D1664" i="1"/>
  <c r="C1664" i="1"/>
  <c r="B1664" i="1"/>
  <c r="A1664" i="1"/>
  <c r="R1663" i="1"/>
  <c r="J1663" i="1"/>
  <c r="I1663" i="1"/>
  <c r="G1663" i="1"/>
  <c r="F1663" i="1"/>
  <c r="E1663" i="1"/>
  <c r="D1663" i="1"/>
  <c r="C1663" i="1"/>
  <c r="B1663" i="1"/>
  <c r="A1663" i="1"/>
  <c r="S1662" i="1"/>
  <c r="O1662" i="1"/>
  <c r="K1662" i="1"/>
  <c r="J1662" i="1"/>
  <c r="I1662" i="1"/>
  <c r="H1662" i="1"/>
  <c r="G1662" i="1"/>
  <c r="F1662" i="1"/>
  <c r="E1662" i="1"/>
  <c r="D1662" i="1"/>
  <c r="C1662" i="1"/>
  <c r="B1662" i="1"/>
  <c r="A1662" i="1"/>
  <c r="S1661" i="1"/>
  <c r="O1661" i="1"/>
  <c r="K1661" i="1"/>
  <c r="J1661" i="1"/>
  <c r="I1661" i="1"/>
  <c r="H1661" i="1"/>
  <c r="G1661" i="1"/>
  <c r="F1661" i="1"/>
  <c r="D1661" i="1"/>
  <c r="C1661" i="1"/>
  <c r="B1661" i="1"/>
  <c r="A1661" i="1"/>
  <c r="R1660" i="1"/>
  <c r="J1660" i="1"/>
  <c r="I1660" i="1"/>
  <c r="G1660" i="1"/>
  <c r="F1660" i="1"/>
  <c r="E1660" i="1"/>
  <c r="D1660" i="1"/>
  <c r="C1660" i="1"/>
  <c r="B1660" i="1"/>
  <c r="A1660" i="1"/>
  <c r="R1659" i="1"/>
  <c r="J1659" i="1"/>
  <c r="I1659" i="1"/>
  <c r="G1659" i="1"/>
  <c r="F1659" i="1"/>
  <c r="E1659" i="1"/>
  <c r="D1659" i="1"/>
  <c r="C1659" i="1"/>
  <c r="B1659" i="1"/>
  <c r="A1659" i="1"/>
  <c r="R1658" i="1"/>
  <c r="J1658" i="1"/>
  <c r="I1658" i="1"/>
  <c r="G1658" i="1"/>
  <c r="F1658" i="1"/>
  <c r="E1658" i="1"/>
  <c r="D1658" i="1"/>
  <c r="C1658" i="1"/>
  <c r="B1658" i="1"/>
  <c r="A1658" i="1"/>
  <c r="R1657" i="1"/>
  <c r="J1657" i="1"/>
  <c r="I1657" i="1"/>
  <c r="G1657" i="1"/>
  <c r="F1657" i="1"/>
  <c r="E1657" i="1"/>
  <c r="D1657" i="1"/>
  <c r="C1657" i="1"/>
  <c r="B1657" i="1"/>
  <c r="A1657" i="1"/>
  <c r="R1656" i="1"/>
  <c r="J1656" i="1"/>
  <c r="I1656" i="1"/>
  <c r="G1656" i="1"/>
  <c r="F1656" i="1"/>
  <c r="E1656" i="1"/>
  <c r="D1656" i="1"/>
  <c r="C1656" i="1"/>
  <c r="B1656" i="1"/>
  <c r="A1656" i="1"/>
  <c r="R1655" i="1"/>
  <c r="J1655" i="1"/>
  <c r="I1655" i="1"/>
  <c r="G1655" i="1"/>
  <c r="F1655" i="1"/>
  <c r="E1655" i="1"/>
  <c r="D1655" i="1"/>
  <c r="C1655" i="1"/>
  <c r="B1655" i="1"/>
  <c r="A1655" i="1"/>
  <c r="R1654" i="1"/>
  <c r="J1654" i="1"/>
  <c r="I1654" i="1"/>
  <c r="G1654" i="1"/>
  <c r="F1654" i="1"/>
  <c r="E1654" i="1"/>
  <c r="D1654" i="1"/>
  <c r="C1654" i="1"/>
  <c r="B1654" i="1"/>
  <c r="A1654" i="1"/>
  <c r="R1653" i="1"/>
  <c r="J1653" i="1"/>
  <c r="I1653" i="1"/>
  <c r="G1653" i="1"/>
  <c r="F1653" i="1"/>
  <c r="E1653" i="1"/>
  <c r="D1653" i="1"/>
  <c r="C1653" i="1"/>
  <c r="B1653" i="1"/>
  <c r="A1653" i="1"/>
  <c r="R1652" i="1"/>
  <c r="J1652" i="1"/>
  <c r="I1652" i="1"/>
  <c r="G1652" i="1"/>
  <c r="F1652" i="1"/>
  <c r="E1652" i="1"/>
  <c r="D1652" i="1"/>
  <c r="C1652" i="1"/>
  <c r="B1652" i="1"/>
  <c r="A1652" i="1"/>
  <c r="R1651" i="1"/>
  <c r="J1651" i="1"/>
  <c r="I1651" i="1"/>
  <c r="G1651" i="1"/>
  <c r="F1651" i="1"/>
  <c r="E1651" i="1"/>
  <c r="D1651" i="1"/>
  <c r="C1651" i="1"/>
  <c r="B1651" i="1"/>
  <c r="A1651" i="1"/>
  <c r="S1650" i="1"/>
  <c r="O1650" i="1"/>
  <c r="K1650" i="1"/>
  <c r="J1650" i="1"/>
  <c r="I1650" i="1"/>
  <c r="H1650" i="1"/>
  <c r="G1650" i="1"/>
  <c r="F1650" i="1"/>
  <c r="E1650" i="1"/>
  <c r="D1650" i="1"/>
  <c r="C1650" i="1"/>
  <c r="B1650" i="1"/>
  <c r="A1650" i="1"/>
  <c r="R1649" i="1"/>
  <c r="J1649" i="1"/>
  <c r="I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R1647" i="1"/>
  <c r="J1647" i="1"/>
  <c r="I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R1645" i="1"/>
  <c r="J1645" i="1"/>
  <c r="I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R1643" i="1"/>
  <c r="J1643" i="1"/>
  <c r="I1643" i="1"/>
  <c r="G1643" i="1"/>
  <c r="F1643" i="1"/>
  <c r="E1643" i="1"/>
  <c r="D1643" i="1"/>
  <c r="C1643" i="1"/>
  <c r="B1643" i="1"/>
  <c r="A1643" i="1"/>
  <c r="R1642" i="1"/>
  <c r="J1642" i="1"/>
  <c r="I1642" i="1"/>
  <c r="G1642" i="1"/>
  <c r="F1642" i="1"/>
  <c r="E1642" i="1"/>
  <c r="D1642" i="1"/>
  <c r="C1642" i="1"/>
  <c r="B1642" i="1"/>
  <c r="A1642" i="1"/>
  <c r="R1641" i="1"/>
  <c r="J1641" i="1"/>
  <c r="I1641" i="1"/>
  <c r="G1641" i="1"/>
  <c r="F1641" i="1"/>
  <c r="E1641" i="1"/>
  <c r="D1641" i="1"/>
  <c r="C1641" i="1"/>
  <c r="B1641" i="1"/>
  <c r="A1641" i="1"/>
  <c r="R1640" i="1"/>
  <c r="J1640" i="1"/>
  <c r="I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R1638" i="1"/>
  <c r="J1638" i="1"/>
  <c r="I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R1636" i="1"/>
  <c r="J1636" i="1"/>
  <c r="I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R1634" i="1"/>
  <c r="J1634" i="1"/>
  <c r="I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R1632" i="1"/>
  <c r="J1632" i="1"/>
  <c r="I1632" i="1"/>
  <c r="G1632" i="1"/>
  <c r="F1632" i="1"/>
  <c r="E1632" i="1"/>
  <c r="D1632" i="1"/>
  <c r="C1632" i="1"/>
  <c r="B1632" i="1"/>
  <c r="A1632" i="1"/>
  <c r="S1631" i="1"/>
  <c r="O1631" i="1"/>
  <c r="K1631" i="1"/>
  <c r="J1631" i="1"/>
  <c r="I1631" i="1"/>
  <c r="H1631" i="1"/>
  <c r="G1631" i="1"/>
  <c r="F1631" i="1"/>
  <c r="E1631" i="1"/>
  <c r="D1631" i="1"/>
  <c r="C1631" i="1"/>
  <c r="B1631" i="1"/>
  <c r="A1631" i="1"/>
  <c r="R1630" i="1"/>
  <c r="J1630" i="1"/>
  <c r="I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R1628" i="1"/>
  <c r="J1628" i="1"/>
  <c r="I1628" i="1"/>
  <c r="G1628" i="1"/>
  <c r="F1628" i="1"/>
  <c r="E1628" i="1"/>
  <c r="D1628" i="1"/>
  <c r="C1628" i="1"/>
  <c r="B1628" i="1"/>
  <c r="A1628" i="1"/>
  <c r="S1627" i="1"/>
  <c r="O1627" i="1"/>
  <c r="K1627" i="1"/>
  <c r="J1627" i="1"/>
  <c r="I1627" i="1"/>
  <c r="H1627" i="1"/>
  <c r="G1627" i="1"/>
  <c r="F1627" i="1"/>
  <c r="E1627" i="1"/>
  <c r="D1627" i="1"/>
  <c r="C1627" i="1"/>
  <c r="B1627" i="1"/>
  <c r="A1627" i="1"/>
  <c r="R1626" i="1"/>
  <c r="J1626" i="1"/>
  <c r="I1626" i="1"/>
  <c r="G1626" i="1"/>
  <c r="F1626" i="1"/>
  <c r="E1626" i="1"/>
  <c r="D1626" i="1"/>
  <c r="C1626" i="1"/>
  <c r="B1626" i="1"/>
  <c r="A1626" i="1"/>
  <c r="S1625" i="1"/>
  <c r="O1625" i="1"/>
  <c r="K1625" i="1"/>
  <c r="J1625" i="1"/>
  <c r="I1625" i="1"/>
  <c r="H1625" i="1"/>
  <c r="G1625" i="1"/>
  <c r="F1625" i="1"/>
  <c r="E1625" i="1"/>
  <c r="D1625" i="1"/>
  <c r="C1625" i="1"/>
  <c r="B1625" i="1"/>
  <c r="A1625" i="1"/>
  <c r="R1624" i="1"/>
  <c r="J1624" i="1"/>
  <c r="I1624" i="1"/>
  <c r="G1624" i="1"/>
  <c r="F1624" i="1"/>
  <c r="E1624" i="1"/>
  <c r="D1624" i="1"/>
  <c r="C1624" i="1"/>
  <c r="B1624" i="1"/>
  <c r="A1624" i="1"/>
  <c r="R1623" i="1"/>
  <c r="J1623" i="1"/>
  <c r="I1623" i="1"/>
  <c r="G1623" i="1"/>
  <c r="F1623" i="1"/>
  <c r="E1623" i="1"/>
  <c r="D1623" i="1"/>
  <c r="C1623" i="1"/>
  <c r="B1623" i="1"/>
  <c r="A1623" i="1"/>
  <c r="S1622" i="1"/>
  <c r="O1622" i="1"/>
  <c r="K1622" i="1"/>
  <c r="J1622" i="1"/>
  <c r="I1622" i="1"/>
  <c r="H1622" i="1"/>
  <c r="G1622" i="1"/>
  <c r="F1622" i="1"/>
  <c r="E1622" i="1"/>
  <c r="D1622" i="1"/>
  <c r="C1622" i="1"/>
  <c r="B1622" i="1"/>
  <c r="A1622" i="1"/>
  <c r="R1621" i="1"/>
  <c r="J1621" i="1"/>
  <c r="I1621" i="1"/>
  <c r="G1621" i="1"/>
  <c r="F1621" i="1"/>
  <c r="E1621" i="1"/>
  <c r="D1621" i="1"/>
  <c r="C1621" i="1"/>
  <c r="B1621" i="1"/>
  <c r="A1621" i="1"/>
  <c r="S1620" i="1"/>
  <c r="O1620" i="1"/>
  <c r="K1620" i="1"/>
  <c r="J1620" i="1"/>
  <c r="I1620" i="1"/>
  <c r="H1620" i="1"/>
  <c r="G1620" i="1"/>
  <c r="F1620" i="1"/>
  <c r="E1620" i="1"/>
  <c r="D1620" i="1"/>
  <c r="C1620" i="1"/>
  <c r="B1620" i="1"/>
  <c r="A1620" i="1"/>
  <c r="R1619" i="1"/>
  <c r="J1619" i="1"/>
  <c r="I1619" i="1"/>
  <c r="G1619" i="1"/>
  <c r="F1619" i="1"/>
  <c r="E1619" i="1"/>
  <c r="D1619" i="1"/>
  <c r="C1619" i="1"/>
  <c r="B1619" i="1"/>
  <c r="A1619" i="1"/>
  <c r="R1618" i="1"/>
  <c r="J1618" i="1"/>
  <c r="I1618" i="1"/>
  <c r="G1618" i="1"/>
  <c r="F1618" i="1"/>
  <c r="E1618" i="1"/>
  <c r="D1618" i="1"/>
  <c r="C1618" i="1"/>
  <c r="B1618" i="1"/>
  <c r="A1618" i="1"/>
  <c r="R1617" i="1"/>
  <c r="J1617" i="1"/>
  <c r="I1617" i="1"/>
  <c r="G1617" i="1"/>
  <c r="F1617" i="1"/>
  <c r="E1617" i="1"/>
  <c r="D1617" i="1"/>
  <c r="C1617" i="1"/>
  <c r="B1617" i="1"/>
  <c r="A1617" i="1"/>
  <c r="R1616" i="1"/>
  <c r="J1616" i="1"/>
  <c r="I1616" i="1"/>
  <c r="G1616" i="1"/>
  <c r="F1616" i="1"/>
  <c r="E1616" i="1"/>
  <c r="D1616" i="1"/>
  <c r="C1616" i="1"/>
  <c r="B1616" i="1"/>
  <c r="A1616" i="1"/>
  <c r="S1615" i="1"/>
  <c r="O1615" i="1"/>
  <c r="K1615" i="1"/>
  <c r="J1615" i="1"/>
  <c r="I1615" i="1"/>
  <c r="H1615" i="1"/>
  <c r="G1615" i="1"/>
  <c r="F1615" i="1"/>
  <c r="E1615" i="1"/>
  <c r="D1615" i="1"/>
  <c r="C1615" i="1"/>
  <c r="B1615" i="1"/>
  <c r="A1615" i="1"/>
  <c r="R1614" i="1"/>
  <c r="J1614" i="1"/>
  <c r="I1614" i="1"/>
  <c r="G1614" i="1"/>
  <c r="F1614" i="1"/>
  <c r="E1614" i="1"/>
  <c r="D1614" i="1"/>
  <c r="C1614" i="1"/>
  <c r="B1614" i="1"/>
  <c r="A1614" i="1"/>
  <c r="R1613" i="1"/>
  <c r="J1613" i="1"/>
  <c r="I1613" i="1"/>
  <c r="G1613" i="1"/>
  <c r="F1613" i="1"/>
  <c r="E1613" i="1"/>
  <c r="D1613" i="1"/>
  <c r="C1613" i="1"/>
  <c r="B1613" i="1"/>
  <c r="A1613" i="1"/>
  <c r="S1612" i="1"/>
  <c r="O1612" i="1"/>
  <c r="K1612" i="1"/>
  <c r="J1612" i="1"/>
  <c r="I1612" i="1"/>
  <c r="H1612" i="1"/>
  <c r="G1612" i="1"/>
  <c r="F1612" i="1"/>
  <c r="E1612" i="1"/>
  <c r="D1612" i="1"/>
  <c r="C1612" i="1"/>
  <c r="B1612" i="1"/>
  <c r="A1612" i="1"/>
  <c r="R1611" i="1"/>
  <c r="J1611" i="1"/>
  <c r="I1611" i="1"/>
  <c r="G1611" i="1"/>
  <c r="F1611" i="1"/>
  <c r="E1611" i="1"/>
  <c r="D1611" i="1"/>
  <c r="C1611" i="1"/>
  <c r="B1611" i="1"/>
  <c r="A1611" i="1"/>
  <c r="R1610" i="1"/>
  <c r="J1610" i="1"/>
  <c r="I1610" i="1"/>
  <c r="G1610" i="1"/>
  <c r="F1610" i="1"/>
  <c r="E1610" i="1"/>
  <c r="D1610" i="1"/>
  <c r="C1610" i="1"/>
  <c r="B1610" i="1"/>
  <c r="A1610" i="1"/>
  <c r="R1609" i="1"/>
  <c r="J1609" i="1"/>
  <c r="I1609" i="1"/>
  <c r="G1609" i="1"/>
  <c r="F1609" i="1"/>
  <c r="E1609" i="1"/>
  <c r="D1609" i="1"/>
  <c r="C1609" i="1"/>
  <c r="B1609" i="1"/>
  <c r="A1609" i="1"/>
  <c r="R1608" i="1"/>
  <c r="J1608" i="1"/>
  <c r="I1608" i="1"/>
  <c r="G1608" i="1"/>
  <c r="F1608" i="1"/>
  <c r="E1608" i="1"/>
  <c r="D1608" i="1"/>
  <c r="C1608" i="1"/>
  <c r="B1608" i="1"/>
  <c r="A1608" i="1"/>
  <c r="S1607" i="1"/>
  <c r="O1607" i="1"/>
  <c r="K1607" i="1"/>
  <c r="J1607" i="1"/>
  <c r="I1607" i="1"/>
  <c r="H1607" i="1"/>
  <c r="G1607" i="1"/>
  <c r="F1607" i="1"/>
  <c r="E1607" i="1"/>
  <c r="D1607" i="1"/>
  <c r="C1607" i="1"/>
  <c r="B1607" i="1"/>
  <c r="A1607" i="1"/>
  <c r="R1606" i="1"/>
  <c r="J1606" i="1"/>
  <c r="I1606" i="1"/>
  <c r="G1606" i="1"/>
  <c r="F1606" i="1"/>
  <c r="E1606" i="1"/>
  <c r="D1606" i="1"/>
  <c r="C1606" i="1"/>
  <c r="B1606" i="1"/>
  <c r="A1606" i="1"/>
  <c r="S1605" i="1"/>
  <c r="O1605" i="1"/>
  <c r="K1605" i="1"/>
  <c r="J1605" i="1"/>
  <c r="I1605" i="1"/>
  <c r="H1605" i="1"/>
  <c r="G1605" i="1"/>
  <c r="F1605" i="1"/>
  <c r="E1605" i="1"/>
  <c r="D1605" i="1"/>
  <c r="C1605" i="1"/>
  <c r="B1605" i="1"/>
  <c r="A1605" i="1"/>
  <c r="R1604" i="1"/>
  <c r="J1604" i="1"/>
  <c r="I1604" i="1"/>
  <c r="G1604" i="1"/>
  <c r="F1604" i="1"/>
  <c r="E1604" i="1"/>
  <c r="D1604" i="1"/>
  <c r="C1604" i="1"/>
  <c r="B1604" i="1"/>
  <c r="A1604" i="1"/>
  <c r="S1603" i="1"/>
  <c r="O1603" i="1"/>
  <c r="K1603" i="1"/>
  <c r="J1603" i="1"/>
  <c r="I1603" i="1"/>
  <c r="H1603" i="1"/>
  <c r="G1603" i="1"/>
  <c r="F1603" i="1"/>
  <c r="E1603" i="1"/>
  <c r="D1603" i="1"/>
  <c r="C1603" i="1"/>
  <c r="B1603" i="1"/>
  <c r="A1603" i="1"/>
  <c r="R1602" i="1"/>
  <c r="J1602" i="1"/>
  <c r="I1602" i="1"/>
  <c r="G1602" i="1"/>
  <c r="F1602" i="1"/>
  <c r="E1602" i="1"/>
  <c r="D1602" i="1"/>
  <c r="C1602" i="1"/>
  <c r="B1602" i="1"/>
  <c r="A1602" i="1"/>
  <c r="S1601" i="1"/>
  <c r="O1601" i="1"/>
  <c r="K1601" i="1"/>
  <c r="J1601" i="1"/>
  <c r="I1601" i="1"/>
  <c r="H1601" i="1"/>
  <c r="G1601" i="1"/>
  <c r="F1601" i="1"/>
  <c r="E1601" i="1"/>
  <c r="D1601" i="1"/>
  <c r="C1601" i="1"/>
  <c r="B1601" i="1"/>
  <c r="A1601" i="1"/>
  <c r="R1600" i="1"/>
  <c r="J1600" i="1"/>
  <c r="I1600" i="1"/>
  <c r="G1600" i="1"/>
  <c r="F1600" i="1"/>
  <c r="E1600" i="1"/>
  <c r="D1600" i="1"/>
  <c r="C1600" i="1"/>
  <c r="B1600" i="1"/>
  <c r="A1600" i="1"/>
  <c r="R1599" i="1"/>
  <c r="J1599" i="1"/>
  <c r="I1599" i="1"/>
  <c r="G1599" i="1"/>
  <c r="F1599" i="1"/>
  <c r="E1599" i="1"/>
  <c r="D1599" i="1"/>
  <c r="C1599" i="1"/>
  <c r="B1599" i="1"/>
  <c r="A1599" i="1"/>
  <c r="R1598" i="1"/>
  <c r="J1598" i="1"/>
  <c r="I1598" i="1"/>
  <c r="G1598" i="1"/>
  <c r="F1598" i="1"/>
  <c r="E1598" i="1"/>
  <c r="D1598" i="1"/>
  <c r="C1598" i="1"/>
  <c r="B1598" i="1"/>
  <c r="A1598" i="1"/>
  <c r="S1597" i="1"/>
  <c r="O1597" i="1"/>
  <c r="K1597" i="1"/>
  <c r="J1597" i="1"/>
  <c r="I1597" i="1"/>
  <c r="H1597" i="1"/>
  <c r="G1597" i="1"/>
  <c r="F1597" i="1"/>
  <c r="E1597" i="1"/>
  <c r="D1597" i="1"/>
  <c r="C1597" i="1"/>
  <c r="B1597" i="1"/>
  <c r="A1597" i="1"/>
  <c r="R1596" i="1"/>
  <c r="J1596" i="1"/>
  <c r="I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R1594" i="1"/>
  <c r="J1594" i="1"/>
  <c r="I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R1592" i="1"/>
  <c r="J1592" i="1"/>
  <c r="I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R1588" i="1"/>
  <c r="J1588" i="1"/>
  <c r="I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R1586" i="1"/>
  <c r="J1586" i="1"/>
  <c r="I1586" i="1"/>
  <c r="G1586" i="1"/>
  <c r="F1586" i="1"/>
  <c r="E1586" i="1"/>
  <c r="D1586" i="1"/>
  <c r="C1586" i="1"/>
  <c r="B1586" i="1"/>
  <c r="A1586" i="1"/>
  <c r="S1585" i="1"/>
  <c r="O1585" i="1"/>
  <c r="K1585" i="1"/>
  <c r="J1585" i="1"/>
  <c r="I1585" i="1"/>
  <c r="H1585" i="1"/>
  <c r="G1585" i="1"/>
  <c r="F1585" i="1"/>
  <c r="E1585" i="1"/>
  <c r="D1585" i="1"/>
  <c r="C1585" i="1"/>
  <c r="B1585" i="1"/>
  <c r="A1585" i="1"/>
  <c r="R1584" i="1"/>
  <c r="J1584" i="1"/>
  <c r="I1584" i="1"/>
  <c r="G1584" i="1"/>
  <c r="F1584" i="1"/>
  <c r="E1584" i="1"/>
  <c r="D1584" i="1"/>
  <c r="C1584" i="1"/>
  <c r="B1584" i="1"/>
  <c r="A1584" i="1"/>
  <c r="S1583" i="1"/>
  <c r="O1583" i="1"/>
  <c r="K1583" i="1"/>
  <c r="J1583" i="1"/>
  <c r="I1583" i="1"/>
  <c r="H1583" i="1"/>
  <c r="G1583" i="1"/>
  <c r="F1583" i="1"/>
  <c r="E1583" i="1"/>
  <c r="D1583" i="1"/>
  <c r="C1583" i="1"/>
  <c r="B1583" i="1"/>
  <c r="A1583" i="1"/>
  <c r="R1582" i="1"/>
  <c r="J1582" i="1"/>
  <c r="I1582" i="1"/>
  <c r="G1582" i="1"/>
  <c r="F1582" i="1"/>
  <c r="E1582" i="1"/>
  <c r="D1582" i="1"/>
  <c r="C1582" i="1"/>
  <c r="B1582" i="1"/>
  <c r="A1582" i="1"/>
  <c r="S1581" i="1"/>
  <c r="O1581" i="1"/>
  <c r="K1581" i="1"/>
  <c r="J1581" i="1"/>
  <c r="I1581" i="1"/>
  <c r="H1581" i="1"/>
  <c r="G1581" i="1"/>
  <c r="F1581" i="1"/>
  <c r="E1581" i="1"/>
  <c r="D1581" i="1"/>
  <c r="C1581" i="1"/>
  <c r="B1581" i="1"/>
  <c r="A1581" i="1"/>
  <c r="R1580" i="1"/>
  <c r="J1580" i="1"/>
  <c r="I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S1578" i="1"/>
  <c r="O1578" i="1"/>
  <c r="K1578" i="1"/>
  <c r="J1578" i="1"/>
  <c r="I1578" i="1"/>
  <c r="H1578" i="1"/>
  <c r="G1578" i="1"/>
  <c r="F1578" i="1"/>
  <c r="E1578" i="1"/>
  <c r="D1578" i="1"/>
  <c r="C1578" i="1"/>
  <c r="B1578" i="1"/>
  <c r="A1578" i="1"/>
  <c r="S1577" i="1"/>
  <c r="O1577" i="1"/>
  <c r="K1577" i="1"/>
  <c r="J1577" i="1"/>
  <c r="I1577" i="1"/>
  <c r="H1577" i="1"/>
  <c r="G1577" i="1"/>
  <c r="F1577" i="1"/>
  <c r="D1577" i="1"/>
  <c r="C1577" i="1"/>
  <c r="B1577" i="1"/>
  <c r="A1577" i="1"/>
  <c r="S1576" i="1"/>
  <c r="O1576" i="1"/>
  <c r="K1576" i="1"/>
  <c r="J1576" i="1"/>
  <c r="I1576" i="1"/>
  <c r="H1576" i="1"/>
  <c r="G1576" i="1"/>
  <c r="F1576" i="1"/>
  <c r="D1576" i="1"/>
  <c r="C1576" i="1"/>
  <c r="B1576" i="1"/>
  <c r="A1576" i="1"/>
  <c r="R1575" i="1"/>
  <c r="J1575" i="1"/>
  <c r="I1575" i="1"/>
  <c r="G1575" i="1"/>
  <c r="F1575" i="1"/>
  <c r="E1575" i="1"/>
  <c r="D1575" i="1"/>
  <c r="C1575" i="1"/>
  <c r="B1575" i="1"/>
  <c r="A1575" i="1"/>
  <c r="S1574" i="1"/>
  <c r="O1574" i="1"/>
  <c r="K1574" i="1"/>
  <c r="J1574" i="1"/>
  <c r="I1574" i="1"/>
  <c r="H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S1572" i="1"/>
  <c r="O1572" i="1"/>
  <c r="K1572" i="1"/>
  <c r="J1572" i="1"/>
  <c r="I1572" i="1"/>
  <c r="H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S1570" i="1"/>
  <c r="O1570" i="1"/>
  <c r="K1570" i="1"/>
  <c r="J1570" i="1"/>
  <c r="I1570" i="1"/>
  <c r="H1570" i="1"/>
  <c r="G1570" i="1"/>
  <c r="F1570" i="1"/>
  <c r="E1570" i="1"/>
  <c r="D1570" i="1"/>
  <c r="C1570" i="1"/>
  <c r="B1570" i="1"/>
  <c r="A1570" i="1"/>
  <c r="R1569" i="1"/>
  <c r="J1569" i="1"/>
  <c r="I1569" i="1"/>
  <c r="G1569" i="1"/>
  <c r="F1569" i="1"/>
  <c r="E1569" i="1"/>
  <c r="D1569" i="1"/>
  <c r="C1569" i="1"/>
  <c r="B1569" i="1"/>
  <c r="A1569" i="1"/>
  <c r="R1568" i="1"/>
  <c r="J1568" i="1"/>
  <c r="I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R1566" i="1"/>
  <c r="J1566" i="1"/>
  <c r="I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S1563" i="1"/>
  <c r="O1563" i="1"/>
  <c r="K1563" i="1"/>
  <c r="J1563" i="1"/>
  <c r="I1563" i="1"/>
  <c r="H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S1561" i="1"/>
  <c r="O1561" i="1"/>
  <c r="K1561" i="1"/>
  <c r="J1561" i="1"/>
  <c r="I1561" i="1"/>
  <c r="H1561" i="1"/>
  <c r="G1561" i="1"/>
  <c r="F1561" i="1"/>
  <c r="E1561" i="1"/>
  <c r="D1561" i="1"/>
  <c r="C1561" i="1"/>
  <c r="B1561" i="1"/>
  <c r="A1561" i="1"/>
  <c r="S1560" i="1"/>
  <c r="O1560" i="1"/>
  <c r="K1560" i="1"/>
  <c r="J1560" i="1"/>
  <c r="I1560" i="1"/>
  <c r="H1560" i="1"/>
  <c r="G1560" i="1"/>
  <c r="F1560" i="1"/>
  <c r="D1560" i="1"/>
  <c r="C1560" i="1"/>
  <c r="B1560" i="1"/>
  <c r="A1560" i="1"/>
  <c r="S1559" i="1"/>
  <c r="O1559" i="1"/>
  <c r="K1559" i="1"/>
  <c r="J1559" i="1"/>
  <c r="I1559" i="1"/>
  <c r="H1559" i="1"/>
  <c r="G1559" i="1"/>
  <c r="F1559" i="1"/>
  <c r="D1559" i="1"/>
  <c r="C1559" i="1"/>
  <c r="B1559" i="1"/>
  <c r="A1559" i="1"/>
  <c r="R1558" i="1"/>
  <c r="J1558" i="1"/>
  <c r="I1558" i="1"/>
  <c r="G1558" i="1"/>
  <c r="F1558" i="1"/>
  <c r="E1558" i="1"/>
  <c r="D1558" i="1"/>
  <c r="C1558" i="1"/>
  <c r="B1558" i="1"/>
  <c r="A1558" i="1"/>
  <c r="S1557" i="1"/>
  <c r="O1557" i="1"/>
  <c r="K1557" i="1"/>
  <c r="J1557" i="1"/>
  <c r="I1557" i="1"/>
  <c r="H1557" i="1"/>
  <c r="G1557" i="1"/>
  <c r="F1557" i="1"/>
  <c r="E1557" i="1"/>
  <c r="D1557" i="1"/>
  <c r="C1557" i="1"/>
  <c r="B1557" i="1"/>
  <c r="A1557" i="1"/>
  <c r="R1556" i="1"/>
  <c r="J1556" i="1"/>
  <c r="I1556" i="1"/>
  <c r="G1556" i="1"/>
  <c r="F1556" i="1"/>
  <c r="E1556" i="1"/>
  <c r="D1556" i="1"/>
  <c r="C1556" i="1"/>
  <c r="B1556" i="1"/>
  <c r="A1556" i="1"/>
  <c r="S1555" i="1"/>
  <c r="O1555" i="1"/>
  <c r="K1555" i="1"/>
  <c r="J1555" i="1"/>
  <c r="I1555" i="1"/>
  <c r="H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S1553" i="1"/>
  <c r="O1553" i="1"/>
  <c r="K1553" i="1"/>
  <c r="J1553" i="1"/>
  <c r="I1553" i="1"/>
  <c r="H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R1551" i="1"/>
  <c r="J1551" i="1"/>
  <c r="I1551" i="1"/>
  <c r="G1551" i="1"/>
  <c r="F1551" i="1"/>
  <c r="E1551" i="1"/>
  <c r="D1551" i="1"/>
  <c r="C1551" i="1"/>
  <c r="B1551" i="1"/>
  <c r="A1551" i="1"/>
  <c r="R1550" i="1"/>
  <c r="J1550" i="1"/>
  <c r="I1550" i="1"/>
  <c r="G1550" i="1"/>
  <c r="F1550" i="1"/>
  <c r="E1550" i="1"/>
  <c r="D1550" i="1"/>
  <c r="C1550" i="1"/>
  <c r="B1550" i="1"/>
  <c r="A1550" i="1"/>
  <c r="R1549" i="1"/>
  <c r="J1549" i="1"/>
  <c r="I1549" i="1"/>
  <c r="G1549" i="1"/>
  <c r="F1549" i="1"/>
  <c r="E1549" i="1"/>
  <c r="D1549" i="1"/>
  <c r="C1549" i="1"/>
  <c r="B1549" i="1"/>
  <c r="A1549" i="1"/>
  <c r="R1548" i="1"/>
  <c r="J1548" i="1"/>
  <c r="I1548" i="1"/>
  <c r="G1548" i="1"/>
  <c r="F1548" i="1"/>
  <c r="E1548" i="1"/>
  <c r="D1548" i="1"/>
  <c r="C1548" i="1"/>
  <c r="B1548" i="1"/>
  <c r="A1548" i="1"/>
  <c r="R1547" i="1"/>
  <c r="J1547" i="1"/>
  <c r="I1547" i="1"/>
  <c r="G1547" i="1"/>
  <c r="F1547" i="1"/>
  <c r="E1547" i="1"/>
  <c r="D1547" i="1"/>
  <c r="C1547" i="1"/>
  <c r="B1547" i="1"/>
  <c r="A1547" i="1"/>
  <c r="R1546" i="1"/>
  <c r="J1546" i="1"/>
  <c r="I1546" i="1"/>
  <c r="G1546" i="1"/>
  <c r="F1546" i="1"/>
  <c r="E1546" i="1"/>
  <c r="D1546" i="1"/>
  <c r="C1546" i="1"/>
  <c r="B1546" i="1"/>
  <c r="A1546" i="1"/>
  <c r="S1545" i="1"/>
  <c r="O1545" i="1"/>
  <c r="K1545" i="1"/>
  <c r="J1545" i="1"/>
  <c r="I1545" i="1"/>
  <c r="H1545" i="1"/>
  <c r="G1545" i="1"/>
  <c r="F1545" i="1"/>
  <c r="E1545" i="1"/>
  <c r="D1545" i="1"/>
  <c r="C1545" i="1"/>
  <c r="B1545" i="1"/>
  <c r="A1545" i="1"/>
  <c r="R1544" i="1"/>
  <c r="J1544" i="1"/>
  <c r="I1544" i="1"/>
  <c r="G1544" i="1"/>
  <c r="F1544" i="1"/>
  <c r="E1544" i="1"/>
  <c r="D1544" i="1"/>
  <c r="C1544" i="1"/>
  <c r="B1544" i="1"/>
  <c r="A1544" i="1"/>
  <c r="S1543" i="1"/>
  <c r="O1543" i="1"/>
  <c r="K1543" i="1"/>
  <c r="J1543" i="1"/>
  <c r="I1543" i="1"/>
  <c r="H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S1541" i="1"/>
  <c r="O1541" i="1"/>
  <c r="K1541" i="1"/>
  <c r="J1541" i="1"/>
  <c r="I1541" i="1"/>
  <c r="H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S1539" i="1"/>
  <c r="O1539" i="1"/>
  <c r="K1539" i="1"/>
  <c r="J1539" i="1"/>
  <c r="I1539" i="1"/>
  <c r="H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S1537" i="1"/>
  <c r="O1537" i="1"/>
  <c r="K1537" i="1"/>
  <c r="J1537" i="1"/>
  <c r="I1537" i="1"/>
  <c r="H1537" i="1"/>
  <c r="G1537" i="1"/>
  <c r="F1537" i="1"/>
  <c r="E1537" i="1"/>
  <c r="D1537" i="1"/>
  <c r="C1537" i="1"/>
  <c r="B1537" i="1"/>
  <c r="A1537" i="1"/>
  <c r="R1536" i="1"/>
  <c r="J1536" i="1"/>
  <c r="I1536" i="1"/>
  <c r="G1536" i="1"/>
  <c r="F1536" i="1"/>
  <c r="E1536" i="1"/>
  <c r="D1536" i="1"/>
  <c r="C1536" i="1"/>
  <c r="B1536" i="1"/>
  <c r="A1536" i="1"/>
  <c r="S1535" i="1"/>
  <c r="O1535" i="1"/>
  <c r="K1535" i="1"/>
  <c r="J1535" i="1"/>
  <c r="I1535" i="1"/>
  <c r="H1535" i="1"/>
  <c r="G1535" i="1"/>
  <c r="F1535" i="1"/>
  <c r="E1535" i="1"/>
  <c r="D1535" i="1"/>
  <c r="C1535" i="1"/>
  <c r="B1535" i="1"/>
  <c r="A1535" i="1"/>
  <c r="R1534" i="1"/>
  <c r="J1534" i="1"/>
  <c r="I1534" i="1"/>
  <c r="G1534" i="1"/>
  <c r="F1534" i="1"/>
  <c r="E1534" i="1"/>
  <c r="D1534" i="1"/>
  <c r="C1534" i="1"/>
  <c r="B1534" i="1"/>
  <c r="A1534" i="1"/>
  <c r="S1533" i="1"/>
  <c r="O1533" i="1"/>
  <c r="K1533" i="1"/>
  <c r="J1533" i="1"/>
  <c r="I1533" i="1"/>
  <c r="H1533" i="1"/>
  <c r="G1533" i="1"/>
  <c r="F1533" i="1"/>
  <c r="E1533" i="1"/>
  <c r="D1533" i="1"/>
  <c r="C1533" i="1"/>
  <c r="B1533" i="1"/>
  <c r="A1533" i="1"/>
  <c r="R1532" i="1"/>
  <c r="J1532" i="1"/>
  <c r="I1532" i="1"/>
  <c r="G1532" i="1"/>
  <c r="F1532" i="1"/>
  <c r="E1532" i="1"/>
  <c r="D1532" i="1"/>
  <c r="C1532" i="1"/>
  <c r="B1532" i="1"/>
  <c r="A1532" i="1"/>
  <c r="S1531" i="1"/>
  <c r="O1531" i="1"/>
  <c r="K1531" i="1"/>
  <c r="J1531" i="1"/>
  <c r="I1531" i="1"/>
  <c r="H1531" i="1"/>
  <c r="G1531" i="1"/>
  <c r="F1531" i="1"/>
  <c r="E1531" i="1"/>
  <c r="D1531" i="1"/>
  <c r="C1531" i="1"/>
  <c r="B1531" i="1"/>
  <c r="A1531" i="1"/>
  <c r="R1530" i="1"/>
  <c r="J1530" i="1"/>
  <c r="I1530" i="1"/>
  <c r="G1530" i="1"/>
  <c r="F1530" i="1"/>
  <c r="E1530" i="1"/>
  <c r="D1530" i="1"/>
  <c r="C1530" i="1"/>
  <c r="B1530" i="1"/>
  <c r="A1530" i="1"/>
  <c r="S1529" i="1"/>
  <c r="O1529" i="1"/>
  <c r="K1529" i="1"/>
  <c r="J1529" i="1"/>
  <c r="I1529" i="1"/>
  <c r="H1529" i="1"/>
  <c r="G1529" i="1"/>
  <c r="F1529" i="1"/>
  <c r="E1529" i="1"/>
  <c r="D1529" i="1"/>
  <c r="C1529" i="1"/>
  <c r="B1529" i="1"/>
  <c r="A1529" i="1"/>
  <c r="R1528" i="1"/>
  <c r="J1528" i="1"/>
  <c r="I1528" i="1"/>
  <c r="G1528" i="1"/>
  <c r="F1528" i="1"/>
  <c r="E1528" i="1"/>
  <c r="D1528" i="1"/>
  <c r="C1528" i="1"/>
  <c r="B1528" i="1"/>
  <c r="A1528" i="1"/>
  <c r="S1527" i="1"/>
  <c r="O1527" i="1"/>
  <c r="K1527" i="1"/>
  <c r="J1527" i="1"/>
  <c r="I1527" i="1"/>
  <c r="H1527" i="1"/>
  <c r="G1527" i="1"/>
  <c r="F1527" i="1"/>
  <c r="E1527" i="1"/>
  <c r="D1527" i="1"/>
  <c r="C1527" i="1"/>
  <c r="B1527" i="1"/>
  <c r="A1527" i="1"/>
  <c r="R1526" i="1"/>
  <c r="J1526" i="1"/>
  <c r="I1526" i="1"/>
  <c r="G1526" i="1"/>
  <c r="F1526" i="1"/>
  <c r="E1526" i="1"/>
  <c r="D1526" i="1"/>
  <c r="C1526" i="1"/>
  <c r="B1526" i="1"/>
  <c r="A1526" i="1"/>
  <c r="S1525" i="1"/>
  <c r="O1525" i="1"/>
  <c r="K1525" i="1"/>
  <c r="J1525" i="1"/>
  <c r="I1525" i="1"/>
  <c r="H1525" i="1"/>
  <c r="G1525" i="1"/>
  <c r="F1525" i="1"/>
  <c r="E1525" i="1"/>
  <c r="D1525" i="1"/>
  <c r="C1525" i="1"/>
  <c r="B1525" i="1"/>
  <c r="A1525" i="1"/>
  <c r="R1524" i="1"/>
  <c r="J1524" i="1"/>
  <c r="I1524" i="1"/>
  <c r="G1524" i="1"/>
  <c r="F1524" i="1"/>
  <c r="E1524" i="1"/>
  <c r="D1524" i="1"/>
  <c r="C1524" i="1"/>
  <c r="B1524" i="1"/>
  <c r="A1524" i="1"/>
  <c r="S1523" i="1"/>
  <c r="O1523" i="1"/>
  <c r="K1523" i="1"/>
  <c r="J1523" i="1"/>
  <c r="I1523" i="1"/>
  <c r="H1523" i="1"/>
  <c r="G1523" i="1"/>
  <c r="F1523" i="1"/>
  <c r="E1523" i="1"/>
  <c r="D1523" i="1"/>
  <c r="C1523" i="1"/>
  <c r="B1523" i="1"/>
  <c r="A1523" i="1"/>
  <c r="R1522" i="1"/>
  <c r="J1522" i="1"/>
  <c r="I1522" i="1"/>
  <c r="G1522" i="1"/>
  <c r="F1522" i="1"/>
  <c r="E1522" i="1"/>
  <c r="D1522" i="1"/>
  <c r="C1522" i="1"/>
  <c r="B1522" i="1"/>
  <c r="A1522" i="1"/>
  <c r="S1521" i="1"/>
  <c r="O1521" i="1"/>
  <c r="K1521" i="1"/>
  <c r="J1521" i="1"/>
  <c r="I1521" i="1"/>
  <c r="H1521" i="1"/>
  <c r="G1521" i="1"/>
  <c r="F1521" i="1"/>
  <c r="E1521" i="1"/>
  <c r="D1521" i="1"/>
  <c r="C1521" i="1"/>
  <c r="B1521" i="1"/>
  <c r="A1521" i="1"/>
  <c r="R1520" i="1"/>
  <c r="J1520" i="1"/>
  <c r="I1520" i="1"/>
  <c r="G1520" i="1"/>
  <c r="F1520" i="1"/>
  <c r="E1520" i="1"/>
  <c r="D1520" i="1"/>
  <c r="C1520" i="1"/>
  <c r="B1520" i="1"/>
  <c r="A1520" i="1"/>
  <c r="S1519" i="1"/>
  <c r="O1519" i="1"/>
  <c r="K1519" i="1"/>
  <c r="J1519" i="1"/>
  <c r="I1519" i="1"/>
  <c r="H1519" i="1"/>
  <c r="G1519" i="1"/>
  <c r="F1519" i="1"/>
  <c r="E1519" i="1"/>
  <c r="D1519" i="1"/>
  <c r="C1519" i="1"/>
  <c r="B1519" i="1"/>
  <c r="A1519" i="1"/>
  <c r="R1518" i="1"/>
  <c r="J1518" i="1"/>
  <c r="I1518" i="1"/>
  <c r="G1518" i="1"/>
  <c r="F1518" i="1"/>
  <c r="E1518" i="1"/>
  <c r="D1518" i="1"/>
  <c r="C1518" i="1"/>
  <c r="B1518" i="1"/>
  <c r="A1518" i="1"/>
  <c r="S1517" i="1"/>
  <c r="O1517" i="1"/>
  <c r="K1517" i="1"/>
  <c r="J1517" i="1"/>
  <c r="I1517" i="1"/>
  <c r="H1517" i="1"/>
  <c r="G1517" i="1"/>
  <c r="F1517" i="1"/>
  <c r="E1517" i="1"/>
  <c r="D1517" i="1"/>
  <c r="C1517" i="1"/>
  <c r="B1517" i="1"/>
  <c r="A1517" i="1"/>
  <c r="S1516" i="1"/>
  <c r="O1516" i="1"/>
  <c r="K1516" i="1"/>
  <c r="J1516" i="1"/>
  <c r="I1516" i="1"/>
  <c r="H1516" i="1"/>
  <c r="G1516" i="1"/>
  <c r="F1516" i="1"/>
  <c r="D1516" i="1"/>
  <c r="C1516" i="1"/>
  <c r="B1516" i="1"/>
  <c r="A1516" i="1"/>
  <c r="R1515" i="1"/>
  <c r="J1515" i="1"/>
  <c r="I1515" i="1"/>
  <c r="G1515" i="1"/>
  <c r="F1515" i="1"/>
  <c r="E1515" i="1"/>
  <c r="D1515" i="1"/>
  <c r="C1515" i="1"/>
  <c r="B1515" i="1"/>
  <c r="A1515" i="1"/>
  <c r="R1514" i="1"/>
  <c r="J1514" i="1"/>
  <c r="I1514" i="1"/>
  <c r="G1514" i="1"/>
  <c r="F1514" i="1"/>
  <c r="E1514" i="1"/>
  <c r="D1514" i="1"/>
  <c r="C1514" i="1"/>
  <c r="B1514" i="1"/>
  <c r="A1514" i="1"/>
  <c r="S1513" i="1"/>
  <c r="O1513" i="1"/>
  <c r="K1513" i="1"/>
  <c r="J1513" i="1"/>
  <c r="I1513" i="1"/>
  <c r="H1513" i="1"/>
  <c r="G1513" i="1"/>
  <c r="F1513" i="1"/>
  <c r="E1513" i="1"/>
  <c r="D1513" i="1"/>
  <c r="C1513" i="1"/>
  <c r="B1513" i="1"/>
  <c r="A1513" i="1"/>
  <c r="R1512" i="1"/>
  <c r="J1512" i="1"/>
  <c r="I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S1510" i="1"/>
  <c r="O1510" i="1"/>
  <c r="K1510" i="1"/>
  <c r="J1510" i="1"/>
  <c r="I1510" i="1"/>
  <c r="H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S1508" i="1"/>
  <c r="O1508" i="1"/>
  <c r="K1508" i="1"/>
  <c r="J1508" i="1"/>
  <c r="I1508" i="1"/>
  <c r="H1508" i="1"/>
  <c r="G1508" i="1"/>
  <c r="F1508" i="1"/>
  <c r="E1508" i="1"/>
  <c r="D1508" i="1"/>
  <c r="C1508" i="1"/>
  <c r="B1508" i="1"/>
  <c r="A1508" i="1"/>
  <c r="S1507" i="1"/>
  <c r="O1507" i="1"/>
  <c r="K1507" i="1"/>
  <c r="J1507" i="1"/>
  <c r="I1507" i="1"/>
  <c r="H1507" i="1"/>
  <c r="G1507" i="1"/>
  <c r="F1507" i="1"/>
  <c r="D1507" i="1"/>
  <c r="C1507" i="1"/>
  <c r="B1507" i="1"/>
  <c r="A1507" i="1"/>
  <c r="S1506" i="1"/>
  <c r="O1506" i="1"/>
  <c r="K1506" i="1"/>
  <c r="J1506" i="1"/>
  <c r="I1506" i="1"/>
  <c r="H1506" i="1"/>
  <c r="G1506" i="1"/>
  <c r="F1506" i="1"/>
  <c r="D1506" i="1"/>
  <c r="C1506" i="1"/>
  <c r="B1506" i="1"/>
  <c r="A1506" i="1"/>
  <c r="S1505" i="1"/>
  <c r="O1505" i="1"/>
  <c r="K1505" i="1"/>
  <c r="J1505" i="1"/>
  <c r="I1505" i="1"/>
  <c r="H1505" i="1"/>
  <c r="G1505" i="1"/>
  <c r="F1505" i="1"/>
  <c r="D1505" i="1"/>
  <c r="C1505" i="1"/>
  <c r="B1505" i="1"/>
  <c r="A1505" i="1"/>
  <c r="R1504" i="1"/>
  <c r="J1504" i="1"/>
  <c r="I1504" i="1"/>
  <c r="G1504" i="1"/>
  <c r="F1504" i="1"/>
  <c r="E1504" i="1"/>
  <c r="D1504" i="1"/>
  <c r="C1504" i="1"/>
  <c r="B1504" i="1"/>
  <c r="A1504" i="1"/>
  <c r="S1503" i="1"/>
  <c r="O1503" i="1"/>
  <c r="K1503" i="1"/>
  <c r="J1503" i="1"/>
  <c r="I1503" i="1"/>
  <c r="H1503" i="1"/>
  <c r="G1503" i="1"/>
  <c r="F1503" i="1"/>
  <c r="E1503" i="1"/>
  <c r="D1503" i="1"/>
  <c r="C1503" i="1"/>
  <c r="B1503" i="1"/>
  <c r="A1503" i="1"/>
  <c r="R1502" i="1"/>
  <c r="J1502" i="1"/>
  <c r="I1502" i="1"/>
  <c r="G1502" i="1"/>
  <c r="F1502" i="1"/>
  <c r="E1502" i="1"/>
  <c r="D1502" i="1"/>
  <c r="C1502" i="1"/>
  <c r="B1502" i="1"/>
  <c r="A1502" i="1"/>
  <c r="R1501" i="1"/>
  <c r="J1501" i="1"/>
  <c r="I1501" i="1"/>
  <c r="G1501" i="1"/>
  <c r="F1501" i="1"/>
  <c r="E1501" i="1"/>
  <c r="D1501" i="1"/>
  <c r="C1501" i="1"/>
  <c r="B1501" i="1"/>
  <c r="A1501" i="1"/>
  <c r="R1500" i="1"/>
  <c r="J1500" i="1"/>
  <c r="I1500" i="1"/>
  <c r="G1500" i="1"/>
  <c r="F1500" i="1"/>
  <c r="E1500" i="1"/>
  <c r="D1500" i="1"/>
  <c r="C1500" i="1"/>
  <c r="B1500" i="1"/>
  <c r="A1500" i="1"/>
  <c r="R1499" i="1"/>
  <c r="J1499" i="1"/>
  <c r="I1499" i="1"/>
  <c r="G1499" i="1"/>
  <c r="F1499" i="1"/>
  <c r="E1499" i="1"/>
  <c r="D1499" i="1"/>
  <c r="C1499" i="1"/>
  <c r="B1499" i="1"/>
  <c r="A1499" i="1"/>
  <c r="R1498" i="1"/>
  <c r="J1498" i="1"/>
  <c r="I1498" i="1"/>
  <c r="G1498" i="1"/>
  <c r="F1498" i="1"/>
  <c r="E1498" i="1"/>
  <c r="D1498" i="1"/>
  <c r="C1498" i="1"/>
  <c r="B1498" i="1"/>
  <c r="A1498" i="1"/>
  <c r="R1497" i="1"/>
  <c r="J1497" i="1"/>
  <c r="I1497" i="1"/>
  <c r="G1497" i="1"/>
  <c r="F1497" i="1"/>
  <c r="E1497" i="1"/>
  <c r="D1497" i="1"/>
  <c r="C1497" i="1"/>
  <c r="B1497" i="1"/>
  <c r="A1497" i="1"/>
  <c r="R1496" i="1"/>
  <c r="J1496" i="1"/>
  <c r="I1496" i="1"/>
  <c r="G1496" i="1"/>
  <c r="F1496" i="1"/>
  <c r="E1496" i="1"/>
  <c r="D1496" i="1"/>
  <c r="C1496" i="1"/>
  <c r="B1496" i="1"/>
  <c r="A1496" i="1"/>
  <c r="R1495" i="1"/>
  <c r="J1495" i="1"/>
  <c r="I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R1493" i="1"/>
  <c r="J1493" i="1"/>
  <c r="I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R1491" i="1"/>
  <c r="J1491" i="1"/>
  <c r="I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R1489" i="1"/>
  <c r="J1489" i="1"/>
  <c r="I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R1487" i="1"/>
  <c r="J1487" i="1"/>
  <c r="I1487" i="1"/>
  <c r="G1487" i="1"/>
  <c r="F1487" i="1"/>
  <c r="E1487" i="1"/>
  <c r="D1487" i="1"/>
  <c r="C1487" i="1"/>
  <c r="B1487" i="1"/>
  <c r="A1487" i="1"/>
  <c r="R1486" i="1"/>
  <c r="J1486" i="1"/>
  <c r="I1486" i="1"/>
  <c r="G1486" i="1"/>
  <c r="F1486" i="1"/>
  <c r="E1486" i="1"/>
  <c r="D1486" i="1"/>
  <c r="C1486" i="1"/>
  <c r="B1486" i="1"/>
  <c r="A1486" i="1"/>
  <c r="R1485" i="1"/>
  <c r="J1485" i="1"/>
  <c r="I1485" i="1"/>
  <c r="G1485" i="1"/>
  <c r="F1485" i="1"/>
  <c r="E1485" i="1"/>
  <c r="D1485" i="1"/>
  <c r="C1485" i="1"/>
  <c r="B1485" i="1"/>
  <c r="A1485" i="1"/>
  <c r="R1484" i="1"/>
  <c r="J1484" i="1"/>
  <c r="I1484" i="1"/>
  <c r="G1484" i="1"/>
  <c r="F1484" i="1"/>
  <c r="E1484" i="1"/>
  <c r="D1484" i="1"/>
  <c r="C1484" i="1"/>
  <c r="B1484" i="1"/>
  <c r="A1484" i="1"/>
  <c r="R1483" i="1"/>
  <c r="J1483" i="1"/>
  <c r="I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R1481" i="1"/>
  <c r="J1481" i="1"/>
  <c r="I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R1479" i="1"/>
  <c r="J1479" i="1"/>
  <c r="I1479" i="1"/>
  <c r="G1479" i="1"/>
  <c r="F1479" i="1"/>
  <c r="E1479" i="1"/>
  <c r="D1479" i="1"/>
  <c r="C1479" i="1"/>
  <c r="B1479" i="1"/>
  <c r="A1479" i="1"/>
  <c r="R1478" i="1"/>
  <c r="J1478" i="1"/>
  <c r="I1478" i="1"/>
  <c r="G1478" i="1"/>
  <c r="F1478" i="1"/>
  <c r="E1478" i="1"/>
  <c r="D1478" i="1"/>
  <c r="C1478" i="1"/>
  <c r="B1478" i="1"/>
  <c r="A1478" i="1"/>
  <c r="R1477" i="1"/>
  <c r="J1477" i="1"/>
  <c r="I1477" i="1"/>
  <c r="G1477" i="1"/>
  <c r="F1477" i="1"/>
  <c r="E1477" i="1"/>
  <c r="D1477" i="1"/>
  <c r="C1477" i="1"/>
  <c r="B1477" i="1"/>
  <c r="A1477" i="1"/>
  <c r="R1476" i="1"/>
  <c r="J1476" i="1"/>
  <c r="I1476" i="1"/>
  <c r="G1476" i="1"/>
  <c r="F1476" i="1"/>
  <c r="E1476" i="1"/>
  <c r="D1476" i="1"/>
  <c r="C1476" i="1"/>
  <c r="B1476" i="1"/>
  <c r="A1476" i="1"/>
  <c r="R1475" i="1"/>
  <c r="J1475" i="1"/>
  <c r="I1475" i="1"/>
  <c r="G1475" i="1"/>
  <c r="F1475" i="1"/>
  <c r="E1475" i="1"/>
  <c r="D1475" i="1"/>
  <c r="C1475" i="1"/>
  <c r="B1475" i="1"/>
  <c r="A1475" i="1"/>
  <c r="R1474" i="1"/>
  <c r="J1474" i="1"/>
  <c r="I1474" i="1"/>
  <c r="G1474" i="1"/>
  <c r="F1474" i="1"/>
  <c r="E1474" i="1"/>
  <c r="D1474" i="1"/>
  <c r="C1474" i="1"/>
  <c r="B1474" i="1"/>
  <c r="A1474" i="1"/>
  <c r="R1473" i="1"/>
  <c r="J1473" i="1"/>
  <c r="I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R1470" i="1"/>
  <c r="J1470" i="1"/>
  <c r="I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R1468" i="1"/>
  <c r="J1468" i="1"/>
  <c r="I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R1466" i="1"/>
  <c r="J1466" i="1"/>
  <c r="I1466" i="1"/>
  <c r="G1466" i="1"/>
  <c r="F1466" i="1"/>
  <c r="E1466" i="1"/>
  <c r="D1466" i="1"/>
  <c r="C1466" i="1"/>
  <c r="B1466" i="1"/>
  <c r="A1466" i="1"/>
  <c r="R1465" i="1"/>
  <c r="J1465" i="1"/>
  <c r="I1465" i="1"/>
  <c r="G1465" i="1"/>
  <c r="F1465" i="1"/>
  <c r="E1465" i="1"/>
  <c r="D1465" i="1"/>
  <c r="C1465" i="1"/>
  <c r="B1465" i="1"/>
  <c r="A1465" i="1"/>
  <c r="R1464" i="1"/>
  <c r="J1464" i="1"/>
  <c r="I1464" i="1"/>
  <c r="G1464" i="1"/>
  <c r="F1464" i="1"/>
  <c r="E1464" i="1"/>
  <c r="D1464" i="1"/>
  <c r="C1464" i="1"/>
  <c r="B1464" i="1"/>
  <c r="A1464" i="1"/>
  <c r="R1463" i="1"/>
  <c r="J1463" i="1"/>
  <c r="I1463" i="1"/>
  <c r="G1463" i="1"/>
  <c r="F1463" i="1"/>
  <c r="E1463" i="1"/>
  <c r="D1463" i="1"/>
  <c r="C1463" i="1"/>
  <c r="B1463" i="1"/>
  <c r="A1463" i="1"/>
  <c r="R1462" i="1"/>
  <c r="J1462" i="1"/>
  <c r="I1462" i="1"/>
  <c r="G1462" i="1"/>
  <c r="F1462" i="1"/>
  <c r="E1462" i="1"/>
  <c r="D1462" i="1"/>
  <c r="C1462" i="1"/>
  <c r="B1462" i="1"/>
  <c r="A1462" i="1"/>
  <c r="R1461" i="1"/>
  <c r="J1461" i="1"/>
  <c r="I1461" i="1"/>
  <c r="G1461" i="1"/>
  <c r="F1461" i="1"/>
  <c r="E1461" i="1"/>
  <c r="D1461" i="1"/>
  <c r="C1461" i="1"/>
  <c r="B1461" i="1"/>
  <c r="A1461" i="1"/>
  <c r="R1460" i="1"/>
  <c r="J1460" i="1"/>
  <c r="I1460" i="1"/>
  <c r="G1460" i="1"/>
  <c r="F1460" i="1"/>
  <c r="E1460" i="1"/>
  <c r="D1460" i="1"/>
  <c r="C1460" i="1"/>
  <c r="B1460" i="1"/>
  <c r="A1460" i="1"/>
  <c r="R1459" i="1"/>
  <c r="J1459" i="1"/>
  <c r="I1459" i="1"/>
  <c r="G1459" i="1"/>
  <c r="F1459" i="1"/>
  <c r="E1459" i="1"/>
  <c r="D1459" i="1"/>
  <c r="C1459" i="1"/>
  <c r="B1459" i="1"/>
  <c r="A1459" i="1"/>
  <c r="R1458" i="1"/>
  <c r="J1458" i="1"/>
  <c r="I1458" i="1"/>
  <c r="G1458" i="1"/>
  <c r="F1458" i="1"/>
  <c r="E1458" i="1"/>
  <c r="D1458" i="1"/>
  <c r="C1458" i="1"/>
  <c r="B1458" i="1"/>
  <c r="A1458" i="1"/>
  <c r="R1457" i="1"/>
  <c r="J1457" i="1"/>
  <c r="I1457" i="1"/>
  <c r="G1457" i="1"/>
  <c r="F1457" i="1"/>
  <c r="E1457" i="1"/>
  <c r="D1457" i="1"/>
  <c r="C1457" i="1"/>
  <c r="B1457" i="1"/>
  <c r="A1457" i="1"/>
  <c r="R1456" i="1"/>
  <c r="J1456" i="1"/>
  <c r="I1456" i="1"/>
  <c r="G1456" i="1"/>
  <c r="F1456" i="1"/>
  <c r="E1456" i="1"/>
  <c r="D1456" i="1"/>
  <c r="C1456" i="1"/>
  <c r="B1456" i="1"/>
  <c r="A1456" i="1"/>
  <c r="R1455" i="1"/>
  <c r="J1455" i="1"/>
  <c r="I1455" i="1"/>
  <c r="G1455" i="1"/>
  <c r="F1455" i="1"/>
  <c r="E1455" i="1"/>
  <c r="D1455" i="1"/>
  <c r="C1455" i="1"/>
  <c r="B1455" i="1"/>
  <c r="A1455" i="1"/>
  <c r="R1454" i="1"/>
  <c r="J1454" i="1"/>
  <c r="I1454" i="1"/>
  <c r="G1454" i="1"/>
  <c r="F1454" i="1"/>
  <c r="E1454" i="1"/>
  <c r="D1454" i="1"/>
  <c r="C1454" i="1"/>
  <c r="B1454" i="1"/>
  <c r="A1454" i="1"/>
  <c r="S1453" i="1"/>
  <c r="O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J1452" i="1"/>
  <c r="I1452" i="1"/>
  <c r="G1452" i="1"/>
  <c r="F1452" i="1"/>
  <c r="E1452" i="1"/>
  <c r="D1452" i="1"/>
  <c r="C1452" i="1"/>
  <c r="B1452" i="1"/>
  <c r="A1452" i="1"/>
  <c r="R1451" i="1"/>
  <c r="J1451" i="1"/>
  <c r="I1451" i="1"/>
  <c r="G1451" i="1"/>
  <c r="F1451" i="1"/>
  <c r="E1451" i="1"/>
  <c r="D1451" i="1"/>
  <c r="C1451" i="1"/>
  <c r="B1451" i="1"/>
  <c r="A1451" i="1"/>
  <c r="R1450" i="1"/>
  <c r="J1450" i="1"/>
  <c r="I1450" i="1"/>
  <c r="G1450" i="1"/>
  <c r="F1450" i="1"/>
  <c r="E1450" i="1"/>
  <c r="D1450" i="1"/>
  <c r="C1450" i="1"/>
  <c r="B1450" i="1"/>
  <c r="A1450" i="1"/>
  <c r="R1449" i="1"/>
  <c r="J1449" i="1"/>
  <c r="I1449" i="1"/>
  <c r="G1449" i="1"/>
  <c r="F1449" i="1"/>
  <c r="E1449" i="1"/>
  <c r="D1449" i="1"/>
  <c r="C1449" i="1"/>
  <c r="B1449" i="1"/>
  <c r="A1449" i="1"/>
  <c r="R1448" i="1"/>
  <c r="J1448" i="1"/>
  <c r="I1448" i="1"/>
  <c r="G1448" i="1"/>
  <c r="F1448" i="1"/>
  <c r="E1448" i="1"/>
  <c r="D1448" i="1"/>
  <c r="C1448" i="1"/>
  <c r="B1448" i="1"/>
  <c r="A1448" i="1"/>
  <c r="R1447" i="1"/>
  <c r="J1447" i="1"/>
  <c r="I1447" i="1"/>
  <c r="G1447" i="1"/>
  <c r="F1447" i="1"/>
  <c r="E1447" i="1"/>
  <c r="D1447" i="1"/>
  <c r="C1447" i="1"/>
  <c r="B1447" i="1"/>
  <c r="A1447" i="1"/>
  <c r="R1446" i="1"/>
  <c r="J1446" i="1"/>
  <c r="I1446" i="1"/>
  <c r="G1446" i="1"/>
  <c r="F1446" i="1"/>
  <c r="E1446" i="1"/>
  <c r="D1446" i="1"/>
  <c r="C1446" i="1"/>
  <c r="B1446" i="1"/>
  <c r="A1446" i="1"/>
  <c r="R1445" i="1"/>
  <c r="J1445" i="1"/>
  <c r="I1445" i="1"/>
  <c r="G1445" i="1"/>
  <c r="F1445" i="1"/>
  <c r="E1445" i="1"/>
  <c r="D1445" i="1"/>
  <c r="C1445" i="1"/>
  <c r="B1445" i="1"/>
  <c r="A1445" i="1"/>
  <c r="R1444" i="1"/>
  <c r="J1444" i="1"/>
  <c r="I1444" i="1"/>
  <c r="G1444" i="1"/>
  <c r="F1444" i="1"/>
  <c r="E1444" i="1"/>
  <c r="D1444" i="1"/>
  <c r="C1444" i="1"/>
  <c r="B1444" i="1"/>
  <c r="A1444" i="1"/>
  <c r="R1443" i="1"/>
  <c r="J1443" i="1"/>
  <c r="I1443" i="1"/>
  <c r="G1443" i="1"/>
  <c r="F1443" i="1"/>
  <c r="E1443" i="1"/>
  <c r="D1443" i="1"/>
  <c r="C1443" i="1"/>
  <c r="B1443" i="1"/>
  <c r="A1443" i="1"/>
  <c r="R1442" i="1"/>
  <c r="J1442" i="1"/>
  <c r="I1442" i="1"/>
  <c r="G1442" i="1"/>
  <c r="F1442" i="1"/>
  <c r="E1442" i="1"/>
  <c r="D1442" i="1"/>
  <c r="C1442" i="1"/>
  <c r="B1442" i="1"/>
  <c r="A1442" i="1"/>
  <c r="S1441" i="1"/>
  <c r="O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J1440" i="1"/>
  <c r="I1440" i="1"/>
  <c r="G1440" i="1"/>
  <c r="F1440" i="1"/>
  <c r="E1440" i="1"/>
  <c r="D1440" i="1"/>
  <c r="C1440" i="1"/>
  <c r="B1440" i="1"/>
  <c r="A1440" i="1"/>
  <c r="R1439" i="1"/>
  <c r="J1439" i="1"/>
  <c r="I1439" i="1"/>
  <c r="G1439" i="1"/>
  <c r="F1439" i="1"/>
  <c r="E1439" i="1"/>
  <c r="D1439" i="1"/>
  <c r="C1439" i="1"/>
  <c r="B1439" i="1"/>
  <c r="A1439" i="1"/>
  <c r="R1438" i="1"/>
  <c r="J1438" i="1"/>
  <c r="I1438" i="1"/>
  <c r="G1438" i="1"/>
  <c r="F1438" i="1"/>
  <c r="E1438" i="1"/>
  <c r="D1438" i="1"/>
  <c r="C1438" i="1"/>
  <c r="B1438" i="1"/>
  <c r="A1438" i="1"/>
  <c r="R1437" i="1"/>
  <c r="J1437" i="1"/>
  <c r="I1437" i="1"/>
  <c r="G1437" i="1"/>
  <c r="F1437" i="1"/>
  <c r="E1437" i="1"/>
  <c r="D1437" i="1"/>
  <c r="C1437" i="1"/>
  <c r="B1437" i="1"/>
  <c r="A1437" i="1"/>
  <c r="R1436" i="1"/>
  <c r="J1436" i="1"/>
  <c r="I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R1434" i="1"/>
  <c r="J1434" i="1"/>
  <c r="I1434" i="1"/>
  <c r="G1434" i="1"/>
  <c r="F1434" i="1"/>
  <c r="E1434" i="1"/>
  <c r="D1434" i="1"/>
  <c r="C1434" i="1"/>
  <c r="B1434" i="1"/>
  <c r="A1434" i="1"/>
  <c r="R1433" i="1"/>
  <c r="J1433" i="1"/>
  <c r="I1433" i="1"/>
  <c r="G1433" i="1"/>
  <c r="F1433" i="1"/>
  <c r="E1433" i="1"/>
  <c r="D1433" i="1"/>
  <c r="C1433" i="1"/>
  <c r="B1433" i="1"/>
  <c r="A1433" i="1"/>
  <c r="R1432" i="1"/>
  <c r="J1432" i="1"/>
  <c r="I1432" i="1"/>
  <c r="G1432" i="1"/>
  <c r="F1432" i="1"/>
  <c r="E1432" i="1"/>
  <c r="D1432" i="1"/>
  <c r="C1432" i="1"/>
  <c r="B1432" i="1"/>
  <c r="A1432" i="1"/>
  <c r="R1431" i="1"/>
  <c r="J1431" i="1"/>
  <c r="I1431" i="1"/>
  <c r="G1431" i="1"/>
  <c r="F1431" i="1"/>
  <c r="E1431" i="1"/>
  <c r="D1431" i="1"/>
  <c r="C1431" i="1"/>
  <c r="B1431" i="1"/>
  <c r="A1431" i="1"/>
  <c r="R1430" i="1"/>
  <c r="J1430" i="1"/>
  <c r="I1430" i="1"/>
  <c r="G1430" i="1"/>
  <c r="F1430" i="1"/>
  <c r="E1430" i="1"/>
  <c r="D1430" i="1"/>
  <c r="C1430" i="1"/>
  <c r="B1430" i="1"/>
  <c r="A1430" i="1"/>
  <c r="R1429" i="1"/>
  <c r="J1429" i="1"/>
  <c r="I1429" i="1"/>
  <c r="G1429" i="1"/>
  <c r="F1429" i="1"/>
  <c r="E1429" i="1"/>
  <c r="D1429" i="1"/>
  <c r="C1429" i="1"/>
  <c r="B1429" i="1"/>
  <c r="A1429" i="1"/>
  <c r="R1428" i="1"/>
  <c r="J1428" i="1"/>
  <c r="I1428" i="1"/>
  <c r="G1428" i="1"/>
  <c r="F1428" i="1"/>
  <c r="E1428" i="1"/>
  <c r="D1428" i="1"/>
  <c r="C1428" i="1"/>
  <c r="B1428" i="1"/>
  <c r="A1428" i="1"/>
  <c r="R1427" i="1"/>
  <c r="J1427" i="1"/>
  <c r="I1427" i="1"/>
  <c r="G1427" i="1"/>
  <c r="F1427" i="1"/>
  <c r="E1427" i="1"/>
  <c r="D1427" i="1"/>
  <c r="C1427" i="1"/>
  <c r="B1427" i="1"/>
  <c r="A1427" i="1"/>
  <c r="R1426" i="1"/>
  <c r="J1426" i="1"/>
  <c r="I1426" i="1"/>
  <c r="G1426" i="1"/>
  <c r="F1426" i="1"/>
  <c r="E1426" i="1"/>
  <c r="D1426" i="1"/>
  <c r="C1426" i="1"/>
  <c r="B1426" i="1"/>
  <c r="A1426" i="1"/>
  <c r="R1425" i="1"/>
  <c r="J1425" i="1"/>
  <c r="I1425" i="1"/>
  <c r="G1425" i="1"/>
  <c r="F1425" i="1"/>
  <c r="E1425" i="1"/>
  <c r="D1425" i="1"/>
  <c r="C1425" i="1"/>
  <c r="B1425" i="1"/>
  <c r="A1425" i="1"/>
  <c r="R1424" i="1"/>
  <c r="J1424" i="1"/>
  <c r="I1424" i="1"/>
  <c r="G1424" i="1"/>
  <c r="F1424" i="1"/>
  <c r="E1424" i="1"/>
  <c r="D1424" i="1"/>
  <c r="C1424" i="1"/>
  <c r="B1424" i="1"/>
  <c r="A1424" i="1"/>
  <c r="S1423" i="1"/>
  <c r="O1423" i="1"/>
  <c r="K1423" i="1"/>
  <c r="J1423" i="1"/>
  <c r="I1423" i="1"/>
  <c r="H1423" i="1"/>
  <c r="G1423" i="1"/>
  <c r="F1423" i="1"/>
  <c r="E1423" i="1"/>
  <c r="D1423" i="1"/>
  <c r="C1423" i="1"/>
  <c r="B1423" i="1"/>
  <c r="A1423" i="1"/>
  <c r="R1422" i="1"/>
  <c r="J1422" i="1"/>
  <c r="I1422" i="1"/>
  <c r="G1422" i="1"/>
  <c r="F1422" i="1"/>
  <c r="E1422" i="1"/>
  <c r="D1422" i="1"/>
  <c r="C1422" i="1"/>
  <c r="B1422" i="1"/>
  <c r="A1422" i="1"/>
  <c r="S1421" i="1"/>
  <c r="O1421" i="1"/>
  <c r="K1421" i="1"/>
  <c r="J1421" i="1"/>
  <c r="I1421" i="1"/>
  <c r="H1421" i="1"/>
  <c r="G1421" i="1"/>
  <c r="F1421" i="1"/>
  <c r="E1421" i="1"/>
  <c r="D1421" i="1"/>
  <c r="C1421" i="1"/>
  <c r="B1421" i="1"/>
  <c r="A1421" i="1"/>
  <c r="R1420" i="1"/>
  <c r="J1420" i="1"/>
  <c r="I1420" i="1"/>
  <c r="G1420" i="1"/>
  <c r="F1420" i="1"/>
  <c r="E1420" i="1"/>
  <c r="D1420" i="1"/>
  <c r="C1420" i="1"/>
  <c r="B1420" i="1"/>
  <c r="A1420" i="1"/>
  <c r="S1419" i="1"/>
  <c r="O1419" i="1"/>
  <c r="K1419" i="1"/>
  <c r="J1419" i="1"/>
  <c r="I1419" i="1"/>
  <c r="H1419" i="1"/>
  <c r="G1419" i="1"/>
  <c r="F1419" i="1"/>
  <c r="E1419" i="1"/>
  <c r="D1419" i="1"/>
  <c r="C1419" i="1"/>
  <c r="B1419" i="1"/>
  <c r="A1419" i="1"/>
  <c r="S1418" i="1"/>
  <c r="O1418" i="1"/>
  <c r="K1418" i="1"/>
  <c r="J1418" i="1"/>
  <c r="I1418" i="1"/>
  <c r="H1418" i="1"/>
  <c r="G1418" i="1"/>
  <c r="F1418" i="1"/>
  <c r="D1418" i="1"/>
  <c r="C1418" i="1"/>
  <c r="B1418" i="1"/>
  <c r="A1418" i="1"/>
  <c r="S1417" i="1"/>
  <c r="O1417" i="1"/>
  <c r="K1417" i="1"/>
  <c r="J1417" i="1"/>
  <c r="I1417" i="1"/>
  <c r="H1417" i="1"/>
  <c r="G1417" i="1"/>
  <c r="F1417" i="1"/>
  <c r="D1417" i="1"/>
  <c r="C1417" i="1"/>
  <c r="B1417" i="1"/>
  <c r="A1417" i="1"/>
  <c r="R1416" i="1"/>
  <c r="J1416" i="1"/>
  <c r="I1416" i="1"/>
  <c r="G1416" i="1"/>
  <c r="F1416" i="1"/>
  <c r="E1416" i="1"/>
  <c r="D1416" i="1"/>
  <c r="C1416" i="1"/>
  <c r="B1416" i="1"/>
  <c r="A1416" i="1"/>
  <c r="S1415" i="1"/>
  <c r="O1415" i="1"/>
  <c r="K1415" i="1"/>
  <c r="J1415" i="1"/>
  <c r="I1415" i="1"/>
  <c r="H1415" i="1"/>
  <c r="G1415" i="1"/>
  <c r="F1415" i="1"/>
  <c r="E1415" i="1"/>
  <c r="D1415" i="1"/>
  <c r="C1415" i="1"/>
  <c r="B1415" i="1"/>
  <c r="A1415" i="1"/>
  <c r="R1414" i="1"/>
  <c r="J1414" i="1"/>
  <c r="I1414" i="1"/>
  <c r="G1414" i="1"/>
  <c r="F1414" i="1"/>
  <c r="E1414" i="1"/>
  <c r="D1414" i="1"/>
  <c r="C1414" i="1"/>
  <c r="B1414" i="1"/>
  <c r="A1414" i="1"/>
  <c r="R1413" i="1"/>
  <c r="J1413" i="1"/>
  <c r="I1413" i="1"/>
  <c r="G1413" i="1"/>
  <c r="F1413" i="1"/>
  <c r="E1413" i="1"/>
  <c r="D1413" i="1"/>
  <c r="C1413" i="1"/>
  <c r="B1413" i="1"/>
  <c r="A1413" i="1"/>
  <c r="S1412" i="1"/>
  <c r="O1412" i="1"/>
  <c r="K1412" i="1"/>
  <c r="J1412" i="1"/>
  <c r="I1412" i="1"/>
  <c r="H1412" i="1"/>
  <c r="G1412" i="1"/>
  <c r="F1412" i="1"/>
  <c r="E1412" i="1"/>
  <c r="D1412" i="1"/>
  <c r="C1412" i="1"/>
  <c r="B1412" i="1"/>
  <c r="A1412" i="1"/>
  <c r="R1411" i="1"/>
  <c r="J1411" i="1"/>
  <c r="I1411" i="1"/>
  <c r="G1411" i="1"/>
  <c r="F1411" i="1"/>
  <c r="E1411" i="1"/>
  <c r="D1411" i="1"/>
  <c r="C1411" i="1"/>
  <c r="B1411" i="1"/>
  <c r="A1411" i="1"/>
  <c r="R1410" i="1"/>
  <c r="J1410" i="1"/>
  <c r="I1410" i="1"/>
  <c r="G1410" i="1"/>
  <c r="F1410" i="1"/>
  <c r="E1410" i="1"/>
  <c r="D1410" i="1"/>
  <c r="C1410" i="1"/>
  <c r="B1410" i="1"/>
  <c r="A1410" i="1"/>
  <c r="R1409" i="1"/>
  <c r="J1409" i="1"/>
  <c r="I1409" i="1"/>
  <c r="G1409" i="1"/>
  <c r="F1409" i="1"/>
  <c r="E1409" i="1"/>
  <c r="D1409" i="1"/>
  <c r="C1409" i="1"/>
  <c r="B1409" i="1"/>
  <c r="A1409" i="1"/>
  <c r="R1408" i="1"/>
  <c r="J1408" i="1"/>
  <c r="I1408" i="1"/>
  <c r="G1408" i="1"/>
  <c r="F1408" i="1"/>
  <c r="E1408" i="1"/>
  <c r="D1408" i="1"/>
  <c r="C1408" i="1"/>
  <c r="B1408" i="1"/>
  <c r="A1408" i="1"/>
  <c r="R1407" i="1"/>
  <c r="J1407" i="1"/>
  <c r="I1407" i="1"/>
  <c r="G1407" i="1"/>
  <c r="F1407" i="1"/>
  <c r="E1407" i="1"/>
  <c r="D1407" i="1"/>
  <c r="C1407" i="1"/>
  <c r="B1407" i="1"/>
  <c r="A1407" i="1"/>
  <c r="R1406" i="1"/>
  <c r="J1406" i="1"/>
  <c r="I1406" i="1"/>
  <c r="G1406" i="1"/>
  <c r="F1406" i="1"/>
  <c r="E1406" i="1"/>
  <c r="D1406" i="1"/>
  <c r="C1406" i="1"/>
  <c r="B1406" i="1"/>
  <c r="A1406" i="1"/>
  <c r="R1405" i="1"/>
  <c r="J1405" i="1"/>
  <c r="I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S1403" i="1"/>
  <c r="O1403" i="1"/>
  <c r="K1403" i="1"/>
  <c r="J1403" i="1"/>
  <c r="I1403" i="1"/>
  <c r="H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R1398" i="1"/>
  <c r="J1398" i="1"/>
  <c r="I1398" i="1"/>
  <c r="G1398" i="1"/>
  <c r="F1398" i="1"/>
  <c r="E1398" i="1"/>
  <c r="D1398" i="1"/>
  <c r="C1398" i="1"/>
  <c r="B1398" i="1"/>
  <c r="A1398" i="1"/>
  <c r="S1397" i="1"/>
  <c r="O1397" i="1"/>
  <c r="K1397" i="1"/>
  <c r="J1397" i="1"/>
  <c r="I1397" i="1"/>
  <c r="H1397" i="1"/>
  <c r="G1397" i="1"/>
  <c r="F1397" i="1"/>
  <c r="E1397" i="1"/>
  <c r="D1397" i="1"/>
  <c r="C1397" i="1"/>
  <c r="B1397" i="1"/>
  <c r="A1397" i="1"/>
  <c r="R1396" i="1"/>
  <c r="J1396" i="1"/>
  <c r="I1396" i="1"/>
  <c r="G1396" i="1"/>
  <c r="F1396" i="1"/>
  <c r="E1396" i="1"/>
  <c r="D1396" i="1"/>
  <c r="C1396" i="1"/>
  <c r="B1396" i="1"/>
  <c r="A1396" i="1"/>
  <c r="S1395" i="1"/>
  <c r="O1395" i="1"/>
  <c r="K1395" i="1"/>
  <c r="J1395" i="1"/>
  <c r="I1395" i="1"/>
  <c r="H1395" i="1"/>
  <c r="G1395" i="1"/>
  <c r="F1395" i="1"/>
  <c r="E1395" i="1"/>
  <c r="D1395" i="1"/>
  <c r="C1395" i="1"/>
  <c r="B1395" i="1"/>
  <c r="A1395" i="1"/>
  <c r="R1394" i="1"/>
  <c r="J1394" i="1"/>
  <c r="I1394" i="1"/>
  <c r="G1394" i="1"/>
  <c r="F1394" i="1"/>
  <c r="E1394" i="1"/>
  <c r="D1394" i="1"/>
  <c r="C1394" i="1"/>
  <c r="B1394" i="1"/>
  <c r="A1394" i="1"/>
  <c r="S1393" i="1"/>
  <c r="O1393" i="1"/>
  <c r="K1393" i="1"/>
  <c r="J1393" i="1"/>
  <c r="I1393" i="1"/>
  <c r="H1393" i="1"/>
  <c r="G1393" i="1"/>
  <c r="F1393" i="1"/>
  <c r="E1393" i="1"/>
  <c r="D1393" i="1"/>
  <c r="C1393" i="1"/>
  <c r="B1393" i="1"/>
  <c r="A1393" i="1"/>
  <c r="S1392" i="1"/>
  <c r="O1392" i="1"/>
  <c r="K1392" i="1"/>
  <c r="J1392" i="1"/>
  <c r="I1392" i="1"/>
  <c r="H1392" i="1"/>
  <c r="G1392" i="1"/>
  <c r="F1392" i="1"/>
  <c r="D1392" i="1"/>
  <c r="C1392" i="1"/>
  <c r="B1392" i="1"/>
  <c r="A1392" i="1"/>
  <c r="S1391" i="1"/>
  <c r="O1391" i="1"/>
  <c r="K1391" i="1"/>
  <c r="J1391" i="1"/>
  <c r="I1391" i="1"/>
  <c r="H1391" i="1"/>
  <c r="G1391" i="1"/>
  <c r="F1391" i="1"/>
  <c r="D1391" i="1"/>
  <c r="C1391" i="1"/>
  <c r="B1391" i="1"/>
  <c r="A1391" i="1"/>
  <c r="S1390" i="1"/>
  <c r="O1390" i="1"/>
  <c r="K1390" i="1"/>
  <c r="J1390" i="1"/>
  <c r="I1390" i="1"/>
  <c r="H1390" i="1"/>
  <c r="G1390" i="1"/>
  <c r="F1390" i="1"/>
  <c r="D1390" i="1"/>
  <c r="C1390" i="1"/>
  <c r="B1390" i="1"/>
  <c r="A1390" i="1"/>
  <c r="R1389" i="1"/>
  <c r="J1389" i="1"/>
  <c r="I1389" i="1"/>
  <c r="G1389" i="1"/>
  <c r="F1389" i="1"/>
  <c r="E1389" i="1"/>
  <c r="D1389" i="1"/>
  <c r="C1389" i="1"/>
  <c r="B1389" i="1"/>
  <c r="A1389" i="1"/>
  <c r="S1388" i="1"/>
  <c r="O1388" i="1"/>
  <c r="K1388" i="1"/>
  <c r="J1388" i="1"/>
  <c r="I1388" i="1"/>
  <c r="H1388" i="1"/>
  <c r="G1388" i="1"/>
  <c r="F1388" i="1"/>
  <c r="E1388" i="1"/>
  <c r="D1388" i="1"/>
  <c r="C1388" i="1"/>
  <c r="B1388" i="1"/>
  <c r="A1388" i="1"/>
  <c r="R1387" i="1"/>
  <c r="J1387" i="1"/>
  <c r="I1387" i="1"/>
  <c r="G1387" i="1"/>
  <c r="F1387" i="1"/>
  <c r="E1387" i="1"/>
  <c r="D1387" i="1"/>
  <c r="C1387" i="1"/>
  <c r="B1387" i="1"/>
  <c r="A1387" i="1"/>
  <c r="S1386" i="1"/>
  <c r="O1386" i="1"/>
  <c r="K1386" i="1"/>
  <c r="J1386" i="1"/>
  <c r="I1386" i="1"/>
  <c r="H1386" i="1"/>
  <c r="G1386" i="1"/>
  <c r="F1386" i="1"/>
  <c r="E1386" i="1"/>
  <c r="D1386" i="1"/>
  <c r="C1386" i="1"/>
  <c r="B1386" i="1"/>
  <c r="A1386" i="1"/>
  <c r="R1385" i="1"/>
  <c r="J1385" i="1"/>
  <c r="I1385" i="1"/>
  <c r="G1385" i="1"/>
  <c r="F1385" i="1"/>
  <c r="E1385" i="1"/>
  <c r="D1385" i="1"/>
  <c r="C1385" i="1"/>
  <c r="B1385" i="1"/>
  <c r="A1385" i="1"/>
  <c r="S1384" i="1"/>
  <c r="O1384" i="1"/>
  <c r="K1384" i="1"/>
  <c r="J1384" i="1"/>
  <c r="I1384" i="1"/>
  <c r="H1384" i="1"/>
  <c r="G1384" i="1"/>
  <c r="F1384" i="1"/>
  <c r="E1384" i="1"/>
  <c r="D1384" i="1"/>
  <c r="C1384" i="1"/>
  <c r="B1384" i="1"/>
  <c r="A1384" i="1"/>
  <c r="R1383" i="1"/>
  <c r="J1383" i="1"/>
  <c r="I1383" i="1"/>
  <c r="G1383" i="1"/>
  <c r="F1383" i="1"/>
  <c r="E1383" i="1"/>
  <c r="D1383" i="1"/>
  <c r="C1383" i="1"/>
  <c r="B1383" i="1"/>
  <c r="A1383" i="1"/>
  <c r="S1382" i="1"/>
  <c r="O1382" i="1"/>
  <c r="K1382" i="1"/>
  <c r="J1382" i="1"/>
  <c r="I1382" i="1"/>
  <c r="H1382" i="1"/>
  <c r="G1382" i="1"/>
  <c r="F1382" i="1"/>
  <c r="E1382" i="1"/>
  <c r="D1382" i="1"/>
  <c r="C1382" i="1"/>
  <c r="B1382" i="1"/>
  <c r="A1382" i="1"/>
  <c r="R1381" i="1"/>
  <c r="J1381" i="1"/>
  <c r="I1381" i="1"/>
  <c r="G1381" i="1"/>
  <c r="F1381" i="1"/>
  <c r="E1381" i="1"/>
  <c r="D1381" i="1"/>
  <c r="C1381" i="1"/>
  <c r="B1381" i="1"/>
  <c r="A1381" i="1"/>
  <c r="S1380" i="1"/>
  <c r="O1380" i="1"/>
  <c r="K1380" i="1"/>
  <c r="J1380" i="1"/>
  <c r="I1380" i="1"/>
  <c r="H1380" i="1"/>
  <c r="G1380" i="1"/>
  <c r="F1380" i="1"/>
  <c r="E1380" i="1"/>
  <c r="D1380" i="1"/>
  <c r="C1380" i="1"/>
  <c r="B1380" i="1"/>
  <c r="A1380" i="1"/>
  <c r="R1379" i="1"/>
  <c r="J1379" i="1"/>
  <c r="I1379" i="1"/>
  <c r="G1379" i="1"/>
  <c r="F1379" i="1"/>
  <c r="E1379" i="1"/>
  <c r="D1379" i="1"/>
  <c r="C1379" i="1"/>
  <c r="B1379" i="1"/>
  <c r="A1379" i="1"/>
  <c r="S1378" i="1"/>
  <c r="O1378" i="1"/>
  <c r="K1378" i="1"/>
  <c r="J1378" i="1"/>
  <c r="I1378" i="1"/>
  <c r="H1378" i="1"/>
  <c r="G1378" i="1"/>
  <c r="F1378" i="1"/>
  <c r="E1378" i="1"/>
  <c r="D1378" i="1"/>
  <c r="C1378" i="1"/>
  <c r="B1378" i="1"/>
  <c r="A1378" i="1"/>
  <c r="S1377" i="1"/>
  <c r="O1377" i="1"/>
  <c r="K1377" i="1"/>
  <c r="J1377" i="1"/>
  <c r="I1377" i="1"/>
  <c r="H1377" i="1"/>
  <c r="G1377" i="1"/>
  <c r="F1377" i="1"/>
  <c r="E1377" i="1"/>
  <c r="D1377" i="1"/>
  <c r="C1377" i="1"/>
  <c r="B1377" i="1"/>
  <c r="A1377" i="1"/>
  <c r="R1376" i="1"/>
  <c r="J1376" i="1"/>
  <c r="I1376" i="1"/>
  <c r="G1376" i="1"/>
  <c r="F1376" i="1"/>
  <c r="E1376" i="1"/>
  <c r="D1376" i="1"/>
  <c r="C1376" i="1"/>
  <c r="B1376" i="1"/>
  <c r="A1376" i="1"/>
  <c r="S1375" i="1"/>
  <c r="O1375" i="1"/>
  <c r="K1375" i="1"/>
  <c r="J1375" i="1"/>
  <c r="I1375" i="1"/>
  <c r="H1375" i="1"/>
  <c r="G1375" i="1"/>
  <c r="F1375" i="1"/>
  <c r="E1375" i="1"/>
  <c r="D1375" i="1"/>
  <c r="C1375" i="1"/>
  <c r="B1375" i="1"/>
  <c r="A1375" i="1"/>
  <c r="R1374" i="1"/>
  <c r="J1374" i="1"/>
  <c r="I1374" i="1"/>
  <c r="G1374" i="1"/>
  <c r="F1374" i="1"/>
  <c r="E1374" i="1"/>
  <c r="D1374" i="1"/>
  <c r="C1374" i="1"/>
  <c r="B1374" i="1"/>
  <c r="A1374" i="1"/>
  <c r="S1373" i="1"/>
  <c r="O1373" i="1"/>
  <c r="K1373" i="1"/>
  <c r="J1373" i="1"/>
  <c r="I1373" i="1"/>
  <c r="H1373" i="1"/>
  <c r="G1373" i="1"/>
  <c r="F1373" i="1"/>
  <c r="E1373" i="1"/>
  <c r="D1373" i="1"/>
  <c r="C1373" i="1"/>
  <c r="B1373" i="1"/>
  <c r="A1373" i="1"/>
  <c r="R1372" i="1"/>
  <c r="J1372" i="1"/>
  <c r="I1372" i="1"/>
  <c r="G1372" i="1"/>
  <c r="F1372" i="1"/>
  <c r="E1372" i="1"/>
  <c r="D1372" i="1"/>
  <c r="C1372" i="1"/>
  <c r="B1372" i="1"/>
  <c r="A1372" i="1"/>
  <c r="S1371" i="1"/>
  <c r="O1371" i="1"/>
  <c r="K1371" i="1"/>
  <c r="J1371" i="1"/>
  <c r="I1371" i="1"/>
  <c r="H1371" i="1"/>
  <c r="G1371" i="1"/>
  <c r="F1371" i="1"/>
  <c r="E1371" i="1"/>
  <c r="D1371" i="1"/>
  <c r="C1371" i="1"/>
  <c r="B1371" i="1"/>
  <c r="A1371" i="1"/>
  <c r="R1370" i="1"/>
  <c r="J1370" i="1"/>
  <c r="I1370" i="1"/>
  <c r="G1370" i="1"/>
  <c r="F1370" i="1"/>
  <c r="E1370" i="1"/>
  <c r="D1370" i="1"/>
  <c r="C1370" i="1"/>
  <c r="B1370" i="1"/>
  <c r="A1370" i="1"/>
  <c r="S1369" i="1"/>
  <c r="O1369" i="1"/>
  <c r="K1369" i="1"/>
  <c r="J1369" i="1"/>
  <c r="I1369" i="1"/>
  <c r="H1369" i="1"/>
  <c r="G1369" i="1"/>
  <c r="F1369" i="1"/>
  <c r="E1369" i="1"/>
  <c r="D1369" i="1"/>
  <c r="C1369" i="1"/>
  <c r="B1369" i="1"/>
  <c r="A1369" i="1"/>
  <c r="R1368" i="1"/>
  <c r="J1368" i="1"/>
  <c r="I1368" i="1"/>
  <c r="G1368" i="1"/>
  <c r="F1368" i="1"/>
  <c r="E1368" i="1"/>
  <c r="D1368" i="1"/>
  <c r="C1368" i="1"/>
  <c r="B1368" i="1"/>
  <c r="A1368" i="1"/>
  <c r="S1367" i="1"/>
  <c r="O1367" i="1"/>
  <c r="K1367" i="1"/>
  <c r="J1367" i="1"/>
  <c r="I1367" i="1"/>
  <c r="H1367" i="1"/>
  <c r="G1367" i="1"/>
  <c r="F1367" i="1"/>
  <c r="E1367" i="1"/>
  <c r="D1367" i="1"/>
  <c r="C1367" i="1"/>
  <c r="B1367" i="1"/>
  <c r="A1367" i="1"/>
  <c r="R1366" i="1"/>
  <c r="J1366" i="1"/>
  <c r="I1366" i="1"/>
  <c r="G1366" i="1"/>
  <c r="F1366" i="1"/>
  <c r="E1366" i="1"/>
  <c r="D1366" i="1"/>
  <c r="C1366" i="1"/>
  <c r="B1366" i="1"/>
  <c r="A1366" i="1"/>
  <c r="S1365" i="1"/>
  <c r="O1365" i="1"/>
  <c r="K1365" i="1"/>
  <c r="J1365" i="1"/>
  <c r="I1365" i="1"/>
  <c r="H1365" i="1"/>
  <c r="G1365" i="1"/>
  <c r="F1365" i="1"/>
  <c r="E1365" i="1"/>
  <c r="D1365" i="1"/>
  <c r="C1365" i="1"/>
  <c r="B1365" i="1"/>
  <c r="A1365" i="1"/>
  <c r="R1364" i="1"/>
  <c r="J1364" i="1"/>
  <c r="I1364" i="1"/>
  <c r="G1364" i="1"/>
  <c r="F1364" i="1"/>
  <c r="E1364" i="1"/>
  <c r="D1364" i="1"/>
  <c r="C1364" i="1"/>
  <c r="B1364" i="1"/>
  <c r="A1364" i="1"/>
  <c r="S1363" i="1"/>
  <c r="O1363" i="1"/>
  <c r="K1363" i="1"/>
  <c r="J1363" i="1"/>
  <c r="I1363" i="1"/>
  <c r="H1363" i="1"/>
  <c r="G1363" i="1"/>
  <c r="F1363" i="1"/>
  <c r="E1363" i="1"/>
  <c r="D1363" i="1"/>
  <c r="C1363" i="1"/>
  <c r="B1363" i="1"/>
  <c r="A1363" i="1"/>
  <c r="R1362" i="1"/>
  <c r="J1362" i="1"/>
  <c r="I1362" i="1"/>
  <c r="G1362" i="1"/>
  <c r="F1362" i="1"/>
  <c r="E1362" i="1"/>
  <c r="D1362" i="1"/>
  <c r="C1362" i="1"/>
  <c r="B1362" i="1"/>
  <c r="A1362" i="1"/>
  <c r="S1361" i="1"/>
  <c r="O1361" i="1"/>
  <c r="K1361" i="1"/>
  <c r="J1361" i="1"/>
  <c r="I1361" i="1"/>
  <c r="H1361" i="1"/>
  <c r="G1361" i="1"/>
  <c r="F1361" i="1"/>
  <c r="E1361" i="1"/>
  <c r="D1361" i="1"/>
  <c r="C1361" i="1"/>
  <c r="B1361" i="1"/>
  <c r="A1361" i="1"/>
  <c r="R1360" i="1"/>
  <c r="J1360" i="1"/>
  <c r="I1360" i="1"/>
  <c r="G1360" i="1"/>
  <c r="F1360" i="1"/>
  <c r="E1360" i="1"/>
  <c r="D1360" i="1"/>
  <c r="C1360" i="1"/>
  <c r="B1360" i="1"/>
  <c r="A1360" i="1"/>
  <c r="S1359" i="1"/>
  <c r="O1359" i="1"/>
  <c r="K1359" i="1"/>
  <c r="J1359" i="1"/>
  <c r="I1359" i="1"/>
  <c r="H1359" i="1"/>
  <c r="G1359" i="1"/>
  <c r="F1359" i="1"/>
  <c r="E1359" i="1"/>
  <c r="D1359" i="1"/>
  <c r="C1359" i="1"/>
  <c r="B1359" i="1"/>
  <c r="A1359" i="1"/>
  <c r="R1358" i="1"/>
  <c r="J1358" i="1"/>
  <c r="I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R1350" i="1"/>
  <c r="J1350" i="1"/>
  <c r="I1350" i="1"/>
  <c r="G1350" i="1"/>
  <c r="F1350" i="1"/>
  <c r="E1350" i="1"/>
  <c r="D1350" i="1"/>
  <c r="C1350" i="1"/>
  <c r="B1350" i="1"/>
  <c r="A1350" i="1"/>
  <c r="S1349" i="1"/>
  <c r="O1349" i="1"/>
  <c r="K1349" i="1"/>
  <c r="J1349" i="1"/>
  <c r="I1349" i="1"/>
  <c r="H1349" i="1"/>
  <c r="G1349" i="1"/>
  <c r="F1349" i="1"/>
  <c r="E1349" i="1"/>
  <c r="D1349" i="1"/>
  <c r="C1349" i="1"/>
  <c r="B1349" i="1"/>
  <c r="A1349" i="1"/>
  <c r="R1348" i="1"/>
  <c r="J1348" i="1"/>
  <c r="I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R1346" i="1"/>
  <c r="J1346" i="1"/>
  <c r="I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R1344" i="1"/>
  <c r="J1344" i="1"/>
  <c r="I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R1338" i="1"/>
  <c r="J1338" i="1"/>
  <c r="I1338" i="1"/>
  <c r="G1338" i="1"/>
  <c r="F1338" i="1"/>
  <c r="E1338" i="1"/>
  <c r="D1338" i="1"/>
  <c r="C1338" i="1"/>
  <c r="B1338" i="1"/>
  <c r="A1338" i="1"/>
  <c r="R1337" i="1"/>
  <c r="J1337" i="1"/>
  <c r="I1337" i="1"/>
  <c r="G1337" i="1"/>
  <c r="F1337" i="1"/>
  <c r="E1337" i="1"/>
  <c r="D1337" i="1"/>
  <c r="C1337" i="1"/>
  <c r="B1337" i="1"/>
  <c r="A1337" i="1"/>
  <c r="R1336" i="1"/>
  <c r="J1336" i="1"/>
  <c r="I1336" i="1"/>
  <c r="G1336" i="1"/>
  <c r="F1336" i="1"/>
  <c r="E1336" i="1"/>
  <c r="D1336" i="1"/>
  <c r="C1336" i="1"/>
  <c r="B1336" i="1"/>
  <c r="A1336" i="1"/>
  <c r="S1335" i="1"/>
  <c r="O1335" i="1"/>
  <c r="K1335" i="1"/>
  <c r="J1335" i="1"/>
  <c r="I1335" i="1"/>
  <c r="H1335" i="1"/>
  <c r="G1335" i="1"/>
  <c r="F1335" i="1"/>
  <c r="E1335" i="1"/>
  <c r="D1335" i="1"/>
  <c r="C1335" i="1"/>
  <c r="B1335" i="1"/>
  <c r="A1335" i="1"/>
  <c r="R1334" i="1"/>
  <c r="J1334" i="1"/>
  <c r="I1334" i="1"/>
  <c r="G1334" i="1"/>
  <c r="F1334" i="1"/>
  <c r="E1334" i="1"/>
  <c r="D1334" i="1"/>
  <c r="C1334" i="1"/>
  <c r="B1334" i="1"/>
  <c r="A1334" i="1"/>
  <c r="S1333" i="1"/>
  <c r="O1333" i="1"/>
  <c r="K1333" i="1"/>
  <c r="J1333" i="1"/>
  <c r="I1333" i="1"/>
  <c r="H1333" i="1"/>
  <c r="G1333" i="1"/>
  <c r="F1333" i="1"/>
  <c r="E1333" i="1"/>
  <c r="D1333" i="1"/>
  <c r="C1333" i="1"/>
  <c r="B1333" i="1"/>
  <c r="A1333" i="1"/>
  <c r="R1332" i="1"/>
  <c r="J1332" i="1"/>
  <c r="I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R1328" i="1"/>
  <c r="J1328" i="1"/>
  <c r="I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R1322" i="1"/>
  <c r="J1322" i="1"/>
  <c r="I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R1320" i="1"/>
  <c r="J1320" i="1"/>
  <c r="I1320" i="1"/>
  <c r="G1320" i="1"/>
  <c r="F1320" i="1"/>
  <c r="E1320" i="1"/>
  <c r="D1320" i="1"/>
  <c r="C1320" i="1"/>
  <c r="B1320" i="1"/>
  <c r="A1320" i="1"/>
  <c r="S1319" i="1"/>
  <c r="O1319" i="1"/>
  <c r="K1319" i="1"/>
  <c r="J1319" i="1"/>
  <c r="I1319" i="1"/>
  <c r="H1319" i="1"/>
  <c r="G1319" i="1"/>
  <c r="F1319" i="1"/>
  <c r="E1319" i="1"/>
  <c r="D1319" i="1"/>
  <c r="C1319" i="1"/>
  <c r="B1319" i="1"/>
  <c r="A1319" i="1"/>
  <c r="R1318" i="1"/>
  <c r="J1318" i="1"/>
  <c r="I1318" i="1"/>
  <c r="G1318" i="1"/>
  <c r="F1318" i="1"/>
  <c r="E1318" i="1"/>
  <c r="D1318" i="1"/>
  <c r="C1318" i="1"/>
  <c r="B1318" i="1"/>
  <c r="A1318" i="1"/>
  <c r="R1317" i="1"/>
  <c r="J1317" i="1"/>
  <c r="I1317" i="1"/>
  <c r="G1317" i="1"/>
  <c r="F1317" i="1"/>
  <c r="E1317" i="1"/>
  <c r="D1317" i="1"/>
  <c r="C1317" i="1"/>
  <c r="B1317" i="1"/>
  <c r="A1317" i="1"/>
  <c r="R1316" i="1"/>
  <c r="J1316" i="1"/>
  <c r="I1316" i="1"/>
  <c r="G1316" i="1"/>
  <c r="F1316" i="1"/>
  <c r="E1316" i="1"/>
  <c r="D1316" i="1"/>
  <c r="C1316" i="1"/>
  <c r="B1316" i="1"/>
  <c r="A1316" i="1"/>
  <c r="R1315" i="1"/>
  <c r="J1315" i="1"/>
  <c r="I1315" i="1"/>
  <c r="G1315" i="1"/>
  <c r="F1315" i="1"/>
  <c r="E1315" i="1"/>
  <c r="D1315" i="1"/>
  <c r="C1315" i="1"/>
  <c r="B1315" i="1"/>
  <c r="A1315" i="1"/>
  <c r="R1314" i="1"/>
  <c r="J1314" i="1"/>
  <c r="I1314" i="1"/>
  <c r="G1314" i="1"/>
  <c r="F1314" i="1"/>
  <c r="E1314" i="1"/>
  <c r="D1314" i="1"/>
  <c r="C1314" i="1"/>
  <c r="B1314" i="1"/>
  <c r="A1314" i="1"/>
  <c r="S1313" i="1"/>
  <c r="O1313" i="1"/>
  <c r="K1313" i="1"/>
  <c r="J1313" i="1"/>
  <c r="I1313" i="1"/>
  <c r="H1313" i="1"/>
  <c r="G1313" i="1"/>
  <c r="F1313" i="1"/>
  <c r="E1313" i="1"/>
  <c r="D1313" i="1"/>
  <c r="C1313" i="1"/>
  <c r="B1313" i="1"/>
  <c r="A1313" i="1"/>
  <c r="R1312" i="1"/>
  <c r="J1312" i="1"/>
  <c r="I1312" i="1"/>
  <c r="G1312" i="1"/>
  <c r="F1312" i="1"/>
  <c r="E1312" i="1"/>
  <c r="D1312" i="1"/>
  <c r="C1312" i="1"/>
  <c r="B1312" i="1"/>
  <c r="A1312" i="1"/>
  <c r="S1311" i="1"/>
  <c r="O1311" i="1"/>
  <c r="K1311" i="1"/>
  <c r="J1311" i="1"/>
  <c r="I1311" i="1"/>
  <c r="H1311" i="1"/>
  <c r="G1311" i="1"/>
  <c r="F1311" i="1"/>
  <c r="E1311" i="1"/>
  <c r="D1311" i="1"/>
  <c r="C1311" i="1"/>
  <c r="B1311" i="1"/>
  <c r="A1311" i="1"/>
  <c r="R1310" i="1"/>
  <c r="J1310" i="1"/>
  <c r="I1310" i="1"/>
  <c r="G1310" i="1"/>
  <c r="F1310" i="1"/>
  <c r="E1310" i="1"/>
  <c r="D1310" i="1"/>
  <c r="C1310" i="1"/>
  <c r="B1310" i="1"/>
  <c r="A1310" i="1"/>
  <c r="S1309" i="1"/>
  <c r="O1309" i="1"/>
  <c r="K1309" i="1"/>
  <c r="J1309" i="1"/>
  <c r="I1309" i="1"/>
  <c r="H1309" i="1"/>
  <c r="G1309" i="1"/>
  <c r="F1309" i="1"/>
  <c r="E1309" i="1"/>
  <c r="D1309" i="1"/>
  <c r="C1309" i="1"/>
  <c r="B1309" i="1"/>
  <c r="A1309" i="1"/>
  <c r="R1308" i="1"/>
  <c r="J1308" i="1"/>
  <c r="I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R1306" i="1"/>
  <c r="J1306" i="1"/>
  <c r="I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R1302" i="1"/>
  <c r="J1302" i="1"/>
  <c r="I1302" i="1"/>
  <c r="G1302" i="1"/>
  <c r="F1302" i="1"/>
  <c r="E1302" i="1"/>
  <c r="D1302" i="1"/>
  <c r="C1302" i="1"/>
  <c r="B1302" i="1"/>
  <c r="A1302" i="1"/>
  <c r="R1301" i="1"/>
  <c r="J1301" i="1"/>
  <c r="I1301" i="1"/>
  <c r="G1301" i="1"/>
  <c r="F1301" i="1"/>
  <c r="E1301" i="1"/>
  <c r="D1301" i="1"/>
  <c r="C1301" i="1"/>
  <c r="B1301" i="1"/>
  <c r="A1301" i="1"/>
  <c r="S1300" i="1"/>
  <c r="O1300" i="1"/>
  <c r="K1300" i="1"/>
  <c r="J1300" i="1"/>
  <c r="I1300" i="1"/>
  <c r="H1300" i="1"/>
  <c r="G1300" i="1"/>
  <c r="F1300" i="1"/>
  <c r="E1300" i="1"/>
  <c r="D1300" i="1"/>
  <c r="C1300" i="1"/>
  <c r="B1300" i="1"/>
  <c r="A1300" i="1"/>
  <c r="R1299" i="1"/>
  <c r="J1299" i="1"/>
  <c r="I1299" i="1"/>
  <c r="G1299" i="1"/>
  <c r="F1299" i="1"/>
  <c r="E1299" i="1"/>
  <c r="D1299" i="1"/>
  <c r="C1299" i="1"/>
  <c r="B1299" i="1"/>
  <c r="A1299" i="1"/>
  <c r="S1298" i="1"/>
  <c r="O1298" i="1"/>
  <c r="K1298" i="1"/>
  <c r="J1298" i="1"/>
  <c r="I1298" i="1"/>
  <c r="H1298" i="1"/>
  <c r="G1298" i="1"/>
  <c r="F1298" i="1"/>
  <c r="E1298" i="1"/>
  <c r="D1298" i="1"/>
  <c r="C1298" i="1"/>
  <c r="B1298" i="1"/>
  <c r="A1298" i="1"/>
  <c r="R1297" i="1"/>
  <c r="J1297" i="1"/>
  <c r="I1297" i="1"/>
  <c r="G1297" i="1"/>
  <c r="F1297" i="1"/>
  <c r="E1297" i="1"/>
  <c r="D1297" i="1"/>
  <c r="C1297" i="1"/>
  <c r="B1297" i="1"/>
  <c r="A1297" i="1"/>
  <c r="S1296" i="1"/>
  <c r="O1296" i="1"/>
  <c r="K1296" i="1"/>
  <c r="J1296" i="1"/>
  <c r="I1296" i="1"/>
  <c r="H1296" i="1"/>
  <c r="G1296" i="1"/>
  <c r="F1296" i="1"/>
  <c r="E1296" i="1"/>
  <c r="D1296" i="1"/>
  <c r="C1296" i="1"/>
  <c r="B1296" i="1"/>
  <c r="A1296" i="1"/>
  <c r="R1295" i="1"/>
  <c r="J1295" i="1"/>
  <c r="I1295" i="1"/>
  <c r="G1295" i="1"/>
  <c r="F1295" i="1"/>
  <c r="E1295" i="1"/>
  <c r="D1295" i="1"/>
  <c r="C1295" i="1"/>
  <c r="B1295" i="1"/>
  <c r="A1295" i="1"/>
  <c r="S1294" i="1"/>
  <c r="O1294" i="1"/>
  <c r="K1294" i="1"/>
  <c r="J1294" i="1"/>
  <c r="I1294" i="1"/>
  <c r="H1294" i="1"/>
  <c r="G1294" i="1"/>
  <c r="F1294" i="1"/>
  <c r="E1294" i="1"/>
  <c r="D1294" i="1"/>
  <c r="C1294" i="1"/>
  <c r="B1294" i="1"/>
  <c r="A1294" i="1"/>
  <c r="R1293" i="1"/>
  <c r="J1293" i="1"/>
  <c r="I1293" i="1"/>
  <c r="G1293" i="1"/>
  <c r="F1293" i="1"/>
  <c r="E1293" i="1"/>
  <c r="D1293" i="1"/>
  <c r="C1293" i="1"/>
  <c r="B1293" i="1"/>
  <c r="A1293" i="1"/>
  <c r="S1292" i="1"/>
  <c r="O1292" i="1"/>
  <c r="K1292" i="1"/>
  <c r="J1292" i="1"/>
  <c r="I1292" i="1"/>
  <c r="H1292" i="1"/>
  <c r="G1292" i="1"/>
  <c r="F1292" i="1"/>
  <c r="E1292" i="1"/>
  <c r="D1292" i="1"/>
  <c r="C1292" i="1"/>
  <c r="B1292" i="1"/>
  <c r="A1292" i="1"/>
  <c r="R1291" i="1"/>
  <c r="J1291" i="1"/>
  <c r="I1291" i="1"/>
  <c r="G1291" i="1"/>
  <c r="F1291" i="1"/>
  <c r="E1291" i="1"/>
  <c r="D1291" i="1"/>
  <c r="C1291" i="1"/>
  <c r="B1291" i="1"/>
  <c r="A1291" i="1"/>
  <c r="S1290" i="1"/>
  <c r="O1290" i="1"/>
  <c r="K1290" i="1"/>
  <c r="J1290" i="1"/>
  <c r="I1290" i="1"/>
  <c r="H1290" i="1"/>
  <c r="G1290" i="1"/>
  <c r="F1290" i="1"/>
  <c r="E1290" i="1"/>
  <c r="D1290" i="1"/>
  <c r="C1290" i="1"/>
  <c r="B1290" i="1"/>
  <c r="A1290" i="1"/>
  <c r="R1289" i="1"/>
  <c r="J1289" i="1"/>
  <c r="I1289" i="1"/>
  <c r="G1289" i="1"/>
  <c r="F1289" i="1"/>
  <c r="E1289" i="1"/>
  <c r="D1289" i="1"/>
  <c r="C1289" i="1"/>
  <c r="B1289" i="1"/>
  <c r="A1289" i="1"/>
  <c r="S1288" i="1"/>
  <c r="O1288" i="1"/>
  <c r="K1288" i="1"/>
  <c r="J1288" i="1"/>
  <c r="I1288" i="1"/>
  <c r="H1288" i="1"/>
  <c r="G1288" i="1"/>
  <c r="F1288" i="1"/>
  <c r="E1288" i="1"/>
  <c r="D1288" i="1"/>
  <c r="C1288" i="1"/>
  <c r="B1288" i="1"/>
  <c r="A1288" i="1"/>
  <c r="R1287" i="1"/>
  <c r="J1287" i="1"/>
  <c r="I1287" i="1"/>
  <c r="G1287" i="1"/>
  <c r="F1287" i="1"/>
  <c r="E1287" i="1"/>
  <c r="D1287" i="1"/>
  <c r="C1287" i="1"/>
  <c r="B1287" i="1"/>
  <c r="A1287" i="1"/>
  <c r="S1286" i="1"/>
  <c r="O1286" i="1"/>
  <c r="K1286" i="1"/>
  <c r="J1286" i="1"/>
  <c r="I1286" i="1"/>
  <c r="H1286" i="1"/>
  <c r="G1286" i="1"/>
  <c r="F1286" i="1"/>
  <c r="E1286" i="1"/>
  <c r="D1286" i="1"/>
  <c r="C1286" i="1"/>
  <c r="B1286" i="1"/>
  <c r="A1286" i="1"/>
  <c r="R1285" i="1"/>
  <c r="J1285" i="1"/>
  <c r="I1285" i="1"/>
  <c r="G1285" i="1"/>
  <c r="F1285" i="1"/>
  <c r="E1285" i="1"/>
  <c r="D1285" i="1"/>
  <c r="C1285" i="1"/>
  <c r="B1285" i="1"/>
  <c r="A1285" i="1"/>
  <c r="S1284" i="1"/>
  <c r="O1284" i="1"/>
  <c r="K1284" i="1"/>
  <c r="J1284" i="1"/>
  <c r="I1284" i="1"/>
  <c r="H1284" i="1"/>
  <c r="G1284" i="1"/>
  <c r="F1284" i="1"/>
  <c r="E1284" i="1"/>
  <c r="D1284" i="1"/>
  <c r="C1284" i="1"/>
  <c r="B1284" i="1"/>
  <c r="A1284" i="1"/>
  <c r="R1283" i="1"/>
  <c r="J1283" i="1"/>
  <c r="I1283" i="1"/>
  <c r="G1283" i="1"/>
  <c r="F1283" i="1"/>
  <c r="E1283" i="1"/>
  <c r="D1283" i="1"/>
  <c r="C1283" i="1"/>
  <c r="B1283" i="1"/>
  <c r="A1283" i="1"/>
  <c r="S1282" i="1"/>
  <c r="O1282" i="1"/>
  <c r="K1282" i="1"/>
  <c r="J1282" i="1"/>
  <c r="I1282" i="1"/>
  <c r="H1282" i="1"/>
  <c r="G1282" i="1"/>
  <c r="F1282" i="1"/>
  <c r="E1282" i="1"/>
  <c r="D1282" i="1"/>
  <c r="C1282" i="1"/>
  <c r="B1282" i="1"/>
  <c r="A1282" i="1"/>
  <c r="R1281" i="1"/>
  <c r="J1281" i="1"/>
  <c r="I1281" i="1"/>
  <c r="G1281" i="1"/>
  <c r="F1281" i="1"/>
  <c r="E1281" i="1"/>
  <c r="D1281" i="1"/>
  <c r="C1281" i="1"/>
  <c r="B1281" i="1"/>
  <c r="A1281" i="1"/>
  <c r="S1280" i="1"/>
  <c r="O1280" i="1"/>
  <c r="K1280" i="1"/>
  <c r="J1280" i="1"/>
  <c r="I1280" i="1"/>
  <c r="H1280" i="1"/>
  <c r="G1280" i="1"/>
  <c r="F1280" i="1"/>
  <c r="E1280" i="1"/>
  <c r="D1280" i="1"/>
  <c r="C1280" i="1"/>
  <c r="B1280" i="1"/>
  <c r="A1280" i="1"/>
  <c r="R1279" i="1"/>
  <c r="J1279" i="1"/>
  <c r="I1279" i="1"/>
  <c r="G1279" i="1"/>
  <c r="F1279" i="1"/>
  <c r="E1279" i="1"/>
  <c r="D1279" i="1"/>
  <c r="C1279" i="1"/>
  <c r="B1279" i="1"/>
  <c r="A1279" i="1"/>
  <c r="S1278" i="1"/>
  <c r="O1278" i="1"/>
  <c r="K1278" i="1"/>
  <c r="J1278" i="1"/>
  <c r="I1278" i="1"/>
  <c r="H1278" i="1"/>
  <c r="G1278" i="1"/>
  <c r="F1278" i="1"/>
  <c r="E1278" i="1"/>
  <c r="D1278" i="1"/>
  <c r="C1278" i="1"/>
  <c r="B1278" i="1"/>
  <c r="A1278" i="1"/>
  <c r="R1277" i="1"/>
  <c r="J1277" i="1"/>
  <c r="I1277" i="1"/>
  <c r="G1277" i="1"/>
  <c r="F1277" i="1"/>
  <c r="E1277" i="1"/>
  <c r="D1277" i="1"/>
  <c r="C1277" i="1"/>
  <c r="B1277" i="1"/>
  <c r="A1277" i="1"/>
  <c r="S1276" i="1"/>
  <c r="O1276" i="1"/>
  <c r="K1276" i="1"/>
  <c r="J1276" i="1"/>
  <c r="I1276" i="1"/>
  <c r="H1276" i="1"/>
  <c r="G1276" i="1"/>
  <c r="F1276" i="1"/>
  <c r="E1276" i="1"/>
  <c r="D1276" i="1"/>
  <c r="C1276" i="1"/>
  <c r="B1276" i="1"/>
  <c r="A1276" i="1"/>
  <c r="R1275" i="1"/>
  <c r="J1275" i="1"/>
  <c r="I1275" i="1"/>
  <c r="G1275" i="1"/>
  <c r="F1275" i="1"/>
  <c r="E1275" i="1"/>
  <c r="D1275" i="1"/>
  <c r="C1275" i="1"/>
  <c r="B1275" i="1"/>
  <c r="A1275" i="1"/>
  <c r="S1274" i="1"/>
  <c r="O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J1273" i="1"/>
  <c r="I1273" i="1"/>
  <c r="G1273" i="1"/>
  <c r="F1273" i="1"/>
  <c r="E1273" i="1"/>
  <c r="D1273" i="1"/>
  <c r="C1273" i="1"/>
  <c r="B1273" i="1"/>
  <c r="A1273" i="1"/>
  <c r="S1272" i="1"/>
  <c r="O1272" i="1"/>
  <c r="K1272" i="1"/>
  <c r="J1272" i="1"/>
  <c r="I1272" i="1"/>
  <c r="H1272" i="1"/>
  <c r="G1272" i="1"/>
  <c r="F1272" i="1"/>
  <c r="E1272" i="1"/>
  <c r="D1272" i="1"/>
  <c r="C1272" i="1"/>
  <c r="B1272" i="1"/>
  <c r="A1272" i="1"/>
  <c r="R1271" i="1"/>
  <c r="J1271" i="1"/>
  <c r="I1271" i="1"/>
  <c r="G1271" i="1"/>
  <c r="F1271" i="1"/>
  <c r="E1271" i="1"/>
  <c r="D1271" i="1"/>
  <c r="C1271" i="1"/>
  <c r="B1271" i="1"/>
  <c r="A1271" i="1"/>
  <c r="R1270" i="1"/>
  <c r="J1270" i="1"/>
  <c r="I1270" i="1"/>
  <c r="G1270" i="1"/>
  <c r="F1270" i="1"/>
  <c r="E1270" i="1"/>
  <c r="D1270" i="1"/>
  <c r="C1270" i="1"/>
  <c r="B1270" i="1"/>
  <c r="A1270" i="1"/>
  <c r="S1269" i="1"/>
  <c r="O1269" i="1"/>
  <c r="K1269" i="1"/>
  <c r="J1269" i="1"/>
  <c r="I1269" i="1"/>
  <c r="H1269" i="1"/>
  <c r="G1269" i="1"/>
  <c r="F1269" i="1"/>
  <c r="E1269" i="1"/>
  <c r="D1269" i="1"/>
  <c r="C1269" i="1"/>
  <c r="B1269" i="1"/>
  <c r="A1269" i="1"/>
  <c r="R1268" i="1"/>
  <c r="J1268" i="1"/>
  <c r="I1268" i="1"/>
  <c r="G1268" i="1"/>
  <c r="F1268" i="1"/>
  <c r="E1268" i="1"/>
  <c r="D1268" i="1"/>
  <c r="C1268" i="1"/>
  <c r="B1268" i="1"/>
  <c r="A1268" i="1"/>
  <c r="R1267" i="1"/>
  <c r="J1267" i="1"/>
  <c r="I1267" i="1"/>
  <c r="G1267" i="1"/>
  <c r="F1267" i="1"/>
  <c r="E1267" i="1"/>
  <c r="D1267" i="1"/>
  <c r="C1267" i="1"/>
  <c r="B1267" i="1"/>
  <c r="A1267" i="1"/>
  <c r="S1266" i="1"/>
  <c r="O1266" i="1"/>
  <c r="K1266" i="1"/>
  <c r="J1266" i="1"/>
  <c r="I1266" i="1"/>
  <c r="H1266" i="1"/>
  <c r="G1266" i="1"/>
  <c r="F1266" i="1"/>
  <c r="E1266" i="1"/>
  <c r="D1266" i="1"/>
  <c r="C1266" i="1"/>
  <c r="B1266" i="1"/>
  <c r="A1266" i="1"/>
  <c r="R1265" i="1"/>
  <c r="J1265" i="1"/>
  <c r="I1265" i="1"/>
  <c r="G1265" i="1"/>
  <c r="F1265" i="1"/>
  <c r="E1265" i="1"/>
  <c r="D1265" i="1"/>
  <c r="C1265" i="1"/>
  <c r="B1265" i="1"/>
  <c r="A1265" i="1"/>
  <c r="S1264" i="1"/>
  <c r="O1264" i="1"/>
  <c r="K1264" i="1"/>
  <c r="J1264" i="1"/>
  <c r="I1264" i="1"/>
  <c r="H1264" i="1"/>
  <c r="G1264" i="1"/>
  <c r="F1264" i="1"/>
  <c r="E1264" i="1"/>
  <c r="D1264" i="1"/>
  <c r="C1264" i="1"/>
  <c r="B1264" i="1"/>
  <c r="A1264" i="1"/>
  <c r="S1263" i="1"/>
  <c r="O1263" i="1"/>
  <c r="K1263" i="1"/>
  <c r="J1263" i="1"/>
  <c r="I1263" i="1"/>
  <c r="H1263" i="1"/>
  <c r="G1263" i="1"/>
  <c r="F1263" i="1"/>
  <c r="D1263" i="1"/>
  <c r="C1263" i="1"/>
  <c r="B1263" i="1"/>
  <c r="A1263" i="1"/>
  <c r="S1262" i="1"/>
  <c r="O1262" i="1"/>
  <c r="K1262" i="1"/>
  <c r="J1262" i="1"/>
  <c r="I1262" i="1"/>
  <c r="H1262" i="1"/>
  <c r="G1262" i="1"/>
  <c r="F1262" i="1"/>
  <c r="D1262" i="1"/>
  <c r="C1262" i="1"/>
  <c r="B1262" i="1"/>
  <c r="A1262" i="1"/>
  <c r="R1261" i="1"/>
  <c r="J1261" i="1"/>
  <c r="I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S1258" i="1"/>
  <c r="O1258" i="1"/>
  <c r="K1258" i="1"/>
  <c r="J1258" i="1"/>
  <c r="I1258" i="1"/>
  <c r="H1258" i="1"/>
  <c r="G1258" i="1"/>
  <c r="F1258" i="1"/>
  <c r="E1258" i="1"/>
  <c r="D1258" i="1"/>
  <c r="C1258" i="1"/>
  <c r="B1258" i="1"/>
  <c r="A1258" i="1"/>
  <c r="R1257" i="1"/>
  <c r="J1257" i="1"/>
  <c r="I1257" i="1"/>
  <c r="G1257" i="1"/>
  <c r="F1257" i="1"/>
  <c r="E1257" i="1"/>
  <c r="D1257" i="1"/>
  <c r="C1257" i="1"/>
  <c r="B1257" i="1"/>
  <c r="A1257" i="1"/>
  <c r="S1256" i="1"/>
  <c r="O1256" i="1"/>
  <c r="K1256" i="1"/>
  <c r="J1256" i="1"/>
  <c r="I1256" i="1"/>
  <c r="H1256" i="1"/>
  <c r="G1256" i="1"/>
  <c r="F1256" i="1"/>
  <c r="E1256" i="1"/>
  <c r="D1256" i="1"/>
  <c r="C1256" i="1"/>
  <c r="B1256" i="1"/>
  <c r="A1256" i="1"/>
  <c r="R1255" i="1"/>
  <c r="J1255" i="1"/>
  <c r="I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R1253" i="1"/>
  <c r="J1253" i="1"/>
  <c r="I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R1251" i="1"/>
  <c r="J1251" i="1"/>
  <c r="I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R1249" i="1"/>
  <c r="J1249" i="1"/>
  <c r="I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R1247" i="1"/>
  <c r="J1247" i="1"/>
  <c r="I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R1245" i="1"/>
  <c r="J1245" i="1"/>
  <c r="I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R1243" i="1"/>
  <c r="J1243" i="1"/>
  <c r="I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R1241" i="1"/>
  <c r="J1241" i="1"/>
  <c r="I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R1239" i="1"/>
  <c r="J1239" i="1"/>
  <c r="I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R1237" i="1"/>
  <c r="J1237" i="1"/>
  <c r="I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R1235" i="1"/>
  <c r="J1235" i="1"/>
  <c r="I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R1233" i="1"/>
  <c r="J1233" i="1"/>
  <c r="I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R1231" i="1"/>
  <c r="J1231" i="1"/>
  <c r="I1231" i="1"/>
  <c r="G1231" i="1"/>
  <c r="F1231" i="1"/>
  <c r="E1231" i="1"/>
  <c r="D1231" i="1"/>
  <c r="C1231" i="1"/>
  <c r="B1231" i="1"/>
  <c r="A1231" i="1"/>
  <c r="R1230" i="1"/>
  <c r="J1230" i="1"/>
  <c r="I1230" i="1"/>
  <c r="G1230" i="1"/>
  <c r="F1230" i="1"/>
  <c r="E1230" i="1"/>
  <c r="D1230" i="1"/>
  <c r="C1230" i="1"/>
  <c r="B1230" i="1"/>
  <c r="A1230" i="1"/>
  <c r="R1229" i="1"/>
  <c r="J1229" i="1"/>
  <c r="I1229" i="1"/>
  <c r="G1229" i="1"/>
  <c r="F1229" i="1"/>
  <c r="E1229" i="1"/>
  <c r="D1229" i="1"/>
  <c r="C1229" i="1"/>
  <c r="B1229" i="1"/>
  <c r="A1229" i="1"/>
  <c r="R1228" i="1"/>
  <c r="J1228" i="1"/>
  <c r="I1228" i="1"/>
  <c r="G1228" i="1"/>
  <c r="F1228" i="1"/>
  <c r="E1228" i="1"/>
  <c r="D1228" i="1"/>
  <c r="C1228" i="1"/>
  <c r="B1228" i="1"/>
  <c r="A1228" i="1"/>
  <c r="R1227" i="1"/>
  <c r="J1227" i="1"/>
  <c r="I1227" i="1"/>
  <c r="G1227" i="1"/>
  <c r="F1227" i="1"/>
  <c r="E1227" i="1"/>
  <c r="D1227" i="1"/>
  <c r="C1227" i="1"/>
  <c r="B1227" i="1"/>
  <c r="A1227" i="1"/>
  <c r="R1226" i="1"/>
  <c r="J1226" i="1"/>
  <c r="I1226" i="1"/>
  <c r="G1226" i="1"/>
  <c r="F1226" i="1"/>
  <c r="E1226" i="1"/>
  <c r="D1226" i="1"/>
  <c r="C1226" i="1"/>
  <c r="B1226" i="1"/>
  <c r="A1226" i="1"/>
  <c r="R1225" i="1"/>
  <c r="J1225" i="1"/>
  <c r="I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R1223" i="1"/>
  <c r="J1223" i="1"/>
  <c r="I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R1221" i="1"/>
  <c r="J1221" i="1"/>
  <c r="I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R1219" i="1"/>
  <c r="J1219" i="1"/>
  <c r="I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R1217" i="1"/>
  <c r="J1217" i="1"/>
  <c r="I1217" i="1"/>
  <c r="G1217" i="1"/>
  <c r="F1217" i="1"/>
  <c r="E1217" i="1"/>
  <c r="D1217" i="1"/>
  <c r="C1217" i="1"/>
  <c r="B1217" i="1"/>
  <c r="A1217" i="1"/>
  <c r="R1216" i="1"/>
  <c r="J1216" i="1"/>
  <c r="I1216" i="1"/>
  <c r="G1216" i="1"/>
  <c r="F1216" i="1"/>
  <c r="E1216" i="1"/>
  <c r="D1216" i="1"/>
  <c r="C1216" i="1"/>
  <c r="B1216" i="1"/>
  <c r="A1216" i="1"/>
  <c r="R1215" i="1"/>
  <c r="J1215" i="1"/>
  <c r="I1215" i="1"/>
  <c r="G1215" i="1"/>
  <c r="F1215" i="1"/>
  <c r="E1215" i="1"/>
  <c r="D1215" i="1"/>
  <c r="C1215" i="1"/>
  <c r="B1215" i="1"/>
  <c r="A1215" i="1"/>
  <c r="R1214" i="1"/>
  <c r="J1214" i="1"/>
  <c r="I1214" i="1"/>
  <c r="G1214" i="1"/>
  <c r="F1214" i="1"/>
  <c r="E1214" i="1"/>
  <c r="D1214" i="1"/>
  <c r="C1214" i="1"/>
  <c r="B1214" i="1"/>
  <c r="A1214" i="1"/>
  <c r="R1213" i="1"/>
  <c r="J1213" i="1"/>
  <c r="I1213" i="1"/>
  <c r="G1213" i="1"/>
  <c r="F1213" i="1"/>
  <c r="E1213" i="1"/>
  <c r="D1213" i="1"/>
  <c r="C1213" i="1"/>
  <c r="B1213" i="1"/>
  <c r="A1213" i="1"/>
  <c r="R1212" i="1"/>
  <c r="J1212" i="1"/>
  <c r="I1212" i="1"/>
  <c r="G1212" i="1"/>
  <c r="F1212" i="1"/>
  <c r="E1212" i="1"/>
  <c r="D1212" i="1"/>
  <c r="C1212" i="1"/>
  <c r="B1212" i="1"/>
  <c r="A1212" i="1"/>
  <c r="R1211" i="1"/>
  <c r="J1211" i="1"/>
  <c r="I1211" i="1"/>
  <c r="G1211" i="1"/>
  <c r="F1211" i="1"/>
  <c r="E1211" i="1"/>
  <c r="D1211" i="1"/>
  <c r="C1211" i="1"/>
  <c r="B1211" i="1"/>
  <c r="A1211" i="1"/>
  <c r="R1210" i="1"/>
  <c r="J1210" i="1"/>
  <c r="I1210" i="1"/>
  <c r="G1210" i="1"/>
  <c r="F1210" i="1"/>
  <c r="E1210" i="1"/>
  <c r="D1210" i="1"/>
  <c r="C1210" i="1"/>
  <c r="B1210" i="1"/>
  <c r="A1210" i="1"/>
  <c r="R1209" i="1"/>
  <c r="J1209" i="1"/>
  <c r="I1209" i="1"/>
  <c r="G1209" i="1"/>
  <c r="F1209" i="1"/>
  <c r="E1209" i="1"/>
  <c r="D1209" i="1"/>
  <c r="C1209" i="1"/>
  <c r="B1209" i="1"/>
  <c r="A1209" i="1"/>
  <c r="R1208" i="1"/>
  <c r="J1208" i="1"/>
  <c r="I1208" i="1"/>
  <c r="G1208" i="1"/>
  <c r="F1208" i="1"/>
  <c r="E1208" i="1"/>
  <c r="D1208" i="1"/>
  <c r="C1208" i="1"/>
  <c r="B1208" i="1"/>
  <c r="A1208" i="1"/>
  <c r="R1207" i="1"/>
  <c r="J1207" i="1"/>
  <c r="I1207" i="1"/>
  <c r="G1207" i="1"/>
  <c r="F1207" i="1"/>
  <c r="E1207" i="1"/>
  <c r="D1207" i="1"/>
  <c r="C1207" i="1"/>
  <c r="B1207" i="1"/>
  <c r="A1207" i="1"/>
  <c r="R1206" i="1"/>
  <c r="J1206" i="1"/>
  <c r="I1206" i="1"/>
  <c r="G1206" i="1"/>
  <c r="F1206" i="1"/>
  <c r="E1206" i="1"/>
  <c r="D1206" i="1"/>
  <c r="C1206" i="1"/>
  <c r="B1206" i="1"/>
  <c r="A1206" i="1"/>
  <c r="S1205" i="1"/>
  <c r="O1205" i="1"/>
  <c r="K1205" i="1"/>
  <c r="J1205" i="1"/>
  <c r="I1205" i="1"/>
  <c r="H1205" i="1"/>
  <c r="G1205" i="1"/>
  <c r="F1205" i="1"/>
  <c r="E1205" i="1"/>
  <c r="D1205" i="1"/>
  <c r="C1205" i="1"/>
  <c r="B1205" i="1"/>
  <c r="A1205" i="1"/>
  <c r="R1204" i="1"/>
  <c r="J1204" i="1"/>
  <c r="I1204" i="1"/>
  <c r="G1204" i="1"/>
  <c r="F1204" i="1"/>
  <c r="E1204" i="1"/>
  <c r="D1204" i="1"/>
  <c r="C1204" i="1"/>
  <c r="B1204" i="1"/>
  <c r="A1204" i="1"/>
  <c r="R1203" i="1"/>
  <c r="J1203" i="1"/>
  <c r="I1203" i="1"/>
  <c r="G1203" i="1"/>
  <c r="F1203" i="1"/>
  <c r="E1203" i="1"/>
  <c r="D1203" i="1"/>
  <c r="C1203" i="1"/>
  <c r="B1203" i="1"/>
  <c r="A1203" i="1"/>
  <c r="R1202" i="1"/>
  <c r="J1202" i="1"/>
  <c r="I1202" i="1"/>
  <c r="G1202" i="1"/>
  <c r="F1202" i="1"/>
  <c r="E1202" i="1"/>
  <c r="D1202" i="1"/>
  <c r="C1202" i="1"/>
  <c r="B1202" i="1"/>
  <c r="A1202" i="1"/>
  <c r="R1201" i="1"/>
  <c r="J1201" i="1"/>
  <c r="I1201" i="1"/>
  <c r="G1201" i="1"/>
  <c r="F1201" i="1"/>
  <c r="E1201" i="1"/>
  <c r="D1201" i="1"/>
  <c r="C1201" i="1"/>
  <c r="B1201" i="1"/>
  <c r="A1201" i="1"/>
  <c r="R1200" i="1"/>
  <c r="J1200" i="1"/>
  <c r="I1200" i="1"/>
  <c r="G1200" i="1"/>
  <c r="F1200" i="1"/>
  <c r="E1200" i="1"/>
  <c r="D1200" i="1"/>
  <c r="C1200" i="1"/>
  <c r="B1200" i="1"/>
  <c r="A1200" i="1"/>
  <c r="R1199" i="1"/>
  <c r="J1199" i="1"/>
  <c r="I1199" i="1"/>
  <c r="G1199" i="1"/>
  <c r="F1199" i="1"/>
  <c r="E1199" i="1"/>
  <c r="D1199" i="1"/>
  <c r="C1199" i="1"/>
  <c r="B1199" i="1"/>
  <c r="A1199" i="1"/>
  <c r="R1198" i="1"/>
  <c r="J1198" i="1"/>
  <c r="I1198" i="1"/>
  <c r="G1198" i="1"/>
  <c r="F1198" i="1"/>
  <c r="E1198" i="1"/>
  <c r="D1198" i="1"/>
  <c r="C1198" i="1"/>
  <c r="B1198" i="1"/>
  <c r="A1198" i="1"/>
  <c r="R1197" i="1"/>
  <c r="J1197" i="1"/>
  <c r="I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R1195" i="1"/>
  <c r="J1195" i="1"/>
  <c r="I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R1193" i="1"/>
  <c r="J1193" i="1"/>
  <c r="I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R1191" i="1"/>
  <c r="J1191" i="1"/>
  <c r="I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R1189" i="1"/>
  <c r="J1189" i="1"/>
  <c r="I1189" i="1"/>
  <c r="G1189" i="1"/>
  <c r="F1189" i="1"/>
  <c r="E1189" i="1"/>
  <c r="D1189" i="1"/>
  <c r="C1189" i="1"/>
  <c r="B1189" i="1"/>
  <c r="A1189" i="1"/>
  <c r="R1188" i="1"/>
  <c r="J1188" i="1"/>
  <c r="I1188" i="1"/>
  <c r="G1188" i="1"/>
  <c r="F1188" i="1"/>
  <c r="E1188" i="1"/>
  <c r="D1188" i="1"/>
  <c r="C1188" i="1"/>
  <c r="B1188" i="1"/>
  <c r="A1188" i="1"/>
  <c r="S1187" i="1"/>
  <c r="O1187" i="1"/>
  <c r="K1187" i="1"/>
  <c r="J1187" i="1"/>
  <c r="I1187" i="1"/>
  <c r="H1187" i="1"/>
  <c r="G1187" i="1"/>
  <c r="F1187" i="1"/>
  <c r="E1187" i="1"/>
  <c r="D1187" i="1"/>
  <c r="C1187" i="1"/>
  <c r="B1187" i="1"/>
  <c r="A1187" i="1"/>
  <c r="R1186" i="1"/>
  <c r="J1186" i="1"/>
  <c r="I1186" i="1"/>
  <c r="G1186" i="1"/>
  <c r="F1186" i="1"/>
  <c r="E1186" i="1"/>
  <c r="D1186" i="1"/>
  <c r="C1186" i="1"/>
  <c r="B1186" i="1"/>
  <c r="A1186" i="1"/>
  <c r="R1185" i="1"/>
  <c r="J1185" i="1"/>
  <c r="I1185" i="1"/>
  <c r="G1185" i="1"/>
  <c r="F1185" i="1"/>
  <c r="E1185" i="1"/>
  <c r="D1185" i="1"/>
  <c r="C1185" i="1"/>
  <c r="B1185" i="1"/>
  <c r="A1185" i="1"/>
  <c r="R1184" i="1"/>
  <c r="J1184" i="1"/>
  <c r="I1184" i="1"/>
  <c r="G1184" i="1"/>
  <c r="F1184" i="1"/>
  <c r="E1184" i="1"/>
  <c r="D1184" i="1"/>
  <c r="C1184" i="1"/>
  <c r="B1184" i="1"/>
  <c r="A1184" i="1"/>
  <c r="R1183" i="1"/>
  <c r="J1183" i="1"/>
  <c r="I1183" i="1"/>
  <c r="G1183" i="1"/>
  <c r="F1183" i="1"/>
  <c r="E1183" i="1"/>
  <c r="D1183" i="1"/>
  <c r="C1183" i="1"/>
  <c r="B1183" i="1"/>
  <c r="A1183" i="1"/>
  <c r="R1182" i="1"/>
  <c r="J1182" i="1"/>
  <c r="I1182" i="1"/>
  <c r="G1182" i="1"/>
  <c r="F1182" i="1"/>
  <c r="E1182" i="1"/>
  <c r="D1182" i="1"/>
  <c r="C1182" i="1"/>
  <c r="B1182" i="1"/>
  <c r="A1182" i="1"/>
  <c r="R1181" i="1"/>
  <c r="J1181" i="1"/>
  <c r="I1181" i="1"/>
  <c r="G1181" i="1"/>
  <c r="F1181" i="1"/>
  <c r="E1181" i="1"/>
  <c r="D1181" i="1"/>
  <c r="C1181" i="1"/>
  <c r="B1181" i="1"/>
  <c r="A1181" i="1"/>
  <c r="R1180" i="1"/>
  <c r="J1180" i="1"/>
  <c r="I1180" i="1"/>
  <c r="G1180" i="1"/>
  <c r="F1180" i="1"/>
  <c r="E1180" i="1"/>
  <c r="D1180" i="1"/>
  <c r="C1180" i="1"/>
  <c r="B1180" i="1"/>
  <c r="A1180" i="1"/>
  <c r="R1179" i="1"/>
  <c r="J1179" i="1"/>
  <c r="I1179" i="1"/>
  <c r="G1179" i="1"/>
  <c r="F1179" i="1"/>
  <c r="E1179" i="1"/>
  <c r="D1179" i="1"/>
  <c r="C1179" i="1"/>
  <c r="B1179" i="1"/>
  <c r="A1179" i="1"/>
  <c r="R1178" i="1"/>
  <c r="J1178" i="1"/>
  <c r="I1178" i="1"/>
  <c r="G1178" i="1"/>
  <c r="F1178" i="1"/>
  <c r="E1178" i="1"/>
  <c r="D1178" i="1"/>
  <c r="C1178" i="1"/>
  <c r="B1178" i="1"/>
  <c r="A1178" i="1"/>
  <c r="R1177" i="1"/>
  <c r="J1177" i="1"/>
  <c r="I1177" i="1"/>
  <c r="G1177" i="1"/>
  <c r="F1177" i="1"/>
  <c r="E1177" i="1"/>
  <c r="D1177" i="1"/>
  <c r="C1177" i="1"/>
  <c r="B1177" i="1"/>
  <c r="A1177" i="1"/>
  <c r="R1176" i="1"/>
  <c r="J1176" i="1"/>
  <c r="I1176" i="1"/>
  <c r="G1176" i="1"/>
  <c r="F1176" i="1"/>
  <c r="E1176" i="1"/>
  <c r="D1176" i="1"/>
  <c r="C1176" i="1"/>
  <c r="B1176" i="1"/>
  <c r="A1176" i="1"/>
  <c r="S1175" i="1"/>
  <c r="O1175" i="1"/>
  <c r="K1175" i="1"/>
  <c r="J1175" i="1"/>
  <c r="I1175" i="1"/>
  <c r="H1175" i="1"/>
  <c r="G1175" i="1"/>
  <c r="F1175" i="1"/>
  <c r="E1175" i="1"/>
  <c r="D1175" i="1"/>
  <c r="C1175" i="1"/>
  <c r="B1175" i="1"/>
  <c r="A1175" i="1"/>
  <c r="R1174" i="1"/>
  <c r="J1174" i="1"/>
  <c r="I1174" i="1"/>
  <c r="G1174" i="1"/>
  <c r="F1174" i="1"/>
  <c r="E1174" i="1"/>
  <c r="D1174" i="1"/>
  <c r="C1174" i="1"/>
  <c r="B1174" i="1"/>
  <c r="A1174" i="1"/>
  <c r="S1173" i="1"/>
  <c r="O1173" i="1"/>
  <c r="K1173" i="1"/>
  <c r="J1173" i="1"/>
  <c r="I1173" i="1"/>
  <c r="H1173" i="1"/>
  <c r="G1173" i="1"/>
  <c r="F1173" i="1"/>
  <c r="E1173" i="1"/>
  <c r="D1173" i="1"/>
  <c r="C1173" i="1"/>
  <c r="B1173" i="1"/>
  <c r="A1173" i="1"/>
  <c r="R1172" i="1"/>
  <c r="J1172" i="1"/>
  <c r="I1172" i="1"/>
  <c r="G1172" i="1"/>
  <c r="F1172" i="1"/>
  <c r="E1172" i="1"/>
  <c r="D1172" i="1"/>
  <c r="C1172" i="1"/>
  <c r="B1172" i="1"/>
  <c r="A1172" i="1"/>
  <c r="S1171" i="1"/>
  <c r="O1171" i="1"/>
  <c r="K1171" i="1"/>
  <c r="J1171" i="1"/>
  <c r="I1171" i="1"/>
  <c r="H1171" i="1"/>
  <c r="G1171" i="1"/>
  <c r="F1171" i="1"/>
  <c r="E1171" i="1"/>
  <c r="D1171" i="1"/>
  <c r="C1171" i="1"/>
  <c r="B1171" i="1"/>
  <c r="A1171" i="1"/>
  <c r="R1170" i="1"/>
  <c r="J1170" i="1"/>
  <c r="I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R1168" i="1"/>
  <c r="J1168" i="1"/>
  <c r="I1168" i="1"/>
  <c r="G1168" i="1"/>
  <c r="F1168" i="1"/>
  <c r="E1168" i="1"/>
  <c r="D1168" i="1"/>
  <c r="C1168" i="1"/>
  <c r="B1168" i="1"/>
  <c r="A1168" i="1"/>
  <c r="R1167" i="1"/>
  <c r="J1167" i="1"/>
  <c r="I1167" i="1"/>
  <c r="G1167" i="1"/>
  <c r="F1167" i="1"/>
  <c r="E1167" i="1"/>
  <c r="D1167" i="1"/>
  <c r="C1167" i="1"/>
  <c r="B1167" i="1"/>
  <c r="A1167" i="1"/>
  <c r="R1166" i="1"/>
  <c r="J1166" i="1"/>
  <c r="I1166" i="1"/>
  <c r="G1166" i="1"/>
  <c r="F1166" i="1"/>
  <c r="E1166" i="1"/>
  <c r="D1166" i="1"/>
  <c r="C1166" i="1"/>
  <c r="B1166" i="1"/>
  <c r="A1166" i="1"/>
  <c r="S1165" i="1"/>
  <c r="O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J1164" i="1"/>
  <c r="I1164" i="1"/>
  <c r="G1164" i="1"/>
  <c r="F1164" i="1"/>
  <c r="E1164" i="1"/>
  <c r="D1164" i="1"/>
  <c r="C1164" i="1"/>
  <c r="B1164" i="1"/>
  <c r="A1164" i="1"/>
  <c r="S1163" i="1"/>
  <c r="O1163" i="1"/>
  <c r="K1163" i="1"/>
  <c r="J1163" i="1"/>
  <c r="I1163" i="1"/>
  <c r="H1163" i="1"/>
  <c r="G1163" i="1"/>
  <c r="F1163" i="1"/>
  <c r="E1163" i="1"/>
  <c r="D1163" i="1"/>
  <c r="C1163" i="1"/>
  <c r="B1163" i="1"/>
  <c r="A1163" i="1"/>
  <c r="S1162" i="1"/>
  <c r="O1162" i="1"/>
  <c r="K1162" i="1"/>
  <c r="J1162" i="1"/>
  <c r="I1162" i="1"/>
  <c r="H1162" i="1"/>
  <c r="G1162" i="1"/>
  <c r="F1162" i="1"/>
  <c r="D1162" i="1"/>
  <c r="C1162" i="1"/>
  <c r="B1162" i="1"/>
  <c r="A1162" i="1"/>
  <c r="S1161" i="1"/>
  <c r="O1161" i="1"/>
  <c r="K1161" i="1"/>
  <c r="J1161" i="1"/>
  <c r="I1161" i="1"/>
  <c r="H1161" i="1"/>
  <c r="G1161" i="1"/>
  <c r="F1161" i="1"/>
  <c r="D1161" i="1"/>
  <c r="C1161" i="1"/>
  <c r="B1161" i="1"/>
  <c r="A1161" i="1"/>
  <c r="S1160" i="1"/>
  <c r="O1160" i="1"/>
  <c r="K1160" i="1"/>
  <c r="J1160" i="1"/>
  <c r="I1160" i="1"/>
  <c r="H1160" i="1"/>
  <c r="G1160" i="1"/>
  <c r="F1160" i="1"/>
  <c r="D1160" i="1"/>
  <c r="C1160" i="1"/>
  <c r="B1160" i="1"/>
  <c r="A1160" i="1"/>
  <c r="S1159" i="1"/>
  <c r="O1159" i="1"/>
  <c r="K1159" i="1"/>
  <c r="J1159" i="1"/>
  <c r="I1159" i="1"/>
  <c r="H1159" i="1"/>
  <c r="G1159" i="1"/>
  <c r="F1159" i="1"/>
  <c r="D1159" i="1"/>
  <c r="C1159" i="1"/>
  <c r="B1159" i="1"/>
  <c r="A1159" i="1"/>
  <c r="R1158" i="1"/>
  <c r="J1158" i="1"/>
  <c r="I1158" i="1"/>
  <c r="G1158" i="1"/>
  <c r="F1158" i="1"/>
  <c r="E1158" i="1"/>
  <c r="D1158" i="1"/>
  <c r="C1158" i="1"/>
  <c r="B1158" i="1"/>
  <c r="A1158" i="1"/>
  <c r="R1157" i="1"/>
  <c r="J1157" i="1"/>
  <c r="I1157" i="1"/>
  <c r="G1157" i="1"/>
  <c r="F1157" i="1"/>
  <c r="E1157" i="1"/>
  <c r="D1157" i="1"/>
  <c r="C1157" i="1"/>
  <c r="B1157" i="1"/>
  <c r="A1157" i="1"/>
  <c r="R1156" i="1"/>
  <c r="J1156" i="1"/>
  <c r="I1156" i="1"/>
  <c r="G1156" i="1"/>
  <c r="F1156" i="1"/>
  <c r="E1156" i="1"/>
  <c r="D1156" i="1"/>
  <c r="C1156" i="1"/>
  <c r="B1156" i="1"/>
  <c r="A1156" i="1"/>
  <c r="R1155" i="1"/>
  <c r="J1155" i="1"/>
  <c r="I1155" i="1"/>
  <c r="G1155" i="1"/>
  <c r="F1155" i="1"/>
  <c r="E1155" i="1"/>
  <c r="D1155" i="1"/>
  <c r="C1155" i="1"/>
  <c r="B1155" i="1"/>
  <c r="A1155" i="1"/>
  <c r="R1154" i="1"/>
  <c r="J1154" i="1"/>
  <c r="I1154" i="1"/>
  <c r="G1154" i="1"/>
  <c r="F1154" i="1"/>
  <c r="E1154" i="1"/>
  <c r="D1154" i="1"/>
  <c r="C1154" i="1"/>
  <c r="B1154" i="1"/>
  <c r="A1154" i="1"/>
  <c r="R1153" i="1"/>
  <c r="J1153" i="1"/>
  <c r="I1153" i="1"/>
  <c r="G1153" i="1"/>
  <c r="F1153" i="1"/>
  <c r="E1153" i="1"/>
  <c r="D1153" i="1"/>
  <c r="C1153" i="1"/>
  <c r="B1153" i="1"/>
  <c r="A1153" i="1"/>
  <c r="R1152" i="1"/>
  <c r="J1152" i="1"/>
  <c r="I1152" i="1"/>
  <c r="G1152" i="1"/>
  <c r="F1152" i="1"/>
  <c r="E1152" i="1"/>
  <c r="D1152" i="1"/>
  <c r="C1152" i="1"/>
  <c r="B1152" i="1"/>
  <c r="A1152" i="1"/>
  <c r="S1151" i="1"/>
  <c r="O1151" i="1"/>
  <c r="K1151" i="1"/>
  <c r="J1151" i="1"/>
  <c r="I1151" i="1"/>
  <c r="H1151" i="1"/>
  <c r="G1151" i="1"/>
  <c r="F1151" i="1"/>
  <c r="E1151" i="1"/>
  <c r="D1151" i="1"/>
  <c r="C1151" i="1"/>
  <c r="B1151" i="1"/>
  <c r="A1151" i="1"/>
  <c r="S1150" i="1"/>
  <c r="O1150" i="1"/>
  <c r="K1150" i="1"/>
  <c r="J1150" i="1"/>
  <c r="I1150" i="1"/>
  <c r="H1150" i="1"/>
  <c r="G1150" i="1"/>
  <c r="F1150" i="1"/>
  <c r="D1150" i="1"/>
  <c r="C1150" i="1"/>
  <c r="B1150" i="1"/>
  <c r="A1150" i="1"/>
  <c r="S1149" i="1"/>
  <c r="O1149" i="1"/>
  <c r="K1149" i="1"/>
  <c r="J1149" i="1"/>
  <c r="I1149" i="1"/>
  <c r="H1149" i="1"/>
  <c r="G1149" i="1"/>
  <c r="F1149" i="1"/>
  <c r="D1149" i="1"/>
  <c r="C1149" i="1"/>
  <c r="B1149" i="1"/>
  <c r="A1149" i="1"/>
  <c r="R1148" i="1"/>
  <c r="J1148" i="1"/>
  <c r="I1148" i="1"/>
  <c r="G1148" i="1"/>
  <c r="F1148" i="1"/>
  <c r="E1148" i="1"/>
  <c r="D1148" i="1"/>
  <c r="C1148" i="1"/>
  <c r="B1148" i="1"/>
  <c r="A1148" i="1"/>
  <c r="S1147" i="1"/>
  <c r="O1147" i="1"/>
  <c r="K1147" i="1"/>
  <c r="J1147" i="1"/>
  <c r="I1147" i="1"/>
  <c r="H1147" i="1"/>
  <c r="G1147" i="1"/>
  <c r="F1147" i="1"/>
  <c r="E1147" i="1"/>
  <c r="D1147" i="1"/>
  <c r="C1147" i="1"/>
  <c r="B1147" i="1"/>
  <c r="A1147" i="1"/>
  <c r="S1146" i="1"/>
  <c r="O1146" i="1"/>
  <c r="K1146" i="1"/>
  <c r="J1146" i="1"/>
  <c r="I1146" i="1"/>
  <c r="H1146" i="1"/>
  <c r="G1146" i="1"/>
  <c r="F1146" i="1"/>
  <c r="D1146" i="1"/>
  <c r="C1146" i="1"/>
  <c r="B1146" i="1"/>
  <c r="A1146" i="1"/>
  <c r="R1145" i="1"/>
  <c r="J1145" i="1"/>
  <c r="I1145" i="1"/>
  <c r="G1145" i="1"/>
  <c r="F1145" i="1"/>
  <c r="E1145" i="1"/>
  <c r="D1145" i="1"/>
  <c r="C1145" i="1"/>
  <c r="B1145" i="1"/>
  <c r="A1145" i="1"/>
  <c r="S1144" i="1"/>
  <c r="O1144" i="1"/>
  <c r="K1144" i="1"/>
  <c r="J1144" i="1"/>
  <c r="I1144" i="1"/>
  <c r="H1144" i="1"/>
  <c r="G1144" i="1"/>
  <c r="F1144" i="1"/>
  <c r="E1144" i="1"/>
  <c r="D1144" i="1"/>
  <c r="C1144" i="1"/>
  <c r="B1144" i="1"/>
  <c r="A1144" i="1"/>
  <c r="R1143" i="1"/>
  <c r="J1143" i="1"/>
  <c r="I1143" i="1"/>
  <c r="G1143" i="1"/>
  <c r="F1143" i="1"/>
  <c r="E1143" i="1"/>
  <c r="D1143" i="1"/>
  <c r="C1143" i="1"/>
  <c r="B1143" i="1"/>
  <c r="A1143" i="1"/>
  <c r="S1142" i="1"/>
  <c r="O1142" i="1"/>
  <c r="K1142" i="1"/>
  <c r="J1142" i="1"/>
  <c r="I1142" i="1"/>
  <c r="H1142" i="1"/>
  <c r="G1142" i="1"/>
  <c r="F1142" i="1"/>
  <c r="E1142" i="1"/>
  <c r="D1142" i="1"/>
  <c r="C1142" i="1"/>
  <c r="B1142" i="1"/>
  <c r="A1142" i="1"/>
  <c r="R1141" i="1"/>
  <c r="J1141" i="1"/>
  <c r="I1141" i="1"/>
  <c r="G1141" i="1"/>
  <c r="F1141" i="1"/>
  <c r="E1141" i="1"/>
  <c r="D1141" i="1"/>
  <c r="C1141" i="1"/>
  <c r="B1141" i="1"/>
  <c r="A1141" i="1"/>
  <c r="S1140" i="1"/>
  <c r="O1140" i="1"/>
  <c r="K1140" i="1"/>
  <c r="J1140" i="1"/>
  <c r="I1140" i="1"/>
  <c r="H1140" i="1"/>
  <c r="G1140" i="1"/>
  <c r="F1140" i="1"/>
  <c r="E1140" i="1"/>
  <c r="D1140" i="1"/>
  <c r="C1140" i="1"/>
  <c r="B1140" i="1"/>
  <c r="A1140" i="1"/>
  <c r="R1139" i="1"/>
  <c r="J1139" i="1"/>
  <c r="I1139" i="1"/>
  <c r="G1139" i="1"/>
  <c r="F1139" i="1"/>
  <c r="E1139" i="1"/>
  <c r="D1139" i="1"/>
  <c r="C1139" i="1"/>
  <c r="B1139" i="1"/>
  <c r="A1139" i="1"/>
  <c r="S1138" i="1"/>
  <c r="O1138" i="1"/>
  <c r="K1138" i="1"/>
  <c r="J1138" i="1"/>
  <c r="I1138" i="1"/>
  <c r="H1138" i="1"/>
  <c r="G1138" i="1"/>
  <c r="F1138" i="1"/>
  <c r="E1138" i="1"/>
  <c r="D1138" i="1"/>
  <c r="C1138" i="1"/>
  <c r="B1138" i="1"/>
  <c r="A1138" i="1"/>
  <c r="S1137" i="1"/>
  <c r="O1137" i="1"/>
  <c r="K1137" i="1"/>
  <c r="J1137" i="1"/>
  <c r="I1137" i="1"/>
  <c r="H1137" i="1"/>
  <c r="G1137" i="1"/>
  <c r="F1137" i="1"/>
  <c r="D1137" i="1"/>
  <c r="C1137" i="1"/>
  <c r="B1137" i="1"/>
  <c r="A1137" i="1"/>
  <c r="S1136" i="1"/>
  <c r="O1136" i="1"/>
  <c r="K1136" i="1"/>
  <c r="J1136" i="1"/>
  <c r="I1136" i="1"/>
  <c r="H1136" i="1"/>
  <c r="G1136" i="1"/>
  <c r="F1136" i="1"/>
  <c r="D1136" i="1"/>
  <c r="C1136" i="1"/>
  <c r="B1136" i="1"/>
  <c r="A1136" i="1"/>
  <c r="S1135" i="1"/>
  <c r="O1135" i="1"/>
  <c r="K1135" i="1"/>
  <c r="J1135" i="1"/>
  <c r="I1135" i="1"/>
  <c r="H1135" i="1"/>
  <c r="G1135" i="1"/>
  <c r="F1135" i="1"/>
  <c r="D1135" i="1"/>
  <c r="C1135" i="1"/>
  <c r="B1135" i="1"/>
  <c r="A1135" i="1"/>
  <c r="R1134" i="1"/>
  <c r="J1134" i="1"/>
  <c r="I1134" i="1"/>
  <c r="G1134" i="1"/>
  <c r="F1134" i="1"/>
  <c r="E1134" i="1"/>
  <c r="D1134" i="1"/>
  <c r="C1134" i="1"/>
  <c r="B1134" i="1"/>
  <c r="A1134" i="1"/>
  <c r="S1133" i="1"/>
  <c r="O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J1132" i="1"/>
  <c r="I1132" i="1"/>
  <c r="G1132" i="1"/>
  <c r="F1132" i="1"/>
  <c r="E1132" i="1"/>
  <c r="D1132" i="1"/>
  <c r="C1132" i="1"/>
  <c r="B1132" i="1"/>
  <c r="A1132" i="1"/>
  <c r="S1131" i="1"/>
  <c r="O1131" i="1"/>
  <c r="K1131" i="1"/>
  <c r="J1131" i="1"/>
  <c r="I1131" i="1"/>
  <c r="H1131" i="1"/>
  <c r="G1131" i="1"/>
  <c r="F1131" i="1"/>
  <c r="E1131" i="1"/>
  <c r="D1131" i="1"/>
  <c r="C1131" i="1"/>
  <c r="B1131" i="1"/>
  <c r="A1131" i="1"/>
  <c r="R1130" i="1"/>
  <c r="J1130" i="1"/>
  <c r="I1130" i="1"/>
  <c r="G1130" i="1"/>
  <c r="F1130" i="1"/>
  <c r="E1130" i="1"/>
  <c r="D1130" i="1"/>
  <c r="C1130" i="1"/>
  <c r="B1130" i="1"/>
  <c r="A1130" i="1"/>
  <c r="S1129" i="1"/>
  <c r="O1129" i="1"/>
  <c r="K1129" i="1"/>
  <c r="J1129" i="1"/>
  <c r="I1129" i="1"/>
  <c r="H1129" i="1"/>
  <c r="G1129" i="1"/>
  <c r="F1129" i="1"/>
  <c r="E1129" i="1"/>
  <c r="D1129" i="1"/>
  <c r="C1129" i="1"/>
  <c r="B1129" i="1"/>
  <c r="A1129" i="1"/>
  <c r="R1128" i="1"/>
  <c r="J1128" i="1"/>
  <c r="I1128" i="1"/>
  <c r="G1128" i="1"/>
  <c r="F1128" i="1"/>
  <c r="E1128" i="1"/>
  <c r="D1128" i="1"/>
  <c r="C1128" i="1"/>
  <c r="B1128" i="1"/>
  <c r="A1128" i="1"/>
  <c r="S1127" i="1"/>
  <c r="O1127" i="1"/>
  <c r="K1127" i="1"/>
  <c r="J1127" i="1"/>
  <c r="I1127" i="1"/>
  <c r="H1127" i="1"/>
  <c r="G1127" i="1"/>
  <c r="F1127" i="1"/>
  <c r="E1127" i="1"/>
  <c r="D1127" i="1"/>
  <c r="C1127" i="1"/>
  <c r="B1127" i="1"/>
  <c r="A1127" i="1"/>
  <c r="R1126" i="1"/>
  <c r="J1126" i="1"/>
  <c r="I1126" i="1"/>
  <c r="G1126" i="1"/>
  <c r="F1126" i="1"/>
  <c r="E1126" i="1"/>
  <c r="D1126" i="1"/>
  <c r="C1126" i="1"/>
  <c r="B1126" i="1"/>
  <c r="A1126" i="1"/>
  <c r="S1125" i="1"/>
  <c r="O1125" i="1"/>
  <c r="K1125" i="1"/>
  <c r="J1125" i="1"/>
  <c r="I1125" i="1"/>
  <c r="H1125" i="1"/>
  <c r="G1125" i="1"/>
  <c r="F1125" i="1"/>
  <c r="E1125" i="1"/>
  <c r="D1125" i="1"/>
  <c r="C1125" i="1"/>
  <c r="B1125" i="1"/>
  <c r="A1125" i="1"/>
  <c r="R1124" i="1"/>
  <c r="J1124" i="1"/>
  <c r="I1124" i="1"/>
  <c r="G1124" i="1"/>
  <c r="F1124" i="1"/>
  <c r="E1124" i="1"/>
  <c r="D1124" i="1"/>
  <c r="C1124" i="1"/>
  <c r="B1124" i="1"/>
  <c r="A1124" i="1"/>
  <c r="S1123" i="1"/>
  <c r="O1123" i="1"/>
  <c r="K1123" i="1"/>
  <c r="J1123" i="1"/>
  <c r="I1123" i="1"/>
  <c r="H1123" i="1"/>
  <c r="G1123" i="1"/>
  <c r="F1123" i="1"/>
  <c r="E1123" i="1"/>
  <c r="D1123" i="1"/>
  <c r="C1123" i="1"/>
  <c r="B1123" i="1"/>
  <c r="A1123" i="1"/>
  <c r="R1122" i="1"/>
  <c r="J1122" i="1"/>
  <c r="I1122" i="1"/>
  <c r="G1122" i="1"/>
  <c r="F1122" i="1"/>
  <c r="E1122" i="1"/>
  <c r="D1122" i="1"/>
  <c r="C1122" i="1"/>
  <c r="B1122" i="1"/>
  <c r="A1122" i="1"/>
  <c r="S1121" i="1"/>
  <c r="O1121" i="1"/>
  <c r="K1121" i="1"/>
  <c r="J1121" i="1"/>
  <c r="I1121" i="1"/>
  <c r="H1121" i="1"/>
  <c r="G1121" i="1"/>
  <c r="F1121" i="1"/>
  <c r="E1121" i="1"/>
  <c r="D1121" i="1"/>
  <c r="C1121" i="1"/>
  <c r="B1121" i="1"/>
  <c r="A1121" i="1"/>
  <c r="R1120" i="1"/>
  <c r="J1120" i="1"/>
  <c r="I1120" i="1"/>
  <c r="G1120" i="1"/>
  <c r="F1120" i="1"/>
  <c r="E1120" i="1"/>
  <c r="D1120" i="1"/>
  <c r="C1120" i="1"/>
  <c r="B1120" i="1"/>
  <c r="A1120" i="1"/>
  <c r="R1119" i="1"/>
  <c r="J1119" i="1"/>
  <c r="I1119" i="1"/>
  <c r="G1119" i="1"/>
  <c r="F1119" i="1"/>
  <c r="E1119" i="1"/>
  <c r="D1119" i="1"/>
  <c r="C1119" i="1"/>
  <c r="B1119" i="1"/>
  <c r="A1119" i="1"/>
  <c r="S1118" i="1"/>
  <c r="O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J1117" i="1"/>
  <c r="I1117" i="1"/>
  <c r="G1117" i="1"/>
  <c r="F1117" i="1"/>
  <c r="E1117" i="1"/>
  <c r="D1117" i="1"/>
  <c r="C1117" i="1"/>
  <c r="B1117" i="1"/>
  <c r="A1117" i="1"/>
  <c r="S1116" i="1"/>
  <c r="O1116" i="1"/>
  <c r="K1116" i="1"/>
  <c r="J1116" i="1"/>
  <c r="I1116" i="1"/>
  <c r="H1116" i="1"/>
  <c r="G1116" i="1"/>
  <c r="F1116" i="1"/>
  <c r="E1116" i="1"/>
  <c r="D1116" i="1"/>
  <c r="C1116" i="1"/>
  <c r="B1116" i="1"/>
  <c r="A1116" i="1"/>
  <c r="R1115" i="1"/>
  <c r="J1115" i="1"/>
  <c r="I1115" i="1"/>
  <c r="G1115" i="1"/>
  <c r="F1115" i="1"/>
  <c r="E1115" i="1"/>
  <c r="D1115" i="1"/>
  <c r="C1115" i="1"/>
  <c r="B1115" i="1"/>
  <c r="A1115" i="1"/>
  <c r="S1114" i="1"/>
  <c r="O1114" i="1"/>
  <c r="K1114" i="1"/>
  <c r="J1114" i="1"/>
  <c r="I1114" i="1"/>
  <c r="H1114" i="1"/>
  <c r="G1114" i="1"/>
  <c r="F1114" i="1"/>
  <c r="E1114" i="1"/>
  <c r="D1114" i="1"/>
  <c r="C1114" i="1"/>
  <c r="B1114" i="1"/>
  <c r="A1114" i="1"/>
  <c r="R1113" i="1"/>
  <c r="J1113" i="1"/>
  <c r="I1113" i="1"/>
  <c r="G1113" i="1"/>
  <c r="F1113" i="1"/>
  <c r="E1113" i="1"/>
  <c r="D1113" i="1"/>
  <c r="C1113" i="1"/>
  <c r="B1113" i="1"/>
  <c r="A1113" i="1"/>
  <c r="S1112" i="1"/>
  <c r="O1112" i="1"/>
  <c r="K1112" i="1"/>
  <c r="J1112" i="1"/>
  <c r="I1112" i="1"/>
  <c r="H1112" i="1"/>
  <c r="G1112" i="1"/>
  <c r="F1112" i="1"/>
  <c r="E1112" i="1"/>
  <c r="D1112" i="1"/>
  <c r="C1112" i="1"/>
  <c r="B1112" i="1"/>
  <c r="A1112" i="1"/>
  <c r="R1111" i="1"/>
  <c r="J1111" i="1"/>
  <c r="I1111" i="1"/>
  <c r="G1111" i="1"/>
  <c r="F1111" i="1"/>
  <c r="E1111" i="1"/>
  <c r="D1111" i="1"/>
  <c r="C1111" i="1"/>
  <c r="B1111" i="1"/>
  <c r="A1111" i="1"/>
  <c r="S1110" i="1"/>
  <c r="O1110" i="1"/>
  <c r="K1110" i="1"/>
  <c r="J1110" i="1"/>
  <c r="I1110" i="1"/>
  <c r="H1110" i="1"/>
  <c r="G1110" i="1"/>
  <c r="F1110" i="1"/>
  <c r="E1110" i="1"/>
  <c r="D1110" i="1"/>
  <c r="C1110" i="1"/>
  <c r="B1110" i="1"/>
  <c r="A1110" i="1"/>
  <c r="R1109" i="1"/>
  <c r="J1109" i="1"/>
  <c r="I1109" i="1"/>
  <c r="G1109" i="1"/>
  <c r="F1109" i="1"/>
  <c r="E1109" i="1"/>
  <c r="D1109" i="1"/>
  <c r="C1109" i="1"/>
  <c r="B1109" i="1"/>
  <c r="A1109" i="1"/>
  <c r="S1108" i="1"/>
  <c r="O1108" i="1"/>
  <c r="K1108" i="1"/>
  <c r="J1108" i="1"/>
  <c r="I1108" i="1"/>
  <c r="H1108" i="1"/>
  <c r="G1108" i="1"/>
  <c r="F1108" i="1"/>
  <c r="E1108" i="1"/>
  <c r="D1108" i="1"/>
  <c r="C1108" i="1"/>
  <c r="B1108" i="1"/>
  <c r="A1108" i="1"/>
  <c r="R1107" i="1"/>
  <c r="J1107" i="1"/>
  <c r="I1107" i="1"/>
  <c r="G1107" i="1"/>
  <c r="F1107" i="1"/>
  <c r="E1107" i="1"/>
  <c r="D1107" i="1"/>
  <c r="C1107" i="1"/>
  <c r="B1107" i="1"/>
  <c r="A1107" i="1"/>
  <c r="R1106" i="1"/>
  <c r="J1106" i="1"/>
  <c r="I1106" i="1"/>
  <c r="G1106" i="1"/>
  <c r="F1106" i="1"/>
  <c r="E1106" i="1"/>
  <c r="D1106" i="1"/>
  <c r="C1106" i="1"/>
  <c r="B1106" i="1"/>
  <c r="A1106" i="1"/>
  <c r="R1105" i="1"/>
  <c r="J1105" i="1"/>
  <c r="I1105" i="1"/>
  <c r="G1105" i="1"/>
  <c r="F1105" i="1"/>
  <c r="E1105" i="1"/>
  <c r="D1105" i="1"/>
  <c r="C1105" i="1"/>
  <c r="B1105" i="1"/>
  <c r="A1105" i="1"/>
  <c r="S1104" i="1"/>
  <c r="O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J1103" i="1"/>
  <c r="I1103" i="1"/>
  <c r="G1103" i="1"/>
  <c r="F1103" i="1"/>
  <c r="E1103" i="1"/>
  <c r="D1103" i="1"/>
  <c r="C1103" i="1"/>
  <c r="B1103" i="1"/>
  <c r="A1103" i="1"/>
  <c r="R1102" i="1"/>
  <c r="J1102" i="1"/>
  <c r="I1102" i="1"/>
  <c r="G1102" i="1"/>
  <c r="F1102" i="1"/>
  <c r="E1102" i="1"/>
  <c r="D1102" i="1"/>
  <c r="C1102" i="1"/>
  <c r="B1102" i="1"/>
  <c r="A1102" i="1"/>
  <c r="R1101" i="1"/>
  <c r="J1101" i="1"/>
  <c r="I1101" i="1"/>
  <c r="G1101" i="1"/>
  <c r="F1101" i="1"/>
  <c r="E1101" i="1"/>
  <c r="D1101" i="1"/>
  <c r="C1101" i="1"/>
  <c r="B1101" i="1"/>
  <c r="A1101" i="1"/>
  <c r="S1100" i="1"/>
  <c r="O1100" i="1"/>
  <c r="K1100" i="1"/>
  <c r="J1100" i="1"/>
  <c r="I1100" i="1"/>
  <c r="H1100" i="1"/>
  <c r="G1100" i="1"/>
  <c r="F1100" i="1"/>
  <c r="E1100" i="1"/>
  <c r="D1100" i="1"/>
  <c r="C1100" i="1"/>
  <c r="B1100" i="1"/>
  <c r="A1100" i="1"/>
  <c r="R1099" i="1"/>
  <c r="J1099" i="1"/>
  <c r="I1099" i="1"/>
  <c r="G1099" i="1"/>
  <c r="F1099" i="1"/>
  <c r="E1099" i="1"/>
  <c r="D1099" i="1"/>
  <c r="C1099" i="1"/>
  <c r="B1099" i="1"/>
  <c r="A1099" i="1"/>
  <c r="R1098" i="1"/>
  <c r="J1098" i="1"/>
  <c r="I1098" i="1"/>
  <c r="G1098" i="1"/>
  <c r="F1098" i="1"/>
  <c r="E1098" i="1"/>
  <c r="D1098" i="1"/>
  <c r="C1098" i="1"/>
  <c r="B1098" i="1"/>
  <c r="A1098" i="1"/>
  <c r="R1097" i="1"/>
  <c r="J1097" i="1"/>
  <c r="I1097" i="1"/>
  <c r="G1097" i="1"/>
  <c r="F1097" i="1"/>
  <c r="E1097" i="1"/>
  <c r="D1097" i="1"/>
  <c r="C1097" i="1"/>
  <c r="B1097" i="1"/>
  <c r="A1097" i="1"/>
  <c r="R1096" i="1"/>
  <c r="J1096" i="1"/>
  <c r="I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R1094" i="1"/>
  <c r="J1094" i="1"/>
  <c r="I1094" i="1"/>
  <c r="G1094" i="1"/>
  <c r="F1094" i="1"/>
  <c r="E1094" i="1"/>
  <c r="D1094" i="1"/>
  <c r="C1094" i="1"/>
  <c r="B1094" i="1"/>
  <c r="A1094" i="1"/>
  <c r="S1093" i="1"/>
  <c r="O1093" i="1"/>
  <c r="K1093" i="1"/>
  <c r="J1093" i="1"/>
  <c r="I1093" i="1"/>
  <c r="H1093" i="1"/>
  <c r="G1093" i="1"/>
  <c r="F1093" i="1"/>
  <c r="E1093" i="1"/>
  <c r="D1093" i="1"/>
  <c r="C1093" i="1"/>
  <c r="B1093" i="1"/>
  <c r="A1093" i="1"/>
  <c r="R1092" i="1"/>
  <c r="J1092" i="1"/>
  <c r="I1092" i="1"/>
  <c r="G1092" i="1"/>
  <c r="F1092" i="1"/>
  <c r="E1092" i="1"/>
  <c r="D1092" i="1"/>
  <c r="C1092" i="1"/>
  <c r="B1092" i="1"/>
  <c r="A1092" i="1"/>
  <c r="S1091" i="1"/>
  <c r="O1091" i="1"/>
  <c r="K1091" i="1"/>
  <c r="J1091" i="1"/>
  <c r="I1091" i="1"/>
  <c r="H1091" i="1"/>
  <c r="G1091" i="1"/>
  <c r="F1091" i="1"/>
  <c r="E1091" i="1"/>
  <c r="D1091" i="1"/>
  <c r="C1091" i="1"/>
  <c r="B1091" i="1"/>
  <c r="A1091" i="1"/>
  <c r="R1090" i="1"/>
  <c r="J1090" i="1"/>
  <c r="I1090" i="1"/>
  <c r="G1090" i="1"/>
  <c r="F1090" i="1"/>
  <c r="E1090" i="1"/>
  <c r="D1090" i="1"/>
  <c r="C1090" i="1"/>
  <c r="B1090" i="1"/>
  <c r="A1090" i="1"/>
  <c r="S1089" i="1"/>
  <c r="O1089" i="1"/>
  <c r="K1089" i="1"/>
  <c r="J1089" i="1"/>
  <c r="I1089" i="1"/>
  <c r="H1089" i="1"/>
  <c r="G1089" i="1"/>
  <c r="F1089" i="1"/>
  <c r="E1089" i="1"/>
  <c r="D1089" i="1"/>
  <c r="C1089" i="1"/>
  <c r="B1089" i="1"/>
  <c r="A1089" i="1"/>
  <c r="R1088" i="1"/>
  <c r="J1088" i="1"/>
  <c r="I1088" i="1"/>
  <c r="G1088" i="1"/>
  <c r="F1088" i="1"/>
  <c r="E1088" i="1"/>
  <c r="D1088" i="1"/>
  <c r="C1088" i="1"/>
  <c r="B1088" i="1"/>
  <c r="A1088" i="1"/>
  <c r="S1087" i="1"/>
  <c r="O1087" i="1"/>
  <c r="K1087" i="1"/>
  <c r="J1087" i="1"/>
  <c r="I1087" i="1"/>
  <c r="H1087" i="1"/>
  <c r="G1087" i="1"/>
  <c r="F1087" i="1"/>
  <c r="E1087" i="1"/>
  <c r="D1087" i="1"/>
  <c r="C1087" i="1"/>
  <c r="B1087" i="1"/>
  <c r="A1087" i="1"/>
  <c r="R1086" i="1"/>
  <c r="J1086" i="1"/>
  <c r="I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R1084" i="1"/>
  <c r="J1084" i="1"/>
  <c r="I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S1080" i="1"/>
  <c r="O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R1078" i="1"/>
  <c r="J1078" i="1"/>
  <c r="I1078" i="1"/>
  <c r="G1078" i="1"/>
  <c r="F1078" i="1"/>
  <c r="E1078" i="1"/>
  <c r="D1078" i="1"/>
  <c r="C1078" i="1"/>
  <c r="B1078" i="1"/>
  <c r="A1078" i="1"/>
  <c r="S1077" i="1"/>
  <c r="O1077" i="1"/>
  <c r="K1077" i="1"/>
  <c r="J1077" i="1"/>
  <c r="I1077" i="1"/>
  <c r="H1077" i="1"/>
  <c r="G1077" i="1"/>
  <c r="F1077" i="1"/>
  <c r="E1077" i="1"/>
  <c r="D1077" i="1"/>
  <c r="C1077" i="1"/>
  <c r="B1077" i="1"/>
  <c r="A1077" i="1"/>
  <c r="R1076" i="1"/>
  <c r="J1076" i="1"/>
  <c r="I1076" i="1"/>
  <c r="G1076" i="1"/>
  <c r="F1076" i="1"/>
  <c r="E1076" i="1"/>
  <c r="D1076" i="1"/>
  <c r="C1076" i="1"/>
  <c r="B1076" i="1"/>
  <c r="A1076" i="1"/>
  <c r="R1075" i="1"/>
  <c r="J1075" i="1"/>
  <c r="I1075" i="1"/>
  <c r="G1075" i="1"/>
  <c r="F1075" i="1"/>
  <c r="E1075" i="1"/>
  <c r="D1075" i="1"/>
  <c r="C1075" i="1"/>
  <c r="B1075" i="1"/>
  <c r="A1075" i="1"/>
  <c r="R1074" i="1"/>
  <c r="J1074" i="1"/>
  <c r="I1074" i="1"/>
  <c r="G1074" i="1"/>
  <c r="F1074" i="1"/>
  <c r="E1074" i="1"/>
  <c r="D1074" i="1"/>
  <c r="C1074" i="1"/>
  <c r="B1074" i="1"/>
  <c r="A1074" i="1"/>
  <c r="R1073" i="1"/>
  <c r="J1073" i="1"/>
  <c r="I1073" i="1"/>
  <c r="G1073" i="1"/>
  <c r="F1073" i="1"/>
  <c r="E1073" i="1"/>
  <c r="D1073" i="1"/>
  <c r="C1073" i="1"/>
  <c r="B1073" i="1"/>
  <c r="A1073" i="1"/>
  <c r="R1072" i="1"/>
  <c r="J1072" i="1"/>
  <c r="I1072" i="1"/>
  <c r="G1072" i="1"/>
  <c r="F1072" i="1"/>
  <c r="E1072" i="1"/>
  <c r="D1072" i="1"/>
  <c r="C1072" i="1"/>
  <c r="B1072" i="1"/>
  <c r="A1072" i="1"/>
  <c r="S1071" i="1"/>
  <c r="O1071" i="1"/>
  <c r="K1071" i="1"/>
  <c r="J1071" i="1"/>
  <c r="I1071" i="1"/>
  <c r="H1071" i="1"/>
  <c r="G1071" i="1"/>
  <c r="F1071" i="1"/>
  <c r="E1071" i="1"/>
  <c r="D1071" i="1"/>
  <c r="C1071" i="1"/>
  <c r="B1071" i="1"/>
  <c r="A1071" i="1"/>
  <c r="R1070" i="1"/>
  <c r="J1070" i="1"/>
  <c r="I1070" i="1"/>
  <c r="G1070" i="1"/>
  <c r="F1070" i="1"/>
  <c r="E1070" i="1"/>
  <c r="D1070" i="1"/>
  <c r="C1070" i="1"/>
  <c r="B1070" i="1"/>
  <c r="A1070" i="1"/>
  <c r="S1069" i="1"/>
  <c r="O1069" i="1"/>
  <c r="K1069" i="1"/>
  <c r="J1069" i="1"/>
  <c r="I1069" i="1"/>
  <c r="H1069" i="1"/>
  <c r="G1069" i="1"/>
  <c r="F1069" i="1"/>
  <c r="E1069" i="1"/>
  <c r="D1069" i="1"/>
  <c r="C1069" i="1"/>
  <c r="B1069" i="1"/>
  <c r="A1069" i="1"/>
  <c r="R1068" i="1"/>
  <c r="J1068" i="1"/>
  <c r="I1068" i="1"/>
  <c r="G1068" i="1"/>
  <c r="F1068" i="1"/>
  <c r="E1068" i="1"/>
  <c r="D1068" i="1"/>
  <c r="C1068" i="1"/>
  <c r="B1068" i="1"/>
  <c r="A1068" i="1"/>
  <c r="S1067" i="1"/>
  <c r="O1067" i="1"/>
  <c r="K1067" i="1"/>
  <c r="J1067" i="1"/>
  <c r="I1067" i="1"/>
  <c r="H1067" i="1"/>
  <c r="G1067" i="1"/>
  <c r="F1067" i="1"/>
  <c r="E1067" i="1"/>
  <c r="D1067" i="1"/>
  <c r="C1067" i="1"/>
  <c r="B1067" i="1"/>
  <c r="A1067" i="1"/>
  <c r="R1066" i="1"/>
  <c r="J1066" i="1"/>
  <c r="I1066" i="1"/>
  <c r="G1066" i="1"/>
  <c r="F1066" i="1"/>
  <c r="E1066" i="1"/>
  <c r="D1066" i="1"/>
  <c r="C1066" i="1"/>
  <c r="B1066" i="1"/>
  <c r="A1066" i="1"/>
  <c r="S1065" i="1"/>
  <c r="O1065" i="1"/>
  <c r="K1065" i="1"/>
  <c r="J1065" i="1"/>
  <c r="I1065" i="1"/>
  <c r="H1065" i="1"/>
  <c r="G1065" i="1"/>
  <c r="F1065" i="1"/>
  <c r="E1065" i="1"/>
  <c r="D1065" i="1"/>
  <c r="C1065" i="1"/>
  <c r="B1065" i="1"/>
  <c r="A1065" i="1"/>
  <c r="R1064" i="1"/>
  <c r="J1064" i="1"/>
  <c r="I1064" i="1"/>
  <c r="G1064" i="1"/>
  <c r="F1064" i="1"/>
  <c r="E1064" i="1"/>
  <c r="D1064" i="1"/>
  <c r="C1064" i="1"/>
  <c r="B1064" i="1"/>
  <c r="A1064" i="1"/>
  <c r="R1063" i="1"/>
  <c r="J1063" i="1"/>
  <c r="I1063" i="1"/>
  <c r="G1063" i="1"/>
  <c r="F1063" i="1"/>
  <c r="E1063" i="1"/>
  <c r="D1063" i="1"/>
  <c r="C1063" i="1"/>
  <c r="B1063" i="1"/>
  <c r="A1063" i="1"/>
  <c r="R1062" i="1"/>
  <c r="J1062" i="1"/>
  <c r="I1062" i="1"/>
  <c r="G1062" i="1"/>
  <c r="F1062" i="1"/>
  <c r="E1062" i="1"/>
  <c r="D1062" i="1"/>
  <c r="C1062" i="1"/>
  <c r="B1062" i="1"/>
  <c r="A1062" i="1"/>
  <c r="R1061" i="1"/>
  <c r="J1061" i="1"/>
  <c r="I1061" i="1"/>
  <c r="G1061" i="1"/>
  <c r="F1061" i="1"/>
  <c r="E1061" i="1"/>
  <c r="D1061" i="1"/>
  <c r="C1061" i="1"/>
  <c r="B1061" i="1"/>
  <c r="A1061" i="1"/>
  <c r="S1060" i="1"/>
  <c r="O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J1059" i="1"/>
  <c r="I1059" i="1"/>
  <c r="G1059" i="1"/>
  <c r="F1059" i="1"/>
  <c r="E1059" i="1"/>
  <c r="D1059" i="1"/>
  <c r="C1059" i="1"/>
  <c r="B1059" i="1"/>
  <c r="A1059" i="1"/>
  <c r="S1058" i="1"/>
  <c r="O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J1057" i="1"/>
  <c r="I1057" i="1"/>
  <c r="G1057" i="1"/>
  <c r="F1057" i="1"/>
  <c r="E1057" i="1"/>
  <c r="D1057" i="1"/>
  <c r="C1057" i="1"/>
  <c r="B1057" i="1"/>
  <c r="A1057" i="1"/>
  <c r="R1056" i="1"/>
  <c r="J1056" i="1"/>
  <c r="I1056" i="1"/>
  <c r="G1056" i="1"/>
  <c r="F1056" i="1"/>
  <c r="E1056" i="1"/>
  <c r="D1056" i="1"/>
  <c r="C1056" i="1"/>
  <c r="B1056" i="1"/>
  <c r="A1056" i="1"/>
  <c r="S1055" i="1"/>
  <c r="O1055" i="1"/>
  <c r="K1055" i="1"/>
  <c r="J1055" i="1"/>
  <c r="I1055" i="1"/>
  <c r="H1055" i="1"/>
  <c r="G1055" i="1"/>
  <c r="F1055" i="1"/>
  <c r="E1055" i="1"/>
  <c r="D1055" i="1"/>
  <c r="C1055" i="1"/>
  <c r="B1055" i="1"/>
  <c r="A1055" i="1"/>
  <c r="R1054" i="1"/>
  <c r="J1054" i="1"/>
  <c r="I1054" i="1"/>
  <c r="G1054" i="1"/>
  <c r="F1054" i="1"/>
  <c r="E1054" i="1"/>
  <c r="D1054" i="1"/>
  <c r="C1054" i="1"/>
  <c r="B1054" i="1"/>
  <c r="A1054" i="1"/>
  <c r="R1053" i="1"/>
  <c r="J1053" i="1"/>
  <c r="I1053" i="1"/>
  <c r="G1053" i="1"/>
  <c r="F1053" i="1"/>
  <c r="E1053" i="1"/>
  <c r="D1053" i="1"/>
  <c r="C1053" i="1"/>
  <c r="B1053" i="1"/>
  <c r="A1053" i="1"/>
  <c r="R1052" i="1"/>
  <c r="J1052" i="1"/>
  <c r="I1052" i="1"/>
  <c r="G1052" i="1"/>
  <c r="F1052" i="1"/>
  <c r="E1052" i="1"/>
  <c r="D1052" i="1"/>
  <c r="C1052" i="1"/>
  <c r="B1052" i="1"/>
  <c r="A1052" i="1"/>
  <c r="R1051" i="1"/>
  <c r="J1051" i="1"/>
  <c r="I1051" i="1"/>
  <c r="G1051" i="1"/>
  <c r="F1051" i="1"/>
  <c r="E1051" i="1"/>
  <c r="D1051" i="1"/>
  <c r="C1051" i="1"/>
  <c r="B1051" i="1"/>
  <c r="A1051" i="1"/>
  <c r="S1050" i="1"/>
  <c r="O1050" i="1"/>
  <c r="K1050" i="1"/>
  <c r="J1050" i="1"/>
  <c r="I1050" i="1"/>
  <c r="H1050" i="1"/>
  <c r="G1050" i="1"/>
  <c r="F1050" i="1"/>
  <c r="E1050" i="1"/>
  <c r="D1050" i="1"/>
  <c r="C1050" i="1"/>
  <c r="B1050" i="1"/>
  <c r="A1050" i="1"/>
  <c r="R1049" i="1"/>
  <c r="J1049" i="1"/>
  <c r="I1049" i="1"/>
  <c r="G1049" i="1"/>
  <c r="F1049" i="1"/>
  <c r="E1049" i="1"/>
  <c r="D1049" i="1"/>
  <c r="C1049" i="1"/>
  <c r="B1049" i="1"/>
  <c r="A1049" i="1"/>
  <c r="S1048" i="1"/>
  <c r="O1048" i="1"/>
  <c r="K1048" i="1"/>
  <c r="J1048" i="1"/>
  <c r="I1048" i="1"/>
  <c r="H1048" i="1"/>
  <c r="G1048" i="1"/>
  <c r="F1048" i="1"/>
  <c r="E1048" i="1"/>
  <c r="D1048" i="1"/>
  <c r="C1048" i="1"/>
  <c r="B1048" i="1"/>
  <c r="A1048" i="1"/>
  <c r="R1047" i="1"/>
  <c r="J1047" i="1"/>
  <c r="I1047" i="1"/>
  <c r="G1047" i="1"/>
  <c r="F1047" i="1"/>
  <c r="E1047" i="1"/>
  <c r="D1047" i="1"/>
  <c r="C1047" i="1"/>
  <c r="B1047" i="1"/>
  <c r="A1047" i="1"/>
  <c r="S1046" i="1"/>
  <c r="O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J1045" i="1"/>
  <c r="I1045" i="1"/>
  <c r="G1045" i="1"/>
  <c r="F1045" i="1"/>
  <c r="E1045" i="1"/>
  <c r="D1045" i="1"/>
  <c r="C1045" i="1"/>
  <c r="B1045" i="1"/>
  <c r="A1045" i="1"/>
  <c r="R1044" i="1"/>
  <c r="J1044" i="1"/>
  <c r="I1044" i="1"/>
  <c r="G1044" i="1"/>
  <c r="F1044" i="1"/>
  <c r="E1044" i="1"/>
  <c r="D1044" i="1"/>
  <c r="C1044" i="1"/>
  <c r="B1044" i="1"/>
  <c r="A1044" i="1"/>
  <c r="R1043" i="1"/>
  <c r="J1043" i="1"/>
  <c r="I1043" i="1"/>
  <c r="G1043" i="1"/>
  <c r="F1043" i="1"/>
  <c r="E1043" i="1"/>
  <c r="D1043" i="1"/>
  <c r="C1043" i="1"/>
  <c r="B1043" i="1"/>
  <c r="A1043" i="1"/>
  <c r="R1042" i="1"/>
  <c r="J1042" i="1"/>
  <c r="I1042" i="1"/>
  <c r="G1042" i="1"/>
  <c r="F1042" i="1"/>
  <c r="E1042" i="1"/>
  <c r="D1042" i="1"/>
  <c r="C1042" i="1"/>
  <c r="B1042" i="1"/>
  <c r="A1042" i="1"/>
  <c r="R1041" i="1"/>
  <c r="J1041" i="1"/>
  <c r="I1041" i="1"/>
  <c r="G1041" i="1"/>
  <c r="F1041" i="1"/>
  <c r="E1041" i="1"/>
  <c r="D1041" i="1"/>
  <c r="C1041" i="1"/>
  <c r="B1041" i="1"/>
  <c r="A1041" i="1"/>
  <c r="R1040" i="1"/>
  <c r="J1040" i="1"/>
  <c r="I1040" i="1"/>
  <c r="G1040" i="1"/>
  <c r="F1040" i="1"/>
  <c r="E1040" i="1"/>
  <c r="D1040" i="1"/>
  <c r="C1040" i="1"/>
  <c r="B1040" i="1"/>
  <c r="A1040" i="1"/>
  <c r="R1039" i="1"/>
  <c r="J1039" i="1"/>
  <c r="I1039" i="1"/>
  <c r="G1039" i="1"/>
  <c r="F1039" i="1"/>
  <c r="E1039" i="1"/>
  <c r="D1039" i="1"/>
  <c r="C1039" i="1"/>
  <c r="B1039" i="1"/>
  <c r="A1039" i="1"/>
  <c r="R1038" i="1"/>
  <c r="J1038" i="1"/>
  <c r="I1038" i="1"/>
  <c r="G1038" i="1"/>
  <c r="F1038" i="1"/>
  <c r="E1038" i="1"/>
  <c r="D1038" i="1"/>
  <c r="C1038" i="1"/>
  <c r="B1038" i="1"/>
  <c r="A1038" i="1"/>
  <c r="R1037" i="1"/>
  <c r="J1037" i="1"/>
  <c r="I1037" i="1"/>
  <c r="G1037" i="1"/>
  <c r="F1037" i="1"/>
  <c r="E1037" i="1"/>
  <c r="D1037" i="1"/>
  <c r="C1037" i="1"/>
  <c r="B1037" i="1"/>
  <c r="A1037" i="1"/>
  <c r="R1036" i="1"/>
  <c r="J1036" i="1"/>
  <c r="I1036" i="1"/>
  <c r="G1036" i="1"/>
  <c r="F1036" i="1"/>
  <c r="E1036" i="1"/>
  <c r="D1036" i="1"/>
  <c r="C1036" i="1"/>
  <c r="B1036" i="1"/>
  <c r="A1036" i="1"/>
  <c r="R1035" i="1"/>
  <c r="J1035" i="1"/>
  <c r="I1035" i="1"/>
  <c r="G1035" i="1"/>
  <c r="F1035" i="1"/>
  <c r="E1035" i="1"/>
  <c r="D1035" i="1"/>
  <c r="C1035" i="1"/>
  <c r="B1035" i="1"/>
  <c r="A1035" i="1"/>
  <c r="S1034" i="1"/>
  <c r="O1034" i="1"/>
  <c r="K1034" i="1"/>
  <c r="J1034" i="1"/>
  <c r="I1034" i="1"/>
  <c r="H1034" i="1"/>
  <c r="G1034" i="1"/>
  <c r="F1034" i="1"/>
  <c r="E1034" i="1"/>
  <c r="D1034" i="1"/>
  <c r="C1034" i="1"/>
  <c r="B1034" i="1"/>
  <c r="A1034" i="1"/>
  <c r="R1033" i="1"/>
  <c r="J1033" i="1"/>
  <c r="I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R1031" i="1"/>
  <c r="J1031" i="1"/>
  <c r="I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R1029" i="1"/>
  <c r="J1029" i="1"/>
  <c r="I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R1027" i="1"/>
  <c r="J1027" i="1"/>
  <c r="I1027" i="1"/>
  <c r="G1027" i="1"/>
  <c r="F1027" i="1"/>
  <c r="E1027" i="1"/>
  <c r="D1027" i="1"/>
  <c r="C1027" i="1"/>
  <c r="B1027" i="1"/>
  <c r="A1027" i="1"/>
  <c r="R1026" i="1"/>
  <c r="J1026" i="1"/>
  <c r="I1026" i="1"/>
  <c r="G1026" i="1"/>
  <c r="F1026" i="1"/>
  <c r="E1026" i="1"/>
  <c r="D1026" i="1"/>
  <c r="C1026" i="1"/>
  <c r="B1026" i="1"/>
  <c r="A1026" i="1"/>
  <c r="R1025" i="1"/>
  <c r="J1025" i="1"/>
  <c r="I1025" i="1"/>
  <c r="G1025" i="1"/>
  <c r="F1025" i="1"/>
  <c r="E1025" i="1"/>
  <c r="D1025" i="1"/>
  <c r="C1025" i="1"/>
  <c r="B1025" i="1"/>
  <c r="A1025" i="1"/>
  <c r="R1024" i="1"/>
  <c r="J1024" i="1"/>
  <c r="I1024" i="1"/>
  <c r="G1024" i="1"/>
  <c r="F1024" i="1"/>
  <c r="E1024" i="1"/>
  <c r="D1024" i="1"/>
  <c r="C1024" i="1"/>
  <c r="B1024" i="1"/>
  <c r="A1024" i="1"/>
  <c r="R1023" i="1"/>
  <c r="J1023" i="1"/>
  <c r="I1023" i="1"/>
  <c r="G1023" i="1"/>
  <c r="F1023" i="1"/>
  <c r="E1023" i="1"/>
  <c r="D1023" i="1"/>
  <c r="C1023" i="1"/>
  <c r="B1023" i="1"/>
  <c r="A1023" i="1"/>
  <c r="R1022" i="1"/>
  <c r="J1022" i="1"/>
  <c r="I1022" i="1"/>
  <c r="G1022" i="1"/>
  <c r="F1022" i="1"/>
  <c r="E1022" i="1"/>
  <c r="D1022" i="1"/>
  <c r="C1022" i="1"/>
  <c r="B1022" i="1"/>
  <c r="A1022" i="1"/>
  <c r="R1021" i="1"/>
  <c r="J1021" i="1"/>
  <c r="I1021" i="1"/>
  <c r="G1021" i="1"/>
  <c r="F1021" i="1"/>
  <c r="E1021" i="1"/>
  <c r="D1021" i="1"/>
  <c r="C1021" i="1"/>
  <c r="B1021" i="1"/>
  <c r="A1021" i="1"/>
  <c r="R1020" i="1"/>
  <c r="J1020" i="1"/>
  <c r="I1020" i="1"/>
  <c r="G1020" i="1"/>
  <c r="F1020" i="1"/>
  <c r="E1020" i="1"/>
  <c r="D1020" i="1"/>
  <c r="C1020" i="1"/>
  <c r="B1020" i="1"/>
  <c r="A1020" i="1"/>
  <c r="R1019" i="1"/>
  <c r="J1019" i="1"/>
  <c r="I1019" i="1"/>
  <c r="G1019" i="1"/>
  <c r="F1019" i="1"/>
  <c r="E1019" i="1"/>
  <c r="D1019" i="1"/>
  <c r="C1019" i="1"/>
  <c r="B1019" i="1"/>
  <c r="A1019" i="1"/>
  <c r="R1018" i="1"/>
  <c r="J1018" i="1"/>
  <c r="I1018" i="1"/>
  <c r="G1018" i="1"/>
  <c r="F1018" i="1"/>
  <c r="E1018" i="1"/>
  <c r="D1018" i="1"/>
  <c r="C1018" i="1"/>
  <c r="B1018" i="1"/>
  <c r="A1018" i="1"/>
  <c r="R1017" i="1"/>
  <c r="J1017" i="1"/>
  <c r="I1017" i="1"/>
  <c r="G1017" i="1"/>
  <c r="F1017" i="1"/>
  <c r="E1017" i="1"/>
  <c r="D1017" i="1"/>
  <c r="C1017" i="1"/>
  <c r="B1017" i="1"/>
  <c r="A1017" i="1"/>
  <c r="S1016" i="1"/>
  <c r="O1016" i="1"/>
  <c r="K1016" i="1"/>
  <c r="J1016" i="1"/>
  <c r="I1016" i="1"/>
  <c r="H1016" i="1"/>
  <c r="G1016" i="1"/>
  <c r="F1016" i="1"/>
  <c r="E1016" i="1"/>
  <c r="D1016" i="1"/>
  <c r="C1016" i="1"/>
  <c r="B1016" i="1"/>
  <c r="A1016" i="1"/>
  <c r="R1015" i="1"/>
  <c r="J1015" i="1"/>
  <c r="I1015" i="1"/>
  <c r="G1015" i="1"/>
  <c r="F1015" i="1"/>
  <c r="E1015" i="1"/>
  <c r="D1015" i="1"/>
  <c r="C1015" i="1"/>
  <c r="B1015" i="1"/>
  <c r="A1015" i="1"/>
  <c r="R1014" i="1"/>
  <c r="J1014" i="1"/>
  <c r="I1014" i="1"/>
  <c r="G1014" i="1"/>
  <c r="F1014" i="1"/>
  <c r="E1014" i="1"/>
  <c r="D1014" i="1"/>
  <c r="C1014" i="1"/>
  <c r="B1014" i="1"/>
  <c r="A1014" i="1"/>
  <c r="R1013" i="1"/>
  <c r="J1013" i="1"/>
  <c r="I1013" i="1"/>
  <c r="G1013" i="1"/>
  <c r="F1013" i="1"/>
  <c r="E1013" i="1"/>
  <c r="D1013" i="1"/>
  <c r="C1013" i="1"/>
  <c r="B1013" i="1"/>
  <c r="A1013" i="1"/>
  <c r="R1012" i="1"/>
  <c r="J1012" i="1"/>
  <c r="I1012" i="1"/>
  <c r="G1012" i="1"/>
  <c r="F1012" i="1"/>
  <c r="E1012" i="1"/>
  <c r="D1012" i="1"/>
  <c r="C1012" i="1"/>
  <c r="B1012" i="1"/>
  <c r="A1012" i="1"/>
  <c r="R1011" i="1"/>
  <c r="J1011" i="1"/>
  <c r="I1011" i="1"/>
  <c r="G1011" i="1"/>
  <c r="F1011" i="1"/>
  <c r="E1011" i="1"/>
  <c r="D1011" i="1"/>
  <c r="C1011" i="1"/>
  <c r="B1011" i="1"/>
  <c r="A1011" i="1"/>
  <c r="R1010" i="1"/>
  <c r="J1010" i="1"/>
  <c r="I1010" i="1"/>
  <c r="G1010" i="1"/>
  <c r="F1010" i="1"/>
  <c r="E1010" i="1"/>
  <c r="D1010" i="1"/>
  <c r="C1010" i="1"/>
  <c r="B1010" i="1"/>
  <c r="A1010" i="1"/>
  <c r="R1009" i="1"/>
  <c r="J1009" i="1"/>
  <c r="I1009" i="1"/>
  <c r="G1009" i="1"/>
  <c r="F1009" i="1"/>
  <c r="E1009" i="1"/>
  <c r="D1009" i="1"/>
  <c r="C1009" i="1"/>
  <c r="B1009" i="1"/>
  <c r="A1009" i="1"/>
  <c r="R1008" i="1"/>
  <c r="J1008" i="1"/>
  <c r="I1008" i="1"/>
  <c r="G1008" i="1"/>
  <c r="F1008" i="1"/>
  <c r="E1008" i="1"/>
  <c r="D1008" i="1"/>
  <c r="C1008" i="1"/>
  <c r="B1008" i="1"/>
  <c r="A1008" i="1"/>
  <c r="R1007" i="1"/>
  <c r="J1007" i="1"/>
  <c r="I1007" i="1"/>
  <c r="G1007" i="1"/>
  <c r="F1007" i="1"/>
  <c r="E1007" i="1"/>
  <c r="D1007" i="1"/>
  <c r="C1007" i="1"/>
  <c r="B1007" i="1"/>
  <c r="A1007" i="1"/>
  <c r="R1006" i="1"/>
  <c r="J1006" i="1"/>
  <c r="I1006" i="1"/>
  <c r="G1006" i="1"/>
  <c r="F1006" i="1"/>
  <c r="E1006" i="1"/>
  <c r="D1006" i="1"/>
  <c r="C1006" i="1"/>
  <c r="B1006" i="1"/>
  <c r="A1006" i="1"/>
  <c r="R1005" i="1"/>
  <c r="J1005" i="1"/>
  <c r="I1005" i="1"/>
  <c r="G1005" i="1"/>
  <c r="F1005" i="1"/>
  <c r="E1005" i="1"/>
  <c r="D1005" i="1"/>
  <c r="C1005" i="1"/>
  <c r="B1005" i="1"/>
  <c r="A1005" i="1"/>
  <c r="R1004" i="1"/>
  <c r="J1004" i="1"/>
  <c r="I1004" i="1"/>
  <c r="G1004" i="1"/>
  <c r="F1004" i="1"/>
  <c r="E1004" i="1"/>
  <c r="D1004" i="1"/>
  <c r="C1004" i="1"/>
  <c r="B1004" i="1"/>
  <c r="A1004" i="1"/>
  <c r="R1003" i="1"/>
  <c r="J1003" i="1"/>
  <c r="I1003" i="1"/>
  <c r="G1003" i="1"/>
  <c r="F1003" i="1"/>
  <c r="E1003" i="1"/>
  <c r="D1003" i="1"/>
  <c r="C1003" i="1"/>
  <c r="B1003" i="1"/>
  <c r="A1003" i="1"/>
  <c r="R1002" i="1"/>
  <c r="J1002" i="1"/>
  <c r="I1002" i="1"/>
  <c r="G1002" i="1"/>
  <c r="F1002" i="1"/>
  <c r="E1002" i="1"/>
  <c r="D1002" i="1"/>
  <c r="C1002" i="1"/>
  <c r="B1002" i="1"/>
  <c r="A1002" i="1"/>
  <c r="R1001" i="1"/>
  <c r="J1001" i="1"/>
  <c r="I1001" i="1"/>
  <c r="G1001" i="1"/>
  <c r="F1001" i="1"/>
  <c r="E1001" i="1"/>
  <c r="D1001" i="1"/>
  <c r="C1001" i="1"/>
  <c r="B1001" i="1"/>
  <c r="A1001" i="1"/>
  <c r="R1000" i="1"/>
  <c r="J1000" i="1"/>
  <c r="I1000" i="1"/>
  <c r="G1000" i="1"/>
  <c r="F1000" i="1"/>
  <c r="E1000" i="1"/>
  <c r="D1000" i="1"/>
  <c r="C1000" i="1"/>
  <c r="B1000" i="1"/>
  <c r="A1000" i="1"/>
  <c r="R999" i="1"/>
  <c r="J999" i="1"/>
  <c r="I999" i="1"/>
  <c r="G999" i="1"/>
  <c r="F999" i="1"/>
  <c r="E999" i="1"/>
  <c r="D999" i="1"/>
  <c r="C999" i="1"/>
  <c r="B999" i="1"/>
  <c r="A999" i="1"/>
  <c r="R998" i="1"/>
  <c r="J998" i="1"/>
  <c r="I998" i="1"/>
  <c r="G998" i="1"/>
  <c r="F998" i="1"/>
  <c r="E998" i="1"/>
  <c r="D998" i="1"/>
  <c r="C998" i="1"/>
  <c r="B998" i="1"/>
  <c r="A998" i="1"/>
  <c r="R997" i="1"/>
  <c r="J997" i="1"/>
  <c r="I997" i="1"/>
  <c r="G997" i="1"/>
  <c r="F997" i="1"/>
  <c r="E997" i="1"/>
  <c r="D997" i="1"/>
  <c r="C997" i="1"/>
  <c r="B997" i="1"/>
  <c r="A997" i="1"/>
  <c r="R996" i="1"/>
  <c r="J996" i="1"/>
  <c r="I996" i="1"/>
  <c r="G996" i="1"/>
  <c r="F996" i="1"/>
  <c r="E996" i="1"/>
  <c r="D996" i="1"/>
  <c r="C996" i="1"/>
  <c r="B996" i="1"/>
  <c r="A996" i="1"/>
  <c r="R995" i="1"/>
  <c r="J995" i="1"/>
  <c r="I995" i="1"/>
  <c r="G995" i="1"/>
  <c r="F995" i="1"/>
  <c r="E995" i="1"/>
  <c r="D995" i="1"/>
  <c r="C995" i="1"/>
  <c r="B995" i="1"/>
  <c r="A995" i="1"/>
  <c r="R994" i="1"/>
  <c r="J994" i="1"/>
  <c r="I994" i="1"/>
  <c r="G994" i="1"/>
  <c r="F994" i="1"/>
  <c r="E994" i="1"/>
  <c r="D994" i="1"/>
  <c r="C994" i="1"/>
  <c r="B994" i="1"/>
  <c r="A994" i="1"/>
  <c r="R993" i="1"/>
  <c r="J993" i="1"/>
  <c r="I993" i="1"/>
  <c r="G993" i="1"/>
  <c r="F993" i="1"/>
  <c r="E993" i="1"/>
  <c r="D993" i="1"/>
  <c r="C993" i="1"/>
  <c r="B993" i="1"/>
  <c r="A993" i="1"/>
  <c r="R992" i="1"/>
  <c r="J992" i="1"/>
  <c r="I992" i="1"/>
  <c r="G992" i="1"/>
  <c r="F992" i="1"/>
  <c r="E992" i="1"/>
  <c r="D992" i="1"/>
  <c r="C992" i="1"/>
  <c r="B992" i="1"/>
  <c r="A992" i="1"/>
  <c r="R991" i="1"/>
  <c r="J991" i="1"/>
  <c r="I991" i="1"/>
  <c r="G991" i="1"/>
  <c r="F991" i="1"/>
  <c r="E991" i="1"/>
  <c r="D991" i="1"/>
  <c r="C991" i="1"/>
  <c r="B991" i="1"/>
  <c r="A991" i="1"/>
  <c r="R990" i="1"/>
  <c r="J990" i="1"/>
  <c r="I990" i="1"/>
  <c r="G990" i="1"/>
  <c r="F990" i="1"/>
  <c r="E990" i="1"/>
  <c r="D990" i="1"/>
  <c r="C990" i="1"/>
  <c r="B990" i="1"/>
  <c r="A990" i="1"/>
  <c r="R989" i="1"/>
  <c r="J989" i="1"/>
  <c r="I989" i="1"/>
  <c r="G989" i="1"/>
  <c r="F989" i="1"/>
  <c r="E989" i="1"/>
  <c r="D989" i="1"/>
  <c r="C989" i="1"/>
  <c r="B989" i="1"/>
  <c r="A989" i="1"/>
  <c r="R988" i="1"/>
  <c r="J988" i="1"/>
  <c r="I988" i="1"/>
  <c r="G988" i="1"/>
  <c r="F988" i="1"/>
  <c r="E988" i="1"/>
  <c r="D988" i="1"/>
  <c r="C988" i="1"/>
  <c r="B988" i="1"/>
  <c r="A988" i="1"/>
  <c r="R987" i="1"/>
  <c r="J987" i="1"/>
  <c r="I987" i="1"/>
  <c r="G987" i="1"/>
  <c r="F987" i="1"/>
  <c r="E987" i="1"/>
  <c r="D987" i="1"/>
  <c r="C987" i="1"/>
  <c r="B987" i="1"/>
  <c r="A987" i="1"/>
  <c r="R986" i="1"/>
  <c r="J986" i="1"/>
  <c r="I986" i="1"/>
  <c r="G986" i="1"/>
  <c r="F986" i="1"/>
  <c r="E986" i="1"/>
  <c r="D986" i="1"/>
  <c r="C986" i="1"/>
  <c r="B986" i="1"/>
  <c r="A986" i="1"/>
  <c r="R985" i="1"/>
  <c r="J985" i="1"/>
  <c r="I985" i="1"/>
  <c r="G985" i="1"/>
  <c r="F985" i="1"/>
  <c r="E985" i="1"/>
  <c r="D985" i="1"/>
  <c r="C985" i="1"/>
  <c r="B985" i="1"/>
  <c r="A985" i="1"/>
  <c r="R984" i="1"/>
  <c r="J984" i="1"/>
  <c r="I984" i="1"/>
  <c r="G984" i="1"/>
  <c r="F984" i="1"/>
  <c r="E984" i="1"/>
  <c r="D984" i="1"/>
  <c r="C984" i="1"/>
  <c r="B984" i="1"/>
  <c r="A984" i="1"/>
  <c r="R983" i="1"/>
  <c r="J983" i="1"/>
  <c r="I983" i="1"/>
  <c r="G983" i="1"/>
  <c r="F983" i="1"/>
  <c r="E983" i="1"/>
  <c r="D983" i="1"/>
  <c r="C983" i="1"/>
  <c r="B983" i="1"/>
  <c r="A983" i="1"/>
  <c r="R982" i="1"/>
  <c r="J982" i="1"/>
  <c r="I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R980" i="1"/>
  <c r="J980" i="1"/>
  <c r="I980" i="1"/>
  <c r="G980" i="1"/>
  <c r="F980" i="1"/>
  <c r="E980" i="1"/>
  <c r="D980" i="1"/>
  <c r="C980" i="1"/>
  <c r="B980" i="1"/>
  <c r="A980" i="1"/>
  <c r="R979" i="1"/>
  <c r="J979" i="1"/>
  <c r="I979" i="1"/>
  <c r="G979" i="1"/>
  <c r="F979" i="1"/>
  <c r="E979" i="1"/>
  <c r="D979" i="1"/>
  <c r="C979" i="1"/>
  <c r="B979" i="1"/>
  <c r="A979" i="1"/>
  <c r="R978" i="1"/>
  <c r="J978" i="1"/>
  <c r="I978" i="1"/>
  <c r="G978" i="1"/>
  <c r="F978" i="1"/>
  <c r="E978" i="1"/>
  <c r="D978" i="1"/>
  <c r="C978" i="1"/>
  <c r="B978" i="1"/>
  <c r="A978" i="1"/>
  <c r="R977" i="1"/>
  <c r="J977" i="1"/>
  <c r="I977" i="1"/>
  <c r="G977" i="1"/>
  <c r="F977" i="1"/>
  <c r="E977" i="1"/>
  <c r="D977" i="1"/>
  <c r="C977" i="1"/>
  <c r="B977" i="1"/>
  <c r="A977" i="1"/>
  <c r="R976" i="1"/>
  <c r="J976" i="1"/>
  <c r="I976" i="1"/>
  <c r="G976" i="1"/>
  <c r="F976" i="1"/>
  <c r="E976" i="1"/>
  <c r="D976" i="1"/>
  <c r="C976" i="1"/>
  <c r="B976" i="1"/>
  <c r="A976" i="1"/>
  <c r="R975" i="1"/>
  <c r="J975" i="1"/>
  <c r="I975" i="1"/>
  <c r="G975" i="1"/>
  <c r="F975" i="1"/>
  <c r="E975" i="1"/>
  <c r="D975" i="1"/>
  <c r="C975" i="1"/>
  <c r="B975" i="1"/>
  <c r="A975" i="1"/>
  <c r="R974" i="1"/>
  <c r="J974" i="1"/>
  <c r="I974" i="1"/>
  <c r="G974" i="1"/>
  <c r="F974" i="1"/>
  <c r="E974" i="1"/>
  <c r="D974" i="1"/>
  <c r="C974" i="1"/>
  <c r="B974" i="1"/>
  <c r="A974" i="1"/>
  <c r="R973" i="1"/>
  <c r="J973" i="1"/>
  <c r="I973" i="1"/>
  <c r="G973" i="1"/>
  <c r="F973" i="1"/>
  <c r="E973" i="1"/>
  <c r="D973" i="1"/>
  <c r="C973" i="1"/>
  <c r="B973" i="1"/>
  <c r="A973" i="1"/>
  <c r="R972" i="1"/>
  <c r="J972" i="1"/>
  <c r="I972" i="1"/>
  <c r="G972" i="1"/>
  <c r="F972" i="1"/>
  <c r="E972" i="1"/>
  <c r="D972" i="1"/>
  <c r="C972" i="1"/>
  <c r="B972" i="1"/>
  <c r="A972" i="1"/>
  <c r="R971" i="1"/>
  <c r="J971" i="1"/>
  <c r="I971" i="1"/>
  <c r="G971" i="1"/>
  <c r="F971" i="1"/>
  <c r="E971" i="1"/>
  <c r="D971" i="1"/>
  <c r="C971" i="1"/>
  <c r="B971" i="1"/>
  <c r="A971" i="1"/>
  <c r="R970" i="1"/>
  <c r="J970" i="1"/>
  <c r="I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R968" i="1"/>
  <c r="J968" i="1"/>
  <c r="I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S966" i="1"/>
  <c r="O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S964" i="1"/>
  <c r="O964" i="1"/>
  <c r="K964" i="1"/>
  <c r="J964" i="1"/>
  <c r="I964" i="1"/>
  <c r="H964" i="1"/>
  <c r="G964" i="1"/>
  <c r="F964" i="1"/>
  <c r="E964" i="1"/>
  <c r="D964" i="1"/>
  <c r="C964" i="1"/>
  <c r="B964" i="1"/>
  <c r="A964" i="1"/>
  <c r="R963" i="1"/>
  <c r="J963" i="1"/>
  <c r="I963" i="1"/>
  <c r="G963" i="1"/>
  <c r="F963" i="1"/>
  <c r="E963" i="1"/>
  <c r="D963" i="1"/>
  <c r="C963" i="1"/>
  <c r="B963" i="1"/>
  <c r="A963" i="1"/>
  <c r="S962" i="1"/>
  <c r="O962" i="1"/>
  <c r="K962" i="1"/>
  <c r="J962" i="1"/>
  <c r="I962" i="1"/>
  <c r="H962" i="1"/>
  <c r="G962" i="1"/>
  <c r="F962" i="1"/>
  <c r="E962" i="1"/>
  <c r="D962" i="1"/>
  <c r="C962" i="1"/>
  <c r="B962" i="1"/>
  <c r="A962" i="1"/>
  <c r="R961" i="1"/>
  <c r="J961" i="1"/>
  <c r="I961" i="1"/>
  <c r="G961" i="1"/>
  <c r="F961" i="1"/>
  <c r="E961" i="1"/>
  <c r="D961" i="1"/>
  <c r="C961" i="1"/>
  <c r="B961" i="1"/>
  <c r="A961" i="1"/>
  <c r="S960" i="1"/>
  <c r="O960" i="1"/>
  <c r="K960" i="1"/>
  <c r="J960" i="1"/>
  <c r="I960" i="1"/>
  <c r="H960" i="1"/>
  <c r="G960" i="1"/>
  <c r="F960" i="1"/>
  <c r="E960" i="1"/>
  <c r="D960" i="1"/>
  <c r="C960" i="1"/>
  <c r="B960" i="1"/>
  <c r="A960" i="1"/>
  <c r="R959" i="1"/>
  <c r="J959" i="1"/>
  <c r="I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R955" i="1"/>
  <c r="J955" i="1"/>
  <c r="I955" i="1"/>
  <c r="G955" i="1"/>
  <c r="F955" i="1"/>
  <c r="E955" i="1"/>
  <c r="D955" i="1"/>
  <c r="C955" i="1"/>
  <c r="B955" i="1"/>
  <c r="A955" i="1"/>
  <c r="S954" i="1"/>
  <c r="O954" i="1"/>
  <c r="K954" i="1"/>
  <c r="J954" i="1"/>
  <c r="I954" i="1"/>
  <c r="H954" i="1"/>
  <c r="G954" i="1"/>
  <c r="F954" i="1"/>
  <c r="E954" i="1"/>
  <c r="D954" i="1"/>
  <c r="C954" i="1"/>
  <c r="B954" i="1"/>
  <c r="A954" i="1"/>
  <c r="R953" i="1"/>
  <c r="J953" i="1"/>
  <c r="I953" i="1"/>
  <c r="G953" i="1"/>
  <c r="F953" i="1"/>
  <c r="E953" i="1"/>
  <c r="D953" i="1"/>
  <c r="C953" i="1"/>
  <c r="B953" i="1"/>
  <c r="A953" i="1"/>
  <c r="S952" i="1"/>
  <c r="O952" i="1"/>
  <c r="K952" i="1"/>
  <c r="J952" i="1"/>
  <c r="I952" i="1"/>
  <c r="H952" i="1"/>
  <c r="G952" i="1"/>
  <c r="F952" i="1"/>
  <c r="E952" i="1"/>
  <c r="D952" i="1"/>
  <c r="C952" i="1"/>
  <c r="B952" i="1"/>
  <c r="A952" i="1"/>
  <c r="R951" i="1"/>
  <c r="J951" i="1"/>
  <c r="I951" i="1"/>
  <c r="G951" i="1"/>
  <c r="F951" i="1"/>
  <c r="E951" i="1"/>
  <c r="D951" i="1"/>
  <c r="C951" i="1"/>
  <c r="B951" i="1"/>
  <c r="A951" i="1"/>
  <c r="S950" i="1"/>
  <c r="O950" i="1"/>
  <c r="K950" i="1"/>
  <c r="J950" i="1"/>
  <c r="I950" i="1"/>
  <c r="H950" i="1"/>
  <c r="G950" i="1"/>
  <c r="F950" i="1"/>
  <c r="E950" i="1"/>
  <c r="D950" i="1"/>
  <c r="C950" i="1"/>
  <c r="B950" i="1"/>
  <c r="A950" i="1"/>
  <c r="S949" i="1"/>
  <c r="O949" i="1"/>
  <c r="K949" i="1"/>
  <c r="J949" i="1"/>
  <c r="I949" i="1"/>
  <c r="H949" i="1"/>
  <c r="G949" i="1"/>
  <c r="F949" i="1"/>
  <c r="D949" i="1"/>
  <c r="C949" i="1"/>
  <c r="B949" i="1"/>
  <c r="A949" i="1"/>
  <c r="S948" i="1"/>
  <c r="O948" i="1"/>
  <c r="K948" i="1"/>
  <c r="J948" i="1"/>
  <c r="I948" i="1"/>
  <c r="H948" i="1"/>
  <c r="G948" i="1"/>
  <c r="F948" i="1"/>
  <c r="D948" i="1"/>
  <c r="C948" i="1"/>
  <c r="B948" i="1"/>
  <c r="A948" i="1"/>
  <c r="R947" i="1"/>
  <c r="J947" i="1"/>
  <c r="I947" i="1"/>
  <c r="G947" i="1"/>
  <c r="F947" i="1"/>
  <c r="E947" i="1"/>
  <c r="D947" i="1"/>
  <c r="C947" i="1"/>
  <c r="B947" i="1"/>
  <c r="A947" i="1"/>
  <c r="R946" i="1"/>
  <c r="J946" i="1"/>
  <c r="I946" i="1"/>
  <c r="G946" i="1"/>
  <c r="F946" i="1"/>
  <c r="E946" i="1"/>
  <c r="D946" i="1"/>
  <c r="C946" i="1"/>
  <c r="B946" i="1"/>
  <c r="A946" i="1"/>
  <c r="R945" i="1"/>
  <c r="J945" i="1"/>
  <c r="I945" i="1"/>
  <c r="G945" i="1"/>
  <c r="F945" i="1"/>
  <c r="E945" i="1"/>
  <c r="D945" i="1"/>
  <c r="C945" i="1"/>
  <c r="B945" i="1"/>
  <c r="A945" i="1"/>
  <c r="R944" i="1"/>
  <c r="J944" i="1"/>
  <c r="I944" i="1"/>
  <c r="G944" i="1"/>
  <c r="F944" i="1"/>
  <c r="E944" i="1"/>
  <c r="D944" i="1"/>
  <c r="C944" i="1"/>
  <c r="B944" i="1"/>
  <c r="A944" i="1"/>
  <c r="R943" i="1"/>
  <c r="J943" i="1"/>
  <c r="I943" i="1"/>
  <c r="G943" i="1"/>
  <c r="F943" i="1"/>
  <c r="E943" i="1"/>
  <c r="D943" i="1"/>
  <c r="C943" i="1"/>
  <c r="B943" i="1"/>
  <c r="A943" i="1"/>
  <c r="S942" i="1"/>
  <c r="O942" i="1"/>
  <c r="K942" i="1"/>
  <c r="J942" i="1"/>
  <c r="I942" i="1"/>
  <c r="H942" i="1"/>
  <c r="G942" i="1"/>
  <c r="F942" i="1"/>
  <c r="E942" i="1"/>
  <c r="D942" i="1"/>
  <c r="C942" i="1"/>
  <c r="B942" i="1"/>
  <c r="A942" i="1"/>
  <c r="R941" i="1"/>
  <c r="J941" i="1"/>
  <c r="I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R939" i="1"/>
  <c r="J939" i="1"/>
  <c r="I939" i="1"/>
  <c r="G939" i="1"/>
  <c r="F939" i="1"/>
  <c r="E939" i="1"/>
  <c r="D939" i="1"/>
  <c r="C939" i="1"/>
  <c r="B939" i="1"/>
  <c r="A939" i="1"/>
  <c r="R938" i="1"/>
  <c r="J938" i="1"/>
  <c r="I938" i="1"/>
  <c r="G938" i="1"/>
  <c r="F938" i="1"/>
  <c r="E938" i="1"/>
  <c r="D938" i="1"/>
  <c r="C938" i="1"/>
  <c r="B938" i="1"/>
  <c r="A938" i="1"/>
  <c r="R937" i="1"/>
  <c r="J937" i="1"/>
  <c r="I937" i="1"/>
  <c r="G937" i="1"/>
  <c r="F937" i="1"/>
  <c r="E937" i="1"/>
  <c r="D937" i="1"/>
  <c r="C937" i="1"/>
  <c r="B937" i="1"/>
  <c r="A937" i="1"/>
  <c r="S936" i="1"/>
  <c r="O936" i="1"/>
  <c r="K936" i="1"/>
  <c r="J936" i="1"/>
  <c r="I936" i="1"/>
  <c r="H936" i="1"/>
  <c r="G936" i="1"/>
  <c r="F936" i="1"/>
  <c r="E936" i="1"/>
  <c r="D936" i="1"/>
  <c r="C936" i="1"/>
  <c r="B936" i="1"/>
  <c r="A936" i="1"/>
  <c r="R935" i="1"/>
  <c r="J935" i="1"/>
  <c r="I935" i="1"/>
  <c r="G935" i="1"/>
  <c r="F935" i="1"/>
  <c r="E935" i="1"/>
  <c r="D935" i="1"/>
  <c r="C935" i="1"/>
  <c r="B935" i="1"/>
  <c r="A935" i="1"/>
  <c r="S934" i="1"/>
  <c r="O934" i="1"/>
  <c r="K934" i="1"/>
  <c r="J934" i="1"/>
  <c r="I934" i="1"/>
  <c r="H934" i="1"/>
  <c r="G934" i="1"/>
  <c r="F934" i="1"/>
  <c r="E934" i="1"/>
  <c r="D934" i="1"/>
  <c r="C934" i="1"/>
  <c r="B934" i="1"/>
  <c r="A934" i="1"/>
  <c r="R933" i="1"/>
  <c r="J933" i="1"/>
  <c r="I933" i="1"/>
  <c r="G933" i="1"/>
  <c r="F933" i="1"/>
  <c r="E933" i="1"/>
  <c r="D933" i="1"/>
  <c r="C933" i="1"/>
  <c r="B933" i="1"/>
  <c r="A933" i="1"/>
  <c r="S932" i="1"/>
  <c r="O932" i="1"/>
  <c r="K932" i="1"/>
  <c r="J932" i="1"/>
  <c r="I932" i="1"/>
  <c r="H932" i="1"/>
  <c r="G932" i="1"/>
  <c r="F932" i="1"/>
  <c r="E932" i="1"/>
  <c r="D932" i="1"/>
  <c r="C932" i="1"/>
  <c r="B932" i="1"/>
  <c r="A932" i="1"/>
  <c r="R931" i="1"/>
  <c r="J931" i="1"/>
  <c r="I931" i="1"/>
  <c r="G931" i="1"/>
  <c r="F931" i="1"/>
  <c r="E931" i="1"/>
  <c r="D931" i="1"/>
  <c r="C931" i="1"/>
  <c r="B931" i="1"/>
  <c r="A931" i="1"/>
  <c r="S930" i="1"/>
  <c r="O930" i="1"/>
  <c r="K930" i="1"/>
  <c r="J930" i="1"/>
  <c r="I930" i="1"/>
  <c r="H930" i="1"/>
  <c r="G930" i="1"/>
  <c r="F930" i="1"/>
  <c r="E930" i="1"/>
  <c r="D930" i="1"/>
  <c r="C930" i="1"/>
  <c r="B930" i="1"/>
  <c r="A930" i="1"/>
  <c r="R929" i="1"/>
  <c r="J929" i="1"/>
  <c r="I929" i="1"/>
  <c r="G929" i="1"/>
  <c r="F929" i="1"/>
  <c r="E929" i="1"/>
  <c r="D929" i="1"/>
  <c r="C929" i="1"/>
  <c r="B929" i="1"/>
  <c r="A929" i="1"/>
  <c r="S928" i="1"/>
  <c r="O928" i="1"/>
  <c r="K928" i="1"/>
  <c r="J928" i="1"/>
  <c r="I928" i="1"/>
  <c r="H928" i="1"/>
  <c r="G928" i="1"/>
  <c r="F928" i="1"/>
  <c r="E928" i="1"/>
  <c r="D928" i="1"/>
  <c r="C928" i="1"/>
  <c r="B928" i="1"/>
  <c r="A928" i="1"/>
  <c r="S927" i="1"/>
  <c r="O927" i="1"/>
  <c r="K927" i="1"/>
  <c r="J927" i="1"/>
  <c r="I927" i="1"/>
  <c r="H927" i="1"/>
  <c r="G927" i="1"/>
  <c r="F927" i="1"/>
  <c r="D927" i="1"/>
  <c r="C927" i="1"/>
  <c r="B927" i="1"/>
  <c r="A927" i="1"/>
  <c r="S926" i="1"/>
  <c r="O926" i="1"/>
  <c r="K926" i="1"/>
  <c r="J926" i="1"/>
  <c r="I926" i="1"/>
  <c r="H926" i="1"/>
  <c r="G926" i="1"/>
  <c r="F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S922" i="1"/>
  <c r="O922" i="1"/>
  <c r="K922" i="1"/>
  <c r="J922" i="1"/>
  <c r="I922" i="1"/>
  <c r="H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S918" i="1"/>
  <c r="O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J917" i="1"/>
  <c r="I917" i="1"/>
  <c r="G917" i="1"/>
  <c r="F917" i="1"/>
  <c r="E917" i="1"/>
  <c r="D917" i="1"/>
  <c r="C917" i="1"/>
  <c r="B917" i="1"/>
  <c r="A917" i="1"/>
  <c r="S916" i="1"/>
  <c r="O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S914" i="1"/>
  <c r="O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J913" i="1"/>
  <c r="I913" i="1"/>
  <c r="G913" i="1"/>
  <c r="F913" i="1"/>
  <c r="E913" i="1"/>
  <c r="D913" i="1"/>
  <c r="C913" i="1"/>
  <c r="B913" i="1"/>
  <c r="A913" i="1"/>
  <c r="S912" i="1"/>
  <c r="O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J911" i="1"/>
  <c r="I911" i="1"/>
  <c r="G911" i="1"/>
  <c r="F911" i="1"/>
  <c r="E911" i="1"/>
  <c r="D911" i="1"/>
  <c r="C911" i="1"/>
  <c r="B911" i="1"/>
  <c r="A911" i="1"/>
  <c r="S910" i="1"/>
  <c r="O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S908" i="1"/>
  <c r="O908" i="1"/>
  <c r="K908" i="1"/>
  <c r="J908" i="1"/>
  <c r="I908" i="1"/>
  <c r="H908" i="1"/>
  <c r="G908" i="1"/>
  <c r="F908" i="1"/>
  <c r="E908" i="1"/>
  <c r="D908" i="1"/>
  <c r="C908" i="1"/>
  <c r="B908" i="1"/>
  <c r="A908" i="1"/>
  <c r="R907" i="1"/>
  <c r="J907" i="1"/>
  <c r="I907" i="1"/>
  <c r="G907" i="1"/>
  <c r="F907" i="1"/>
  <c r="E907" i="1"/>
  <c r="D907" i="1"/>
  <c r="C907" i="1"/>
  <c r="B907" i="1"/>
  <c r="A907" i="1"/>
  <c r="S906" i="1"/>
  <c r="O906" i="1"/>
  <c r="K906" i="1"/>
  <c r="J906" i="1"/>
  <c r="I906" i="1"/>
  <c r="H906" i="1"/>
  <c r="G906" i="1"/>
  <c r="F906" i="1"/>
  <c r="E906" i="1"/>
  <c r="D906" i="1"/>
  <c r="C906" i="1"/>
  <c r="B906" i="1"/>
  <c r="A906" i="1"/>
  <c r="R905" i="1"/>
  <c r="J905" i="1"/>
  <c r="I905" i="1"/>
  <c r="G905" i="1"/>
  <c r="F905" i="1"/>
  <c r="E905" i="1"/>
  <c r="D905" i="1"/>
  <c r="C905" i="1"/>
  <c r="B905" i="1"/>
  <c r="A905" i="1"/>
  <c r="S904" i="1"/>
  <c r="O904" i="1"/>
  <c r="K904" i="1"/>
  <c r="J904" i="1"/>
  <c r="I904" i="1"/>
  <c r="H904" i="1"/>
  <c r="G904" i="1"/>
  <c r="F904" i="1"/>
  <c r="E904" i="1"/>
  <c r="D904" i="1"/>
  <c r="C904" i="1"/>
  <c r="B904" i="1"/>
  <c r="A904" i="1"/>
  <c r="R903" i="1"/>
  <c r="J903" i="1"/>
  <c r="I903" i="1"/>
  <c r="G903" i="1"/>
  <c r="F903" i="1"/>
  <c r="E903" i="1"/>
  <c r="D903" i="1"/>
  <c r="C903" i="1"/>
  <c r="B903" i="1"/>
  <c r="A903" i="1"/>
  <c r="S902" i="1"/>
  <c r="O902" i="1"/>
  <c r="K902" i="1"/>
  <c r="J902" i="1"/>
  <c r="I902" i="1"/>
  <c r="H902" i="1"/>
  <c r="G902" i="1"/>
  <c r="F902" i="1"/>
  <c r="E902" i="1"/>
  <c r="D902" i="1"/>
  <c r="C902" i="1"/>
  <c r="B902" i="1"/>
  <c r="A902" i="1"/>
  <c r="R901" i="1"/>
  <c r="J901" i="1"/>
  <c r="I901" i="1"/>
  <c r="G901" i="1"/>
  <c r="F901" i="1"/>
  <c r="E901" i="1"/>
  <c r="D901" i="1"/>
  <c r="C901" i="1"/>
  <c r="B901" i="1"/>
  <c r="A901" i="1"/>
  <c r="S900" i="1"/>
  <c r="O900" i="1"/>
  <c r="K900" i="1"/>
  <c r="J900" i="1"/>
  <c r="I900" i="1"/>
  <c r="H900" i="1"/>
  <c r="G900" i="1"/>
  <c r="F900" i="1"/>
  <c r="E900" i="1"/>
  <c r="D900" i="1"/>
  <c r="C900" i="1"/>
  <c r="B900" i="1"/>
  <c r="A900" i="1"/>
  <c r="R899" i="1"/>
  <c r="J899" i="1"/>
  <c r="I899" i="1"/>
  <c r="G899" i="1"/>
  <c r="F899" i="1"/>
  <c r="E899" i="1"/>
  <c r="D899" i="1"/>
  <c r="C899" i="1"/>
  <c r="B899" i="1"/>
  <c r="A899" i="1"/>
  <c r="S898" i="1"/>
  <c r="O898" i="1"/>
  <c r="K898" i="1"/>
  <c r="J898" i="1"/>
  <c r="I898" i="1"/>
  <c r="H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S896" i="1"/>
  <c r="O896" i="1"/>
  <c r="K896" i="1"/>
  <c r="J896" i="1"/>
  <c r="I896" i="1"/>
  <c r="H896" i="1"/>
  <c r="G896" i="1"/>
  <c r="F896" i="1"/>
  <c r="E896" i="1"/>
  <c r="D896" i="1"/>
  <c r="C896" i="1"/>
  <c r="B896" i="1"/>
  <c r="A896" i="1"/>
  <c r="R895" i="1"/>
  <c r="J895" i="1"/>
  <c r="I895" i="1"/>
  <c r="G895" i="1"/>
  <c r="F895" i="1"/>
  <c r="E895" i="1"/>
  <c r="D895" i="1"/>
  <c r="C895" i="1"/>
  <c r="B895" i="1"/>
  <c r="A895" i="1"/>
  <c r="S894" i="1"/>
  <c r="O894" i="1"/>
  <c r="K894" i="1"/>
  <c r="J894" i="1"/>
  <c r="I894" i="1"/>
  <c r="H894" i="1"/>
  <c r="G894" i="1"/>
  <c r="F894" i="1"/>
  <c r="E894" i="1"/>
  <c r="D894" i="1"/>
  <c r="C894" i="1"/>
  <c r="B894" i="1"/>
  <c r="A894" i="1"/>
  <c r="R893" i="1"/>
  <c r="J893" i="1"/>
  <c r="I893" i="1"/>
  <c r="G893" i="1"/>
  <c r="F893" i="1"/>
  <c r="E893" i="1"/>
  <c r="D893" i="1"/>
  <c r="C893" i="1"/>
  <c r="B893" i="1"/>
  <c r="A893" i="1"/>
  <c r="S892" i="1"/>
  <c r="O892" i="1"/>
  <c r="K892" i="1"/>
  <c r="J892" i="1"/>
  <c r="I892" i="1"/>
  <c r="H892" i="1"/>
  <c r="G892" i="1"/>
  <c r="F892" i="1"/>
  <c r="E892" i="1"/>
  <c r="D892" i="1"/>
  <c r="C892" i="1"/>
  <c r="B892" i="1"/>
  <c r="A892" i="1"/>
  <c r="R891" i="1"/>
  <c r="J891" i="1"/>
  <c r="I891" i="1"/>
  <c r="G891" i="1"/>
  <c r="F891" i="1"/>
  <c r="E891" i="1"/>
  <c r="D891" i="1"/>
  <c r="C891" i="1"/>
  <c r="B891" i="1"/>
  <c r="A891" i="1"/>
  <c r="S890" i="1"/>
  <c r="O890" i="1"/>
  <c r="K890" i="1"/>
  <c r="J890" i="1"/>
  <c r="I890" i="1"/>
  <c r="H890" i="1"/>
  <c r="G890" i="1"/>
  <c r="F890" i="1"/>
  <c r="E890" i="1"/>
  <c r="D890" i="1"/>
  <c r="C890" i="1"/>
  <c r="B890" i="1"/>
  <c r="A890" i="1"/>
  <c r="R889" i="1"/>
  <c r="J889" i="1"/>
  <c r="I889" i="1"/>
  <c r="G889" i="1"/>
  <c r="F889" i="1"/>
  <c r="E889" i="1"/>
  <c r="D889" i="1"/>
  <c r="C889" i="1"/>
  <c r="B889" i="1"/>
  <c r="A889" i="1"/>
  <c r="S888" i="1"/>
  <c r="O888" i="1"/>
  <c r="K888" i="1"/>
  <c r="J888" i="1"/>
  <c r="I888" i="1"/>
  <c r="H888" i="1"/>
  <c r="G888" i="1"/>
  <c r="F888" i="1"/>
  <c r="E888" i="1"/>
  <c r="D888" i="1"/>
  <c r="C888" i="1"/>
  <c r="B888" i="1"/>
  <c r="A888" i="1"/>
  <c r="R887" i="1"/>
  <c r="J887" i="1"/>
  <c r="I887" i="1"/>
  <c r="G887" i="1"/>
  <c r="F887" i="1"/>
  <c r="E887" i="1"/>
  <c r="D887" i="1"/>
  <c r="C887" i="1"/>
  <c r="B887" i="1"/>
  <c r="A887" i="1"/>
  <c r="R886" i="1"/>
  <c r="J886" i="1"/>
  <c r="I886" i="1"/>
  <c r="G886" i="1"/>
  <c r="F886" i="1"/>
  <c r="E886" i="1"/>
  <c r="D886" i="1"/>
  <c r="C886" i="1"/>
  <c r="B886" i="1"/>
  <c r="A886" i="1"/>
  <c r="S885" i="1"/>
  <c r="O885" i="1"/>
  <c r="K885" i="1"/>
  <c r="J885" i="1"/>
  <c r="I885" i="1"/>
  <c r="H885" i="1"/>
  <c r="G885" i="1"/>
  <c r="F885" i="1"/>
  <c r="E885" i="1"/>
  <c r="D885" i="1"/>
  <c r="C885" i="1"/>
  <c r="B885" i="1"/>
  <c r="A885" i="1"/>
  <c r="R884" i="1"/>
  <c r="J884" i="1"/>
  <c r="I884" i="1"/>
  <c r="G884" i="1"/>
  <c r="F884" i="1"/>
  <c r="E884" i="1"/>
  <c r="D884" i="1"/>
  <c r="C884" i="1"/>
  <c r="B884" i="1"/>
  <c r="A884" i="1"/>
  <c r="S883" i="1"/>
  <c r="O883" i="1"/>
  <c r="K883" i="1"/>
  <c r="J883" i="1"/>
  <c r="I883" i="1"/>
  <c r="H883" i="1"/>
  <c r="G883" i="1"/>
  <c r="F883" i="1"/>
  <c r="E883" i="1"/>
  <c r="D883" i="1"/>
  <c r="C883" i="1"/>
  <c r="B883" i="1"/>
  <c r="A883" i="1"/>
  <c r="R882" i="1"/>
  <c r="J882" i="1"/>
  <c r="I882" i="1"/>
  <c r="G882" i="1"/>
  <c r="F882" i="1"/>
  <c r="E882" i="1"/>
  <c r="D882" i="1"/>
  <c r="C882" i="1"/>
  <c r="B882" i="1"/>
  <c r="A882" i="1"/>
  <c r="S881" i="1"/>
  <c r="O881" i="1"/>
  <c r="K881" i="1"/>
  <c r="J881" i="1"/>
  <c r="I881" i="1"/>
  <c r="H881" i="1"/>
  <c r="G881" i="1"/>
  <c r="F881" i="1"/>
  <c r="E881" i="1"/>
  <c r="D881" i="1"/>
  <c r="C881" i="1"/>
  <c r="B881" i="1"/>
  <c r="A881" i="1"/>
  <c r="R880" i="1"/>
  <c r="J880" i="1"/>
  <c r="I880" i="1"/>
  <c r="G880" i="1"/>
  <c r="F880" i="1"/>
  <c r="E880" i="1"/>
  <c r="D880" i="1"/>
  <c r="C880" i="1"/>
  <c r="B880" i="1"/>
  <c r="A880" i="1"/>
  <c r="S879" i="1"/>
  <c r="O879" i="1"/>
  <c r="K879" i="1"/>
  <c r="J879" i="1"/>
  <c r="I879" i="1"/>
  <c r="H879" i="1"/>
  <c r="G879" i="1"/>
  <c r="F879" i="1"/>
  <c r="E879" i="1"/>
  <c r="D879" i="1"/>
  <c r="C879" i="1"/>
  <c r="B879" i="1"/>
  <c r="A879" i="1"/>
  <c r="R878" i="1"/>
  <c r="J878" i="1"/>
  <c r="I878" i="1"/>
  <c r="G878" i="1"/>
  <c r="F878" i="1"/>
  <c r="E878" i="1"/>
  <c r="D878" i="1"/>
  <c r="C878" i="1"/>
  <c r="B878" i="1"/>
  <c r="A878" i="1"/>
  <c r="S877" i="1"/>
  <c r="O877" i="1"/>
  <c r="K877" i="1"/>
  <c r="J877" i="1"/>
  <c r="I877" i="1"/>
  <c r="H877" i="1"/>
  <c r="G877" i="1"/>
  <c r="F877" i="1"/>
  <c r="E877" i="1"/>
  <c r="D877" i="1"/>
  <c r="C877" i="1"/>
  <c r="B877" i="1"/>
  <c r="A877" i="1"/>
  <c r="R876" i="1"/>
  <c r="J876" i="1"/>
  <c r="I876" i="1"/>
  <c r="G876" i="1"/>
  <c r="F876" i="1"/>
  <c r="E876" i="1"/>
  <c r="D876" i="1"/>
  <c r="C876" i="1"/>
  <c r="B876" i="1"/>
  <c r="A876" i="1"/>
  <c r="S875" i="1"/>
  <c r="O875" i="1"/>
  <c r="K875" i="1"/>
  <c r="J875" i="1"/>
  <c r="I875" i="1"/>
  <c r="H875" i="1"/>
  <c r="G875" i="1"/>
  <c r="F875" i="1"/>
  <c r="E875" i="1"/>
  <c r="D875" i="1"/>
  <c r="C875" i="1"/>
  <c r="B875" i="1"/>
  <c r="A875" i="1"/>
  <c r="R874" i="1"/>
  <c r="J874" i="1"/>
  <c r="I874" i="1"/>
  <c r="G874" i="1"/>
  <c r="F874" i="1"/>
  <c r="E874" i="1"/>
  <c r="D874" i="1"/>
  <c r="C874" i="1"/>
  <c r="B874" i="1"/>
  <c r="A874" i="1"/>
  <c r="S873" i="1"/>
  <c r="O873" i="1"/>
  <c r="K873" i="1"/>
  <c r="J873" i="1"/>
  <c r="I873" i="1"/>
  <c r="H873" i="1"/>
  <c r="G873" i="1"/>
  <c r="F873" i="1"/>
  <c r="E873" i="1"/>
  <c r="D873" i="1"/>
  <c r="C873" i="1"/>
  <c r="B873" i="1"/>
  <c r="A873" i="1"/>
  <c r="R872" i="1"/>
  <c r="J872" i="1"/>
  <c r="I872" i="1"/>
  <c r="G872" i="1"/>
  <c r="F872" i="1"/>
  <c r="E872" i="1"/>
  <c r="D872" i="1"/>
  <c r="C872" i="1"/>
  <c r="B872" i="1"/>
  <c r="A872" i="1"/>
  <c r="S871" i="1"/>
  <c r="O871" i="1"/>
  <c r="K871" i="1"/>
  <c r="J871" i="1"/>
  <c r="I871" i="1"/>
  <c r="H871" i="1"/>
  <c r="G871" i="1"/>
  <c r="F871" i="1"/>
  <c r="E871" i="1"/>
  <c r="D871" i="1"/>
  <c r="C871" i="1"/>
  <c r="B871" i="1"/>
  <c r="A871" i="1"/>
  <c r="R870" i="1"/>
  <c r="J870" i="1"/>
  <c r="I870" i="1"/>
  <c r="G870" i="1"/>
  <c r="F870" i="1"/>
  <c r="E870" i="1"/>
  <c r="D870" i="1"/>
  <c r="C870" i="1"/>
  <c r="B870" i="1"/>
  <c r="A870" i="1"/>
  <c r="S869" i="1"/>
  <c r="O869" i="1"/>
  <c r="K869" i="1"/>
  <c r="J869" i="1"/>
  <c r="I869" i="1"/>
  <c r="H869" i="1"/>
  <c r="G869" i="1"/>
  <c r="F869" i="1"/>
  <c r="E869" i="1"/>
  <c r="D869" i="1"/>
  <c r="C869" i="1"/>
  <c r="B869" i="1"/>
  <c r="A869" i="1"/>
  <c r="R868" i="1"/>
  <c r="J868" i="1"/>
  <c r="I868" i="1"/>
  <c r="G868" i="1"/>
  <c r="F868" i="1"/>
  <c r="E868" i="1"/>
  <c r="D868" i="1"/>
  <c r="C868" i="1"/>
  <c r="B868" i="1"/>
  <c r="A868" i="1"/>
  <c r="S867" i="1"/>
  <c r="O867" i="1"/>
  <c r="K867" i="1"/>
  <c r="J867" i="1"/>
  <c r="I867" i="1"/>
  <c r="H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R865" i="1"/>
  <c r="J865" i="1"/>
  <c r="I865" i="1"/>
  <c r="G865" i="1"/>
  <c r="F865" i="1"/>
  <c r="E865" i="1"/>
  <c r="D865" i="1"/>
  <c r="C865" i="1"/>
  <c r="B865" i="1"/>
  <c r="A865" i="1"/>
  <c r="R864" i="1"/>
  <c r="J864" i="1"/>
  <c r="I864" i="1"/>
  <c r="G864" i="1"/>
  <c r="F864" i="1"/>
  <c r="E864" i="1"/>
  <c r="D864" i="1"/>
  <c r="C864" i="1"/>
  <c r="B864" i="1"/>
  <c r="A864" i="1"/>
  <c r="R863" i="1"/>
  <c r="J863" i="1"/>
  <c r="I863" i="1"/>
  <c r="G863" i="1"/>
  <c r="F863" i="1"/>
  <c r="E863" i="1"/>
  <c r="D863" i="1"/>
  <c r="C863" i="1"/>
  <c r="B863" i="1"/>
  <c r="A863" i="1"/>
  <c r="R862" i="1"/>
  <c r="J862" i="1"/>
  <c r="I862" i="1"/>
  <c r="G862" i="1"/>
  <c r="F862" i="1"/>
  <c r="E862" i="1"/>
  <c r="D862" i="1"/>
  <c r="C862" i="1"/>
  <c r="B862" i="1"/>
  <c r="A862" i="1"/>
  <c r="S861" i="1"/>
  <c r="O861" i="1"/>
  <c r="K861" i="1"/>
  <c r="J861" i="1"/>
  <c r="I861" i="1"/>
  <c r="H861" i="1"/>
  <c r="G861" i="1"/>
  <c r="F861" i="1"/>
  <c r="E861" i="1"/>
  <c r="D861" i="1"/>
  <c r="C861" i="1"/>
  <c r="B861" i="1"/>
  <c r="A861" i="1"/>
  <c r="R860" i="1"/>
  <c r="J860" i="1"/>
  <c r="I860" i="1"/>
  <c r="G860" i="1"/>
  <c r="F860" i="1"/>
  <c r="E860" i="1"/>
  <c r="D860" i="1"/>
  <c r="C860" i="1"/>
  <c r="B860" i="1"/>
  <c r="A860" i="1"/>
  <c r="R859" i="1"/>
  <c r="J859" i="1"/>
  <c r="I859" i="1"/>
  <c r="G859" i="1"/>
  <c r="F859" i="1"/>
  <c r="E859" i="1"/>
  <c r="D859" i="1"/>
  <c r="C859" i="1"/>
  <c r="B859" i="1"/>
  <c r="A859" i="1"/>
  <c r="R858" i="1"/>
  <c r="J858" i="1"/>
  <c r="I858" i="1"/>
  <c r="G858" i="1"/>
  <c r="F858" i="1"/>
  <c r="E858" i="1"/>
  <c r="D858" i="1"/>
  <c r="C858" i="1"/>
  <c r="B858" i="1"/>
  <c r="A858" i="1"/>
  <c r="R857" i="1"/>
  <c r="J857" i="1"/>
  <c r="I857" i="1"/>
  <c r="G857" i="1"/>
  <c r="F857" i="1"/>
  <c r="E857" i="1"/>
  <c r="D857" i="1"/>
  <c r="C857" i="1"/>
  <c r="B857" i="1"/>
  <c r="A857" i="1"/>
  <c r="S856" i="1"/>
  <c r="O856" i="1"/>
  <c r="K856" i="1"/>
  <c r="J856" i="1"/>
  <c r="I856" i="1"/>
  <c r="H856" i="1"/>
  <c r="G856" i="1"/>
  <c r="F856" i="1"/>
  <c r="E856" i="1"/>
  <c r="D856" i="1"/>
  <c r="C856" i="1"/>
  <c r="B856" i="1"/>
  <c r="A856" i="1"/>
  <c r="R855" i="1"/>
  <c r="J855" i="1"/>
  <c r="I855" i="1"/>
  <c r="G855" i="1"/>
  <c r="F855" i="1"/>
  <c r="E855" i="1"/>
  <c r="D855" i="1"/>
  <c r="C855" i="1"/>
  <c r="B855" i="1"/>
  <c r="A855" i="1"/>
  <c r="R854" i="1"/>
  <c r="J854" i="1"/>
  <c r="I854" i="1"/>
  <c r="G854" i="1"/>
  <c r="F854" i="1"/>
  <c r="E854" i="1"/>
  <c r="D854" i="1"/>
  <c r="C854" i="1"/>
  <c r="B854" i="1"/>
  <c r="A854" i="1"/>
  <c r="R853" i="1"/>
  <c r="J853" i="1"/>
  <c r="I853" i="1"/>
  <c r="G853" i="1"/>
  <c r="F853" i="1"/>
  <c r="E853" i="1"/>
  <c r="D853" i="1"/>
  <c r="C853" i="1"/>
  <c r="B853" i="1"/>
  <c r="A853" i="1"/>
  <c r="S852" i="1"/>
  <c r="O852" i="1"/>
  <c r="K852" i="1"/>
  <c r="J852" i="1"/>
  <c r="I852" i="1"/>
  <c r="H852" i="1"/>
  <c r="G852" i="1"/>
  <c r="F852" i="1"/>
  <c r="E852" i="1"/>
  <c r="D852" i="1"/>
  <c r="C852" i="1"/>
  <c r="B852" i="1"/>
  <c r="A852" i="1"/>
  <c r="R851" i="1"/>
  <c r="J851" i="1"/>
  <c r="I851" i="1"/>
  <c r="G851" i="1"/>
  <c r="F851" i="1"/>
  <c r="E851" i="1"/>
  <c r="D851" i="1"/>
  <c r="C851" i="1"/>
  <c r="B851" i="1"/>
  <c r="A851" i="1"/>
  <c r="R850" i="1"/>
  <c r="J850" i="1"/>
  <c r="I850" i="1"/>
  <c r="G850" i="1"/>
  <c r="F850" i="1"/>
  <c r="E850" i="1"/>
  <c r="D850" i="1"/>
  <c r="C850" i="1"/>
  <c r="B850" i="1"/>
  <c r="A850" i="1"/>
  <c r="R849" i="1"/>
  <c r="J849" i="1"/>
  <c r="I849" i="1"/>
  <c r="G849" i="1"/>
  <c r="F849" i="1"/>
  <c r="E849" i="1"/>
  <c r="D849" i="1"/>
  <c r="C849" i="1"/>
  <c r="B849" i="1"/>
  <c r="A849" i="1"/>
  <c r="S848" i="1"/>
  <c r="O848" i="1"/>
  <c r="K848" i="1"/>
  <c r="J848" i="1"/>
  <c r="I848" i="1"/>
  <c r="H848" i="1"/>
  <c r="G848" i="1"/>
  <c r="F848" i="1"/>
  <c r="E848" i="1"/>
  <c r="D848" i="1"/>
  <c r="C848" i="1"/>
  <c r="B848" i="1"/>
  <c r="A848" i="1"/>
  <c r="R847" i="1"/>
  <c r="J847" i="1"/>
  <c r="I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R845" i="1"/>
  <c r="J845" i="1"/>
  <c r="I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R843" i="1"/>
  <c r="J843" i="1"/>
  <c r="I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S841" i="1"/>
  <c r="O841" i="1"/>
  <c r="K841" i="1"/>
  <c r="J841" i="1"/>
  <c r="I841" i="1"/>
  <c r="H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R839" i="1"/>
  <c r="J839" i="1"/>
  <c r="I839" i="1"/>
  <c r="G839" i="1"/>
  <c r="F839" i="1"/>
  <c r="E839" i="1"/>
  <c r="D839" i="1"/>
  <c r="C839" i="1"/>
  <c r="B839" i="1"/>
  <c r="A839" i="1"/>
  <c r="R838" i="1"/>
  <c r="J838" i="1"/>
  <c r="I838" i="1"/>
  <c r="G838" i="1"/>
  <c r="F838" i="1"/>
  <c r="E838" i="1"/>
  <c r="D838" i="1"/>
  <c r="C838" i="1"/>
  <c r="B838" i="1"/>
  <c r="A838" i="1"/>
  <c r="R837" i="1"/>
  <c r="J837" i="1"/>
  <c r="I837" i="1"/>
  <c r="G837" i="1"/>
  <c r="F837" i="1"/>
  <c r="E837" i="1"/>
  <c r="D837" i="1"/>
  <c r="C837" i="1"/>
  <c r="B837" i="1"/>
  <c r="A837" i="1"/>
  <c r="S836" i="1"/>
  <c r="O836" i="1"/>
  <c r="K836" i="1"/>
  <c r="J836" i="1"/>
  <c r="I836" i="1"/>
  <c r="H836" i="1"/>
  <c r="G836" i="1"/>
  <c r="F836" i="1"/>
  <c r="E836" i="1"/>
  <c r="D836" i="1"/>
  <c r="C836" i="1"/>
  <c r="B836" i="1"/>
  <c r="A836" i="1"/>
  <c r="R835" i="1"/>
  <c r="J835" i="1"/>
  <c r="I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S833" i="1"/>
  <c r="O833" i="1"/>
  <c r="K833" i="1"/>
  <c r="J833" i="1"/>
  <c r="I833" i="1"/>
  <c r="H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R831" i="1"/>
  <c r="J831" i="1"/>
  <c r="I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R829" i="1"/>
  <c r="J829" i="1"/>
  <c r="I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S827" i="1"/>
  <c r="O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S825" i="1"/>
  <c r="O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S823" i="1"/>
  <c r="O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R819" i="1"/>
  <c r="J819" i="1"/>
  <c r="I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R817" i="1"/>
  <c r="J817" i="1"/>
  <c r="I817" i="1"/>
  <c r="G817" i="1"/>
  <c r="F817" i="1"/>
  <c r="E817" i="1"/>
  <c r="D817" i="1"/>
  <c r="C817" i="1"/>
  <c r="B817" i="1"/>
  <c r="A817" i="1"/>
  <c r="S816" i="1"/>
  <c r="O816" i="1"/>
  <c r="K816" i="1"/>
  <c r="J816" i="1"/>
  <c r="I816" i="1"/>
  <c r="H816" i="1"/>
  <c r="G816" i="1"/>
  <c r="F816" i="1"/>
  <c r="E816" i="1"/>
  <c r="D816" i="1"/>
  <c r="C816" i="1"/>
  <c r="B816" i="1"/>
  <c r="A816" i="1"/>
  <c r="R815" i="1"/>
  <c r="J815" i="1"/>
  <c r="I815" i="1"/>
  <c r="G815" i="1"/>
  <c r="F815" i="1"/>
  <c r="E815" i="1"/>
  <c r="D815" i="1"/>
  <c r="C815" i="1"/>
  <c r="B815" i="1"/>
  <c r="A815" i="1"/>
  <c r="S814" i="1"/>
  <c r="O814" i="1"/>
  <c r="K814" i="1"/>
  <c r="J814" i="1"/>
  <c r="I814" i="1"/>
  <c r="H814" i="1"/>
  <c r="G814" i="1"/>
  <c r="F814" i="1"/>
  <c r="E814" i="1"/>
  <c r="D814" i="1"/>
  <c r="C814" i="1"/>
  <c r="B814" i="1"/>
  <c r="A814" i="1"/>
  <c r="R813" i="1"/>
  <c r="J813" i="1"/>
  <c r="I813" i="1"/>
  <c r="G813" i="1"/>
  <c r="F813" i="1"/>
  <c r="E813" i="1"/>
  <c r="D813" i="1"/>
  <c r="C813" i="1"/>
  <c r="B813" i="1"/>
  <c r="A813" i="1"/>
  <c r="S812" i="1"/>
  <c r="O812" i="1"/>
  <c r="K812" i="1"/>
  <c r="J812" i="1"/>
  <c r="I812" i="1"/>
  <c r="H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S809" i="1"/>
  <c r="O809" i="1"/>
  <c r="K809" i="1"/>
  <c r="J809" i="1"/>
  <c r="I809" i="1"/>
  <c r="H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S804" i="1"/>
  <c r="O804" i="1"/>
  <c r="K804" i="1"/>
  <c r="J804" i="1"/>
  <c r="I804" i="1"/>
  <c r="H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S801" i="1"/>
  <c r="O801" i="1"/>
  <c r="K801" i="1"/>
  <c r="J801" i="1"/>
  <c r="I801" i="1"/>
  <c r="H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S798" i="1"/>
  <c r="O798" i="1"/>
  <c r="K798" i="1"/>
  <c r="J798" i="1"/>
  <c r="I798" i="1"/>
  <c r="H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S796" i="1"/>
  <c r="O796" i="1"/>
  <c r="K796" i="1"/>
  <c r="J796" i="1"/>
  <c r="I796" i="1"/>
  <c r="H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S794" i="1"/>
  <c r="O794" i="1"/>
  <c r="K794" i="1"/>
  <c r="J794" i="1"/>
  <c r="I794" i="1"/>
  <c r="H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S792" i="1"/>
  <c r="O792" i="1"/>
  <c r="K792" i="1"/>
  <c r="J792" i="1"/>
  <c r="I792" i="1"/>
  <c r="H792" i="1"/>
  <c r="G792" i="1"/>
  <c r="F792" i="1"/>
  <c r="E792" i="1"/>
  <c r="D792" i="1"/>
  <c r="C792" i="1"/>
  <c r="B792" i="1"/>
  <c r="A792" i="1"/>
  <c r="R791" i="1"/>
  <c r="J791" i="1"/>
  <c r="I791" i="1"/>
  <c r="G791" i="1"/>
  <c r="F791" i="1"/>
  <c r="E791" i="1"/>
  <c r="D791" i="1"/>
  <c r="C791" i="1"/>
  <c r="B791" i="1"/>
  <c r="A791" i="1"/>
  <c r="S790" i="1"/>
  <c r="O790" i="1"/>
  <c r="K790" i="1"/>
  <c r="J790" i="1"/>
  <c r="I790" i="1"/>
  <c r="H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S788" i="1"/>
  <c r="O788" i="1"/>
  <c r="K788" i="1"/>
  <c r="J788" i="1"/>
  <c r="I788" i="1"/>
  <c r="H788" i="1"/>
  <c r="G788" i="1"/>
  <c r="F788" i="1"/>
  <c r="E788" i="1"/>
  <c r="D788" i="1"/>
  <c r="C788" i="1"/>
  <c r="B788" i="1"/>
  <c r="A788" i="1"/>
  <c r="S787" i="1"/>
  <c r="O787" i="1"/>
  <c r="K787" i="1"/>
  <c r="J787" i="1"/>
  <c r="I787" i="1"/>
  <c r="H787" i="1"/>
  <c r="G787" i="1"/>
  <c r="F787" i="1"/>
  <c r="D787" i="1"/>
  <c r="C787" i="1"/>
  <c r="B787" i="1"/>
  <c r="A787" i="1"/>
  <c r="R786" i="1"/>
  <c r="J786" i="1"/>
  <c r="I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R784" i="1"/>
  <c r="J784" i="1"/>
  <c r="I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S781" i="1"/>
  <c r="O781" i="1"/>
  <c r="K781" i="1"/>
  <c r="J781" i="1"/>
  <c r="I781" i="1"/>
  <c r="H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R779" i="1"/>
  <c r="J779" i="1"/>
  <c r="I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R777" i="1"/>
  <c r="J777" i="1"/>
  <c r="I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R775" i="1"/>
  <c r="J775" i="1"/>
  <c r="I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R773" i="1"/>
  <c r="J773" i="1"/>
  <c r="I773" i="1"/>
  <c r="G773" i="1"/>
  <c r="F773" i="1"/>
  <c r="E773" i="1"/>
  <c r="D773" i="1"/>
  <c r="C773" i="1"/>
  <c r="B773" i="1"/>
  <c r="A773" i="1"/>
  <c r="R772" i="1"/>
  <c r="J772" i="1"/>
  <c r="I772" i="1"/>
  <c r="G772" i="1"/>
  <c r="F772" i="1"/>
  <c r="E772" i="1"/>
  <c r="D772" i="1"/>
  <c r="C772" i="1"/>
  <c r="B772" i="1"/>
  <c r="A772" i="1"/>
  <c r="R771" i="1"/>
  <c r="J771" i="1"/>
  <c r="I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R769" i="1"/>
  <c r="J769" i="1"/>
  <c r="I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R767" i="1"/>
  <c r="J767" i="1"/>
  <c r="I767" i="1"/>
  <c r="G767" i="1"/>
  <c r="F767" i="1"/>
  <c r="E767" i="1"/>
  <c r="D767" i="1"/>
  <c r="C767" i="1"/>
  <c r="B767" i="1"/>
  <c r="A767" i="1"/>
  <c r="R766" i="1"/>
  <c r="J766" i="1"/>
  <c r="I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R764" i="1"/>
  <c r="J764" i="1"/>
  <c r="I764" i="1"/>
  <c r="G764" i="1"/>
  <c r="F764" i="1"/>
  <c r="E764" i="1"/>
  <c r="D764" i="1"/>
  <c r="C764" i="1"/>
  <c r="B764" i="1"/>
  <c r="A764" i="1"/>
  <c r="R763" i="1"/>
  <c r="J763" i="1"/>
  <c r="I763" i="1"/>
  <c r="G763" i="1"/>
  <c r="F763" i="1"/>
  <c r="E763" i="1"/>
  <c r="D763" i="1"/>
  <c r="C763" i="1"/>
  <c r="B763" i="1"/>
  <c r="A763" i="1"/>
  <c r="R762" i="1"/>
  <c r="J762" i="1"/>
  <c r="I762" i="1"/>
  <c r="G762" i="1"/>
  <c r="F762" i="1"/>
  <c r="E762" i="1"/>
  <c r="D762" i="1"/>
  <c r="C762" i="1"/>
  <c r="B762" i="1"/>
  <c r="A762" i="1"/>
  <c r="R761" i="1"/>
  <c r="J761" i="1"/>
  <c r="I761" i="1"/>
  <c r="G761" i="1"/>
  <c r="F761" i="1"/>
  <c r="E761" i="1"/>
  <c r="D761" i="1"/>
  <c r="C761" i="1"/>
  <c r="B761" i="1"/>
  <c r="A761" i="1"/>
  <c r="R760" i="1"/>
  <c r="J760" i="1"/>
  <c r="I760" i="1"/>
  <c r="G760" i="1"/>
  <c r="F760" i="1"/>
  <c r="E760" i="1"/>
  <c r="D760" i="1"/>
  <c r="C760" i="1"/>
  <c r="B760" i="1"/>
  <c r="A760" i="1"/>
  <c r="R759" i="1"/>
  <c r="J759" i="1"/>
  <c r="I759" i="1"/>
  <c r="G759" i="1"/>
  <c r="F759" i="1"/>
  <c r="E759" i="1"/>
  <c r="D759" i="1"/>
  <c r="C759" i="1"/>
  <c r="B759" i="1"/>
  <c r="A759" i="1"/>
  <c r="R758" i="1"/>
  <c r="J758" i="1"/>
  <c r="I758" i="1"/>
  <c r="G758" i="1"/>
  <c r="F758" i="1"/>
  <c r="E758" i="1"/>
  <c r="D758" i="1"/>
  <c r="C758" i="1"/>
  <c r="B758" i="1"/>
  <c r="A758" i="1"/>
  <c r="R757" i="1"/>
  <c r="J757" i="1"/>
  <c r="I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R755" i="1"/>
  <c r="J755" i="1"/>
  <c r="I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R753" i="1"/>
  <c r="J753" i="1"/>
  <c r="I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R751" i="1"/>
  <c r="J751" i="1"/>
  <c r="I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R749" i="1"/>
  <c r="J749" i="1"/>
  <c r="I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R747" i="1"/>
  <c r="J747" i="1"/>
  <c r="I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R745" i="1"/>
  <c r="J745" i="1"/>
  <c r="I745" i="1"/>
  <c r="G745" i="1"/>
  <c r="F745" i="1"/>
  <c r="E745" i="1"/>
  <c r="D745" i="1"/>
  <c r="C745" i="1"/>
  <c r="B745" i="1"/>
  <c r="A745" i="1"/>
  <c r="R744" i="1"/>
  <c r="J744" i="1"/>
  <c r="I744" i="1"/>
  <c r="G744" i="1"/>
  <c r="F744" i="1"/>
  <c r="E744" i="1"/>
  <c r="D744" i="1"/>
  <c r="C744" i="1"/>
  <c r="B744" i="1"/>
  <c r="A744" i="1"/>
  <c r="R743" i="1"/>
  <c r="J743" i="1"/>
  <c r="I743" i="1"/>
  <c r="G743" i="1"/>
  <c r="F743" i="1"/>
  <c r="E743" i="1"/>
  <c r="D743" i="1"/>
  <c r="C743" i="1"/>
  <c r="B743" i="1"/>
  <c r="A743" i="1"/>
  <c r="R742" i="1"/>
  <c r="J742" i="1"/>
  <c r="I742" i="1"/>
  <c r="G742" i="1"/>
  <c r="F742" i="1"/>
  <c r="E742" i="1"/>
  <c r="D742" i="1"/>
  <c r="C742" i="1"/>
  <c r="B742" i="1"/>
  <c r="A742" i="1"/>
  <c r="R741" i="1"/>
  <c r="J741" i="1"/>
  <c r="I741" i="1"/>
  <c r="G741" i="1"/>
  <c r="F741" i="1"/>
  <c r="E741" i="1"/>
  <c r="D741" i="1"/>
  <c r="C741" i="1"/>
  <c r="B741" i="1"/>
  <c r="A741" i="1"/>
  <c r="R740" i="1"/>
  <c r="J740" i="1"/>
  <c r="I740" i="1"/>
  <c r="G740" i="1"/>
  <c r="F740" i="1"/>
  <c r="E740" i="1"/>
  <c r="D740" i="1"/>
  <c r="C740" i="1"/>
  <c r="B740" i="1"/>
  <c r="A740" i="1"/>
  <c r="R739" i="1"/>
  <c r="J739" i="1"/>
  <c r="I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R737" i="1"/>
  <c r="J737" i="1"/>
  <c r="I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R735" i="1"/>
  <c r="J735" i="1"/>
  <c r="I735" i="1"/>
  <c r="G735" i="1"/>
  <c r="F735" i="1"/>
  <c r="E735" i="1"/>
  <c r="D735" i="1"/>
  <c r="C735" i="1"/>
  <c r="B735" i="1"/>
  <c r="A735" i="1"/>
  <c r="R734" i="1"/>
  <c r="J734" i="1"/>
  <c r="I734" i="1"/>
  <c r="G734" i="1"/>
  <c r="F734" i="1"/>
  <c r="E734" i="1"/>
  <c r="D734" i="1"/>
  <c r="C734" i="1"/>
  <c r="B734" i="1"/>
  <c r="A734" i="1"/>
  <c r="R733" i="1"/>
  <c r="J733" i="1"/>
  <c r="I733" i="1"/>
  <c r="G733" i="1"/>
  <c r="F733" i="1"/>
  <c r="E733" i="1"/>
  <c r="D733" i="1"/>
  <c r="C733" i="1"/>
  <c r="B733" i="1"/>
  <c r="A733" i="1"/>
  <c r="R732" i="1"/>
  <c r="J732" i="1"/>
  <c r="I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E731" i="1"/>
  <c r="D731" i="1"/>
  <c r="C731" i="1"/>
  <c r="B731" i="1"/>
  <c r="A731" i="1"/>
  <c r="R730" i="1"/>
  <c r="J730" i="1"/>
  <c r="I730" i="1"/>
  <c r="G730" i="1"/>
  <c r="F730" i="1"/>
  <c r="E730" i="1"/>
  <c r="D730" i="1"/>
  <c r="C730" i="1"/>
  <c r="B730" i="1"/>
  <c r="A730" i="1"/>
  <c r="R729" i="1"/>
  <c r="J729" i="1"/>
  <c r="I729" i="1"/>
  <c r="G729" i="1"/>
  <c r="F729" i="1"/>
  <c r="E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R727" i="1"/>
  <c r="J727" i="1"/>
  <c r="I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R725" i="1"/>
  <c r="J725" i="1"/>
  <c r="I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R723" i="1"/>
  <c r="J723" i="1"/>
  <c r="I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R721" i="1"/>
  <c r="J721" i="1"/>
  <c r="I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R717" i="1"/>
  <c r="J717" i="1"/>
  <c r="I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R715" i="1"/>
  <c r="J715" i="1"/>
  <c r="I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R713" i="1"/>
  <c r="J713" i="1"/>
  <c r="I713" i="1"/>
  <c r="G713" i="1"/>
  <c r="F713" i="1"/>
  <c r="E713" i="1"/>
  <c r="D713" i="1"/>
  <c r="C713" i="1"/>
  <c r="B713" i="1"/>
  <c r="A713" i="1"/>
  <c r="R712" i="1"/>
  <c r="J712" i="1"/>
  <c r="I712" i="1"/>
  <c r="G712" i="1"/>
  <c r="F712" i="1"/>
  <c r="E712" i="1"/>
  <c r="D712" i="1"/>
  <c r="C712" i="1"/>
  <c r="B712" i="1"/>
  <c r="A712" i="1"/>
  <c r="R711" i="1"/>
  <c r="J711" i="1"/>
  <c r="I711" i="1"/>
  <c r="G711" i="1"/>
  <c r="F711" i="1"/>
  <c r="E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R709" i="1"/>
  <c r="J709" i="1"/>
  <c r="I709" i="1"/>
  <c r="G709" i="1"/>
  <c r="F709" i="1"/>
  <c r="E709" i="1"/>
  <c r="D709" i="1"/>
  <c r="C709" i="1"/>
  <c r="B709" i="1"/>
  <c r="A709" i="1"/>
  <c r="R708" i="1"/>
  <c r="J708" i="1"/>
  <c r="I708" i="1"/>
  <c r="G708" i="1"/>
  <c r="F708" i="1"/>
  <c r="E708" i="1"/>
  <c r="D708" i="1"/>
  <c r="C708" i="1"/>
  <c r="B708" i="1"/>
  <c r="A708" i="1"/>
  <c r="R707" i="1"/>
  <c r="J707" i="1"/>
  <c r="I707" i="1"/>
  <c r="G707" i="1"/>
  <c r="F707" i="1"/>
  <c r="E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R705" i="1"/>
  <c r="J705" i="1"/>
  <c r="I705" i="1"/>
  <c r="G705" i="1"/>
  <c r="F705" i="1"/>
  <c r="E705" i="1"/>
  <c r="D705" i="1"/>
  <c r="C705" i="1"/>
  <c r="B705" i="1"/>
  <c r="A705" i="1"/>
  <c r="R704" i="1"/>
  <c r="J704" i="1"/>
  <c r="I704" i="1"/>
  <c r="G704" i="1"/>
  <c r="F704" i="1"/>
  <c r="E704" i="1"/>
  <c r="D704" i="1"/>
  <c r="C704" i="1"/>
  <c r="B704" i="1"/>
  <c r="A704" i="1"/>
  <c r="R703" i="1"/>
  <c r="J703" i="1"/>
  <c r="I703" i="1"/>
  <c r="G703" i="1"/>
  <c r="F703" i="1"/>
  <c r="E703" i="1"/>
  <c r="D703" i="1"/>
  <c r="C703" i="1"/>
  <c r="B703" i="1"/>
  <c r="A703" i="1"/>
  <c r="R702" i="1"/>
  <c r="J702" i="1"/>
  <c r="I702" i="1"/>
  <c r="G702" i="1"/>
  <c r="F702" i="1"/>
  <c r="E702" i="1"/>
  <c r="D702" i="1"/>
  <c r="C702" i="1"/>
  <c r="B702" i="1"/>
  <c r="A702" i="1"/>
  <c r="S701" i="1"/>
  <c r="O701" i="1"/>
  <c r="K701" i="1"/>
  <c r="J701" i="1"/>
  <c r="I701" i="1"/>
  <c r="H701" i="1"/>
  <c r="G701" i="1"/>
  <c r="F701" i="1"/>
  <c r="E701" i="1"/>
  <c r="D701" i="1"/>
  <c r="C701" i="1"/>
  <c r="B701" i="1"/>
  <c r="A701" i="1"/>
  <c r="S700" i="1"/>
  <c r="O700" i="1"/>
  <c r="K700" i="1"/>
  <c r="J700" i="1"/>
  <c r="I700" i="1"/>
  <c r="H700" i="1"/>
  <c r="G700" i="1"/>
  <c r="F700" i="1"/>
  <c r="D700" i="1"/>
  <c r="C700" i="1"/>
  <c r="B700" i="1"/>
  <c r="A700" i="1"/>
  <c r="S699" i="1"/>
  <c r="O699" i="1"/>
  <c r="K699" i="1"/>
  <c r="J699" i="1"/>
  <c r="I699" i="1"/>
  <c r="H699" i="1"/>
  <c r="G699" i="1"/>
  <c r="F699" i="1"/>
  <c r="D699" i="1"/>
  <c r="C699" i="1"/>
  <c r="B699" i="1"/>
  <c r="A699" i="1"/>
  <c r="S698" i="1"/>
  <c r="O698" i="1"/>
  <c r="K698" i="1"/>
  <c r="J698" i="1"/>
  <c r="I698" i="1"/>
  <c r="H698" i="1"/>
  <c r="G698" i="1"/>
  <c r="F698" i="1"/>
  <c r="D698" i="1"/>
  <c r="C698" i="1"/>
  <c r="B698" i="1"/>
  <c r="A698" i="1"/>
  <c r="S697" i="1"/>
  <c r="O697" i="1"/>
  <c r="K697" i="1"/>
  <c r="J697" i="1"/>
  <c r="I697" i="1"/>
  <c r="H697" i="1"/>
  <c r="G697" i="1"/>
  <c r="F697" i="1"/>
  <c r="D697" i="1"/>
  <c r="C697" i="1"/>
  <c r="B697" i="1"/>
  <c r="A697" i="1"/>
  <c r="S696" i="1"/>
  <c r="O696" i="1"/>
  <c r="K696" i="1"/>
  <c r="J696" i="1"/>
  <c r="I696" i="1"/>
  <c r="H696" i="1"/>
  <c r="G696" i="1"/>
  <c r="F696" i="1"/>
  <c r="D696" i="1"/>
  <c r="C696" i="1"/>
  <c r="B696" i="1"/>
  <c r="A696" i="1"/>
  <c r="S695" i="1"/>
  <c r="O695" i="1"/>
  <c r="K695" i="1"/>
  <c r="J695" i="1"/>
  <c r="I695" i="1"/>
  <c r="H695" i="1"/>
  <c r="G695" i="1"/>
  <c r="F695" i="1"/>
  <c r="D695" i="1"/>
  <c r="C695" i="1"/>
  <c r="B695" i="1"/>
  <c r="A695" i="1"/>
  <c r="S694" i="1"/>
  <c r="O694" i="1"/>
  <c r="K694" i="1"/>
  <c r="J694" i="1"/>
  <c r="I694" i="1"/>
  <c r="H694" i="1"/>
  <c r="G694" i="1"/>
  <c r="F694" i="1"/>
  <c r="D694" i="1"/>
  <c r="C694" i="1"/>
  <c r="B694" i="1"/>
  <c r="A694" i="1"/>
  <c r="S693" i="1"/>
  <c r="O693" i="1"/>
  <c r="K693" i="1"/>
  <c r="J693" i="1"/>
  <c r="I693" i="1"/>
  <c r="H693" i="1"/>
  <c r="G693" i="1"/>
  <c r="F693" i="1"/>
  <c r="D693" i="1"/>
  <c r="C693" i="1"/>
  <c r="B693" i="1"/>
  <c r="A693" i="1"/>
  <c r="R692" i="1"/>
  <c r="J692" i="1"/>
  <c r="I692" i="1"/>
  <c r="G692" i="1"/>
  <c r="F692" i="1"/>
  <c r="E692" i="1"/>
  <c r="D692" i="1"/>
  <c r="C692" i="1"/>
  <c r="B692" i="1"/>
  <c r="A692" i="1"/>
  <c r="R691" i="1"/>
  <c r="J691" i="1"/>
  <c r="I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R689" i="1"/>
  <c r="J689" i="1"/>
  <c r="I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S687" i="1"/>
  <c r="O687" i="1"/>
  <c r="K687" i="1"/>
  <c r="J687" i="1"/>
  <c r="I687" i="1"/>
  <c r="H687" i="1"/>
  <c r="G687" i="1"/>
  <c r="F687" i="1"/>
  <c r="E687" i="1"/>
  <c r="D687" i="1"/>
  <c r="C687" i="1"/>
  <c r="B687" i="1"/>
  <c r="A687" i="1"/>
  <c r="R686" i="1"/>
  <c r="J686" i="1"/>
  <c r="I686" i="1"/>
  <c r="G686" i="1"/>
  <c r="F686" i="1"/>
  <c r="E686" i="1"/>
  <c r="D686" i="1"/>
  <c r="C686" i="1"/>
  <c r="B686" i="1"/>
  <c r="A686" i="1"/>
  <c r="S685" i="1"/>
  <c r="O685" i="1"/>
  <c r="K685" i="1"/>
  <c r="J685" i="1"/>
  <c r="I685" i="1"/>
  <c r="H685" i="1"/>
  <c r="G685" i="1"/>
  <c r="F685" i="1"/>
  <c r="E685" i="1"/>
  <c r="D685" i="1"/>
  <c r="C685" i="1"/>
  <c r="B685" i="1"/>
  <c r="A685" i="1"/>
  <c r="R684" i="1"/>
  <c r="J684" i="1"/>
  <c r="I684" i="1"/>
  <c r="G684" i="1"/>
  <c r="F684" i="1"/>
  <c r="E684" i="1"/>
  <c r="D684" i="1"/>
  <c r="C684" i="1"/>
  <c r="B684" i="1"/>
  <c r="A684" i="1"/>
  <c r="S683" i="1"/>
  <c r="O683" i="1"/>
  <c r="K683" i="1"/>
  <c r="J683" i="1"/>
  <c r="I683" i="1"/>
  <c r="H683" i="1"/>
  <c r="G683" i="1"/>
  <c r="F683" i="1"/>
  <c r="E683" i="1"/>
  <c r="D683" i="1"/>
  <c r="C683" i="1"/>
  <c r="B683" i="1"/>
  <c r="A683" i="1"/>
  <c r="R682" i="1"/>
  <c r="J682" i="1"/>
  <c r="I682" i="1"/>
  <c r="G682" i="1"/>
  <c r="F682" i="1"/>
  <c r="E682" i="1"/>
  <c r="D682" i="1"/>
  <c r="C682" i="1"/>
  <c r="B682" i="1"/>
  <c r="A682" i="1"/>
  <c r="S681" i="1"/>
  <c r="O681" i="1"/>
  <c r="K681" i="1"/>
  <c r="J681" i="1"/>
  <c r="I681" i="1"/>
  <c r="H681" i="1"/>
  <c r="G681" i="1"/>
  <c r="F681" i="1"/>
  <c r="E681" i="1"/>
  <c r="D681" i="1"/>
  <c r="C681" i="1"/>
  <c r="B681" i="1"/>
  <c r="A681" i="1"/>
  <c r="S680" i="1"/>
  <c r="O680" i="1"/>
  <c r="K680" i="1"/>
  <c r="J680" i="1"/>
  <c r="I680" i="1"/>
  <c r="H680" i="1"/>
  <c r="G680" i="1"/>
  <c r="F680" i="1"/>
  <c r="D680" i="1"/>
  <c r="C680" i="1"/>
  <c r="B680" i="1"/>
  <c r="A680" i="1"/>
  <c r="S679" i="1"/>
  <c r="O679" i="1"/>
  <c r="K679" i="1"/>
  <c r="J679" i="1"/>
  <c r="I679" i="1"/>
  <c r="H679" i="1"/>
  <c r="G679" i="1"/>
  <c r="F679" i="1"/>
  <c r="D679" i="1"/>
  <c r="C679" i="1"/>
  <c r="B679" i="1"/>
  <c r="A679" i="1"/>
  <c r="R678" i="1"/>
  <c r="J678" i="1"/>
  <c r="I678" i="1"/>
  <c r="G678" i="1"/>
  <c r="F678" i="1"/>
  <c r="E678" i="1"/>
  <c r="D678" i="1"/>
  <c r="C678" i="1"/>
  <c r="B678" i="1"/>
  <c r="A678" i="1"/>
  <c r="S677" i="1"/>
  <c r="O677" i="1"/>
  <c r="K677" i="1"/>
  <c r="J677" i="1"/>
  <c r="I677" i="1"/>
  <c r="H677" i="1"/>
  <c r="G677" i="1"/>
  <c r="F677" i="1"/>
  <c r="E677" i="1"/>
  <c r="D677" i="1"/>
  <c r="C677" i="1"/>
  <c r="B677" i="1"/>
  <c r="A677" i="1"/>
  <c r="S676" i="1"/>
  <c r="O676" i="1"/>
  <c r="K676" i="1"/>
  <c r="J676" i="1"/>
  <c r="I676" i="1"/>
  <c r="H676" i="1"/>
  <c r="G676" i="1"/>
  <c r="F676" i="1"/>
  <c r="D676" i="1"/>
  <c r="C676" i="1"/>
  <c r="B676" i="1"/>
  <c r="A676" i="1"/>
  <c r="S675" i="1"/>
  <c r="O675" i="1"/>
  <c r="K675" i="1"/>
  <c r="J675" i="1"/>
  <c r="I675" i="1"/>
  <c r="H675" i="1"/>
  <c r="G675" i="1"/>
  <c r="F675" i="1"/>
  <c r="D675" i="1"/>
  <c r="C675" i="1"/>
  <c r="B675" i="1"/>
  <c r="A675" i="1"/>
  <c r="R674" i="1"/>
  <c r="J674" i="1"/>
  <c r="I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S672" i="1"/>
  <c r="O672" i="1"/>
  <c r="K672" i="1"/>
  <c r="J672" i="1"/>
  <c r="I672" i="1"/>
  <c r="H672" i="1"/>
  <c r="G672" i="1"/>
  <c r="F672" i="1"/>
  <c r="E672" i="1"/>
  <c r="D672" i="1"/>
  <c r="C672" i="1"/>
  <c r="B672" i="1"/>
  <c r="A672" i="1"/>
  <c r="S671" i="1"/>
  <c r="O671" i="1"/>
  <c r="K671" i="1"/>
  <c r="J671" i="1"/>
  <c r="I671" i="1"/>
  <c r="H671" i="1"/>
  <c r="G671" i="1"/>
  <c r="F671" i="1"/>
  <c r="E671" i="1"/>
  <c r="D671" i="1"/>
  <c r="C671" i="1"/>
  <c r="B671" i="1"/>
  <c r="A671" i="1"/>
  <c r="S670" i="1"/>
  <c r="O670" i="1"/>
  <c r="K670" i="1"/>
  <c r="J670" i="1"/>
  <c r="I670" i="1"/>
  <c r="H670" i="1"/>
  <c r="G670" i="1"/>
  <c r="F670" i="1"/>
  <c r="E670" i="1"/>
  <c r="D670" i="1"/>
  <c r="C670" i="1"/>
  <c r="B670" i="1"/>
  <c r="A670" i="1"/>
  <c r="S669" i="1"/>
  <c r="O669" i="1"/>
  <c r="K669" i="1"/>
  <c r="J669" i="1"/>
  <c r="I669" i="1"/>
  <c r="H669" i="1"/>
  <c r="G669" i="1"/>
  <c r="F669" i="1"/>
  <c r="E669" i="1"/>
  <c r="D669" i="1"/>
  <c r="C669" i="1"/>
  <c r="B669" i="1"/>
  <c r="A669" i="1"/>
  <c r="S668" i="1"/>
  <c r="O668" i="1"/>
  <c r="K668" i="1"/>
  <c r="J668" i="1"/>
  <c r="I668" i="1"/>
  <c r="H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S666" i="1"/>
  <c r="O666" i="1"/>
  <c r="K666" i="1"/>
  <c r="J666" i="1"/>
  <c r="I666" i="1"/>
  <c r="H666" i="1"/>
  <c r="G666" i="1"/>
  <c r="F666" i="1"/>
  <c r="E666" i="1"/>
  <c r="D666" i="1"/>
  <c r="C666" i="1"/>
  <c r="B666" i="1"/>
  <c r="A666" i="1"/>
  <c r="R665" i="1"/>
  <c r="J665" i="1"/>
  <c r="I665" i="1"/>
  <c r="G665" i="1"/>
  <c r="F665" i="1"/>
  <c r="E665" i="1"/>
  <c r="D665" i="1"/>
  <c r="C665" i="1"/>
  <c r="B665" i="1"/>
  <c r="A665" i="1"/>
  <c r="S664" i="1"/>
  <c r="O664" i="1"/>
  <c r="K664" i="1"/>
  <c r="J664" i="1"/>
  <c r="I664" i="1"/>
  <c r="H664" i="1"/>
  <c r="G664" i="1"/>
  <c r="F664" i="1"/>
  <c r="E664" i="1"/>
  <c r="D664" i="1"/>
  <c r="C664" i="1"/>
  <c r="B664" i="1"/>
  <c r="A664" i="1"/>
  <c r="S663" i="1"/>
  <c r="O663" i="1"/>
  <c r="K663" i="1"/>
  <c r="J663" i="1"/>
  <c r="I663" i="1"/>
  <c r="H663" i="1"/>
  <c r="G663" i="1"/>
  <c r="F663" i="1"/>
  <c r="D663" i="1"/>
  <c r="C663" i="1"/>
  <c r="B663" i="1"/>
  <c r="A663" i="1"/>
  <c r="S662" i="1"/>
  <c r="O662" i="1"/>
  <c r="K662" i="1"/>
  <c r="J662" i="1"/>
  <c r="I662" i="1"/>
  <c r="H662" i="1"/>
  <c r="G662" i="1"/>
  <c r="F662" i="1"/>
  <c r="D662" i="1"/>
  <c r="C662" i="1"/>
  <c r="B662" i="1"/>
  <c r="A662" i="1"/>
  <c r="R661" i="1"/>
  <c r="J661" i="1"/>
  <c r="I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R659" i="1"/>
  <c r="J659" i="1"/>
  <c r="I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R657" i="1"/>
  <c r="J657" i="1"/>
  <c r="I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R655" i="1"/>
  <c r="J655" i="1"/>
  <c r="I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R653" i="1"/>
  <c r="J653" i="1"/>
  <c r="I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R651" i="1"/>
  <c r="J651" i="1"/>
  <c r="I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R649" i="1"/>
  <c r="J649" i="1"/>
  <c r="I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R647" i="1"/>
  <c r="J647" i="1"/>
  <c r="I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R644" i="1"/>
  <c r="J644" i="1"/>
  <c r="I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R642" i="1"/>
  <c r="J642" i="1"/>
  <c r="I642" i="1"/>
  <c r="G642" i="1"/>
  <c r="F642" i="1"/>
  <c r="E642" i="1"/>
  <c r="D642" i="1"/>
  <c r="C642" i="1"/>
  <c r="B642" i="1"/>
  <c r="A642" i="1"/>
  <c r="R641" i="1"/>
  <c r="J641" i="1"/>
  <c r="I641" i="1"/>
  <c r="G641" i="1"/>
  <c r="F641" i="1"/>
  <c r="E641" i="1"/>
  <c r="D641" i="1"/>
  <c r="C641" i="1"/>
  <c r="B641" i="1"/>
  <c r="A641" i="1"/>
  <c r="R640" i="1"/>
  <c r="J640" i="1"/>
  <c r="I640" i="1"/>
  <c r="G640" i="1"/>
  <c r="F640" i="1"/>
  <c r="E640" i="1"/>
  <c r="D640" i="1"/>
  <c r="C640" i="1"/>
  <c r="B640" i="1"/>
  <c r="A640" i="1"/>
  <c r="R639" i="1"/>
  <c r="J639" i="1"/>
  <c r="I639" i="1"/>
  <c r="G639" i="1"/>
  <c r="F639" i="1"/>
  <c r="E639" i="1"/>
  <c r="D639" i="1"/>
  <c r="C639" i="1"/>
  <c r="B639" i="1"/>
  <c r="A639" i="1"/>
  <c r="R638" i="1"/>
  <c r="J638" i="1"/>
  <c r="I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R636" i="1"/>
  <c r="J636" i="1"/>
  <c r="I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R634" i="1"/>
  <c r="J634" i="1"/>
  <c r="I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R632" i="1"/>
  <c r="J632" i="1"/>
  <c r="I632" i="1"/>
  <c r="G632" i="1"/>
  <c r="F632" i="1"/>
  <c r="E632" i="1"/>
  <c r="D632" i="1"/>
  <c r="C632" i="1"/>
  <c r="B632" i="1"/>
  <c r="A632" i="1"/>
  <c r="R631" i="1"/>
  <c r="J631" i="1"/>
  <c r="I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R629" i="1"/>
  <c r="J629" i="1"/>
  <c r="I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R627" i="1"/>
  <c r="J627" i="1"/>
  <c r="I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R625" i="1"/>
  <c r="J625" i="1"/>
  <c r="I625" i="1"/>
  <c r="G625" i="1"/>
  <c r="F625" i="1"/>
  <c r="E625" i="1"/>
  <c r="D625" i="1"/>
  <c r="C625" i="1"/>
  <c r="B625" i="1"/>
  <c r="A625" i="1"/>
  <c r="R624" i="1"/>
  <c r="J624" i="1"/>
  <c r="I624" i="1"/>
  <c r="G624" i="1"/>
  <c r="F624" i="1"/>
  <c r="E624" i="1"/>
  <c r="D624" i="1"/>
  <c r="C624" i="1"/>
  <c r="B624" i="1"/>
  <c r="A624" i="1"/>
  <c r="R623" i="1"/>
  <c r="J623" i="1"/>
  <c r="I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R621" i="1"/>
  <c r="J621" i="1"/>
  <c r="I621" i="1"/>
  <c r="G621" i="1"/>
  <c r="F621" i="1"/>
  <c r="E621" i="1"/>
  <c r="D621" i="1"/>
  <c r="C621" i="1"/>
  <c r="B621" i="1"/>
  <c r="A621" i="1"/>
  <c r="R620" i="1"/>
  <c r="J620" i="1"/>
  <c r="I620" i="1"/>
  <c r="G620" i="1"/>
  <c r="F620" i="1"/>
  <c r="E620" i="1"/>
  <c r="D620" i="1"/>
  <c r="C620" i="1"/>
  <c r="B620" i="1"/>
  <c r="A620" i="1"/>
  <c r="R619" i="1"/>
  <c r="J619" i="1"/>
  <c r="I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R617" i="1"/>
  <c r="J617" i="1"/>
  <c r="I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R615" i="1"/>
  <c r="J615" i="1"/>
  <c r="I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S613" i="1"/>
  <c r="O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J612" i="1"/>
  <c r="I612" i="1"/>
  <c r="G612" i="1"/>
  <c r="F612" i="1"/>
  <c r="E612" i="1"/>
  <c r="D612" i="1"/>
  <c r="C612" i="1"/>
  <c r="B612" i="1"/>
  <c r="A612" i="1"/>
  <c r="S611" i="1"/>
  <c r="O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S609" i="1"/>
  <c r="O609" i="1"/>
  <c r="K609" i="1"/>
  <c r="J609" i="1"/>
  <c r="I609" i="1"/>
  <c r="H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S605" i="1"/>
  <c r="O605" i="1"/>
  <c r="K605" i="1"/>
  <c r="J605" i="1"/>
  <c r="I605" i="1"/>
  <c r="H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S603" i="1"/>
  <c r="O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S601" i="1"/>
  <c r="O601" i="1"/>
  <c r="K601" i="1"/>
  <c r="J601" i="1"/>
  <c r="I601" i="1"/>
  <c r="H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S599" i="1"/>
  <c r="O599" i="1"/>
  <c r="K599" i="1"/>
  <c r="J599" i="1"/>
  <c r="I599" i="1"/>
  <c r="H599" i="1"/>
  <c r="G599" i="1"/>
  <c r="F599" i="1"/>
  <c r="E599" i="1"/>
  <c r="D599" i="1"/>
  <c r="C599" i="1"/>
  <c r="B599" i="1"/>
  <c r="A599" i="1"/>
  <c r="S598" i="1"/>
  <c r="O598" i="1"/>
  <c r="K598" i="1"/>
  <c r="J598" i="1"/>
  <c r="I598" i="1"/>
  <c r="H598" i="1"/>
  <c r="G598" i="1"/>
  <c r="F598" i="1"/>
  <c r="D598" i="1"/>
  <c r="C598" i="1"/>
  <c r="B598" i="1"/>
  <c r="A598" i="1"/>
  <c r="R597" i="1"/>
  <c r="J597" i="1"/>
  <c r="I597" i="1"/>
  <c r="G597" i="1"/>
  <c r="F597" i="1"/>
  <c r="E597" i="1"/>
  <c r="D597" i="1"/>
  <c r="C597" i="1"/>
  <c r="B597" i="1"/>
  <c r="A597" i="1"/>
  <c r="R596" i="1"/>
  <c r="J596" i="1"/>
  <c r="I596" i="1"/>
  <c r="G596" i="1"/>
  <c r="F596" i="1"/>
  <c r="E596" i="1"/>
  <c r="D596" i="1"/>
  <c r="C596" i="1"/>
  <c r="B596" i="1"/>
  <c r="A596" i="1"/>
  <c r="S595" i="1"/>
  <c r="O595" i="1"/>
  <c r="K595" i="1"/>
  <c r="J595" i="1"/>
  <c r="I595" i="1"/>
  <c r="H595" i="1"/>
  <c r="G595" i="1"/>
  <c r="F595" i="1"/>
  <c r="E595" i="1"/>
  <c r="D595" i="1"/>
  <c r="C595" i="1"/>
  <c r="B595" i="1"/>
  <c r="A595" i="1"/>
  <c r="R594" i="1"/>
  <c r="J594" i="1"/>
  <c r="I594" i="1"/>
  <c r="G594" i="1"/>
  <c r="F594" i="1"/>
  <c r="E594" i="1"/>
  <c r="D594" i="1"/>
  <c r="C594" i="1"/>
  <c r="B594" i="1"/>
  <c r="A594" i="1"/>
  <c r="S593" i="1"/>
  <c r="O593" i="1"/>
  <c r="K593" i="1"/>
  <c r="J593" i="1"/>
  <c r="I593" i="1"/>
  <c r="H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S591" i="1"/>
  <c r="O591" i="1"/>
  <c r="K591" i="1"/>
  <c r="J591" i="1"/>
  <c r="I591" i="1"/>
  <c r="H591" i="1"/>
  <c r="G591" i="1"/>
  <c r="F591" i="1"/>
  <c r="E591" i="1"/>
  <c r="D591" i="1"/>
  <c r="C591" i="1"/>
  <c r="B591" i="1"/>
  <c r="A591" i="1"/>
  <c r="R590" i="1"/>
  <c r="J590" i="1"/>
  <c r="I590" i="1"/>
  <c r="G590" i="1"/>
  <c r="F590" i="1"/>
  <c r="E590" i="1"/>
  <c r="D590" i="1"/>
  <c r="C590" i="1"/>
  <c r="B590" i="1"/>
  <c r="A590" i="1"/>
  <c r="S589" i="1"/>
  <c r="O589" i="1"/>
  <c r="K589" i="1"/>
  <c r="J589" i="1"/>
  <c r="I589" i="1"/>
  <c r="H589" i="1"/>
  <c r="G589" i="1"/>
  <c r="F589" i="1"/>
  <c r="E589" i="1"/>
  <c r="D589" i="1"/>
  <c r="C589" i="1"/>
  <c r="B589" i="1"/>
  <c r="A589" i="1"/>
  <c r="R588" i="1"/>
  <c r="J588" i="1"/>
  <c r="I588" i="1"/>
  <c r="G588" i="1"/>
  <c r="F588" i="1"/>
  <c r="E588" i="1"/>
  <c r="D588" i="1"/>
  <c r="C588" i="1"/>
  <c r="B588" i="1"/>
  <c r="A588" i="1"/>
  <c r="S587" i="1"/>
  <c r="O587" i="1"/>
  <c r="K587" i="1"/>
  <c r="J587" i="1"/>
  <c r="I587" i="1"/>
  <c r="H587" i="1"/>
  <c r="G587" i="1"/>
  <c r="F587" i="1"/>
  <c r="E587" i="1"/>
  <c r="D587" i="1"/>
  <c r="C587" i="1"/>
  <c r="B587" i="1"/>
  <c r="A587" i="1"/>
  <c r="R586" i="1"/>
  <c r="J586" i="1"/>
  <c r="I586" i="1"/>
  <c r="G586" i="1"/>
  <c r="F586" i="1"/>
  <c r="E586" i="1"/>
  <c r="D586" i="1"/>
  <c r="C586" i="1"/>
  <c r="B586" i="1"/>
  <c r="A586" i="1"/>
  <c r="S585" i="1"/>
  <c r="O585" i="1"/>
  <c r="K585" i="1"/>
  <c r="J585" i="1"/>
  <c r="I585" i="1"/>
  <c r="H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S581" i="1"/>
  <c r="O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S579" i="1"/>
  <c r="O579" i="1"/>
  <c r="K579" i="1"/>
  <c r="J579" i="1"/>
  <c r="I579" i="1"/>
  <c r="H579" i="1"/>
  <c r="G579" i="1"/>
  <c r="F579" i="1"/>
  <c r="E579" i="1"/>
  <c r="D579" i="1"/>
  <c r="C579" i="1"/>
  <c r="B579" i="1"/>
  <c r="A579" i="1"/>
  <c r="R578" i="1"/>
  <c r="J578" i="1"/>
  <c r="I578" i="1"/>
  <c r="G578" i="1"/>
  <c r="F578" i="1"/>
  <c r="E578" i="1"/>
  <c r="D578" i="1"/>
  <c r="C578" i="1"/>
  <c r="B578" i="1"/>
  <c r="A578" i="1"/>
  <c r="R577" i="1"/>
  <c r="J577" i="1"/>
  <c r="I577" i="1"/>
  <c r="G577" i="1"/>
  <c r="F577" i="1"/>
  <c r="E577" i="1"/>
  <c r="D577" i="1"/>
  <c r="C577" i="1"/>
  <c r="B577" i="1"/>
  <c r="A577" i="1"/>
  <c r="R576" i="1"/>
  <c r="J576" i="1"/>
  <c r="I576" i="1"/>
  <c r="G576" i="1"/>
  <c r="F576" i="1"/>
  <c r="E576" i="1"/>
  <c r="D576" i="1"/>
  <c r="C576" i="1"/>
  <c r="B576" i="1"/>
  <c r="A576" i="1"/>
  <c r="R575" i="1"/>
  <c r="J575" i="1"/>
  <c r="I575" i="1"/>
  <c r="G575" i="1"/>
  <c r="F575" i="1"/>
  <c r="E575" i="1"/>
  <c r="D575" i="1"/>
  <c r="C575" i="1"/>
  <c r="B575" i="1"/>
  <c r="A575" i="1"/>
  <c r="S574" i="1"/>
  <c r="O574" i="1"/>
  <c r="K574" i="1"/>
  <c r="J574" i="1"/>
  <c r="I574" i="1"/>
  <c r="H574" i="1"/>
  <c r="G574" i="1"/>
  <c r="F574" i="1"/>
  <c r="E574" i="1"/>
  <c r="D574" i="1"/>
  <c r="C574" i="1"/>
  <c r="B574" i="1"/>
  <c r="A574" i="1"/>
  <c r="R573" i="1"/>
  <c r="J573" i="1"/>
  <c r="I573" i="1"/>
  <c r="G573" i="1"/>
  <c r="F573" i="1"/>
  <c r="E573" i="1"/>
  <c r="D573" i="1"/>
  <c r="C573" i="1"/>
  <c r="B573" i="1"/>
  <c r="A573" i="1"/>
  <c r="S572" i="1"/>
  <c r="O572" i="1"/>
  <c r="K572" i="1"/>
  <c r="J572" i="1"/>
  <c r="I572" i="1"/>
  <c r="H572" i="1"/>
  <c r="G572" i="1"/>
  <c r="F572" i="1"/>
  <c r="E572" i="1"/>
  <c r="D572" i="1"/>
  <c r="C572" i="1"/>
  <c r="B572" i="1"/>
  <c r="A572" i="1"/>
  <c r="R571" i="1"/>
  <c r="J571" i="1"/>
  <c r="I571" i="1"/>
  <c r="G571" i="1"/>
  <c r="F571" i="1"/>
  <c r="E571" i="1"/>
  <c r="D571" i="1"/>
  <c r="C571" i="1"/>
  <c r="B571" i="1"/>
  <c r="A571" i="1"/>
  <c r="R570" i="1"/>
  <c r="J570" i="1"/>
  <c r="I570" i="1"/>
  <c r="G570" i="1"/>
  <c r="F570" i="1"/>
  <c r="E570" i="1"/>
  <c r="D570" i="1"/>
  <c r="C570" i="1"/>
  <c r="B570" i="1"/>
  <c r="A570" i="1"/>
  <c r="R569" i="1"/>
  <c r="J569" i="1"/>
  <c r="I569" i="1"/>
  <c r="G569" i="1"/>
  <c r="F569" i="1"/>
  <c r="E569" i="1"/>
  <c r="D569" i="1"/>
  <c r="C569" i="1"/>
  <c r="B569" i="1"/>
  <c r="A569" i="1"/>
  <c r="S568" i="1"/>
  <c r="O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J567" i="1"/>
  <c r="I567" i="1"/>
  <c r="G567" i="1"/>
  <c r="F567" i="1"/>
  <c r="E567" i="1"/>
  <c r="D567" i="1"/>
  <c r="C567" i="1"/>
  <c r="B567" i="1"/>
  <c r="A567" i="1"/>
  <c r="R566" i="1"/>
  <c r="J566" i="1"/>
  <c r="I566" i="1"/>
  <c r="G566" i="1"/>
  <c r="F566" i="1"/>
  <c r="E566" i="1"/>
  <c r="D566" i="1"/>
  <c r="C566" i="1"/>
  <c r="B566" i="1"/>
  <c r="A566" i="1"/>
  <c r="R565" i="1"/>
  <c r="J565" i="1"/>
  <c r="I565" i="1"/>
  <c r="G565" i="1"/>
  <c r="F565" i="1"/>
  <c r="E565" i="1"/>
  <c r="D565" i="1"/>
  <c r="C565" i="1"/>
  <c r="B565" i="1"/>
  <c r="A565" i="1"/>
  <c r="S564" i="1"/>
  <c r="O564" i="1"/>
  <c r="K564" i="1"/>
  <c r="J564" i="1"/>
  <c r="I564" i="1"/>
  <c r="H564" i="1"/>
  <c r="G564" i="1"/>
  <c r="F564" i="1"/>
  <c r="E564" i="1"/>
  <c r="D564" i="1"/>
  <c r="C564" i="1"/>
  <c r="B564" i="1"/>
  <c r="A564" i="1"/>
  <c r="R563" i="1"/>
  <c r="J563" i="1"/>
  <c r="I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R561" i="1"/>
  <c r="J561" i="1"/>
  <c r="I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R559" i="1"/>
  <c r="J559" i="1"/>
  <c r="I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S557" i="1"/>
  <c r="O557" i="1"/>
  <c r="K557" i="1"/>
  <c r="J557" i="1"/>
  <c r="I557" i="1"/>
  <c r="H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S555" i="1"/>
  <c r="O555" i="1"/>
  <c r="K555" i="1"/>
  <c r="J555" i="1"/>
  <c r="I555" i="1"/>
  <c r="H555" i="1"/>
  <c r="G555" i="1"/>
  <c r="F555" i="1"/>
  <c r="E555" i="1"/>
  <c r="D555" i="1"/>
  <c r="C555" i="1"/>
  <c r="B555" i="1"/>
  <c r="A555" i="1"/>
  <c r="R554" i="1"/>
  <c r="J554" i="1"/>
  <c r="I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R552" i="1"/>
  <c r="J552" i="1"/>
  <c r="I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S550" i="1"/>
  <c r="O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R548" i="1"/>
  <c r="J548" i="1"/>
  <c r="I548" i="1"/>
  <c r="G548" i="1"/>
  <c r="F548" i="1"/>
  <c r="E548" i="1"/>
  <c r="D548" i="1"/>
  <c r="C548" i="1"/>
  <c r="B548" i="1"/>
  <c r="A548" i="1"/>
  <c r="S547" i="1"/>
  <c r="O547" i="1"/>
  <c r="K547" i="1"/>
  <c r="J547" i="1"/>
  <c r="I547" i="1"/>
  <c r="H547" i="1"/>
  <c r="G547" i="1"/>
  <c r="F547" i="1"/>
  <c r="E547" i="1"/>
  <c r="D547" i="1"/>
  <c r="C547" i="1"/>
  <c r="B547" i="1"/>
  <c r="A547" i="1"/>
  <c r="R546" i="1"/>
  <c r="J546" i="1"/>
  <c r="I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R544" i="1"/>
  <c r="J544" i="1"/>
  <c r="I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R542" i="1"/>
  <c r="J542" i="1"/>
  <c r="I542" i="1"/>
  <c r="G542" i="1"/>
  <c r="F542" i="1"/>
  <c r="E542" i="1"/>
  <c r="D542" i="1"/>
  <c r="C542" i="1"/>
  <c r="B542" i="1"/>
  <c r="A542" i="1"/>
  <c r="S541" i="1"/>
  <c r="O541" i="1"/>
  <c r="K541" i="1"/>
  <c r="J541" i="1"/>
  <c r="I541" i="1"/>
  <c r="H541" i="1"/>
  <c r="G541" i="1"/>
  <c r="F541" i="1"/>
  <c r="E541" i="1"/>
  <c r="D541" i="1"/>
  <c r="C541" i="1"/>
  <c r="B541" i="1"/>
  <c r="A541" i="1"/>
  <c r="R540" i="1"/>
  <c r="J540" i="1"/>
  <c r="I540" i="1"/>
  <c r="G540" i="1"/>
  <c r="F540" i="1"/>
  <c r="E540" i="1"/>
  <c r="D540" i="1"/>
  <c r="C540" i="1"/>
  <c r="B540" i="1"/>
  <c r="A540" i="1"/>
  <c r="S539" i="1"/>
  <c r="O539" i="1"/>
  <c r="K539" i="1"/>
  <c r="J539" i="1"/>
  <c r="I539" i="1"/>
  <c r="H539" i="1"/>
  <c r="G539" i="1"/>
  <c r="F539" i="1"/>
  <c r="E539" i="1"/>
  <c r="D539" i="1"/>
  <c r="C539" i="1"/>
  <c r="B539" i="1"/>
  <c r="A539" i="1"/>
  <c r="R538" i="1"/>
  <c r="J538" i="1"/>
  <c r="I538" i="1"/>
  <c r="G538" i="1"/>
  <c r="F538" i="1"/>
  <c r="E538" i="1"/>
  <c r="D538" i="1"/>
  <c r="C538" i="1"/>
  <c r="B538" i="1"/>
  <c r="A538" i="1"/>
  <c r="S537" i="1"/>
  <c r="O537" i="1"/>
  <c r="K537" i="1"/>
  <c r="J537" i="1"/>
  <c r="I537" i="1"/>
  <c r="H537" i="1"/>
  <c r="G537" i="1"/>
  <c r="F537" i="1"/>
  <c r="E537" i="1"/>
  <c r="D537" i="1"/>
  <c r="C537" i="1"/>
  <c r="B537" i="1"/>
  <c r="A537" i="1"/>
  <c r="R536" i="1"/>
  <c r="J536" i="1"/>
  <c r="I536" i="1"/>
  <c r="G536" i="1"/>
  <c r="F536" i="1"/>
  <c r="E536" i="1"/>
  <c r="D536" i="1"/>
  <c r="C536" i="1"/>
  <c r="B536" i="1"/>
  <c r="A536" i="1"/>
  <c r="S535" i="1"/>
  <c r="O535" i="1"/>
  <c r="K535" i="1"/>
  <c r="J535" i="1"/>
  <c r="I535" i="1"/>
  <c r="H535" i="1"/>
  <c r="G535" i="1"/>
  <c r="F535" i="1"/>
  <c r="E535" i="1"/>
  <c r="D535" i="1"/>
  <c r="C535" i="1"/>
  <c r="B535" i="1"/>
  <c r="A535" i="1"/>
  <c r="R534" i="1"/>
  <c r="J534" i="1"/>
  <c r="I534" i="1"/>
  <c r="G534" i="1"/>
  <c r="F534" i="1"/>
  <c r="E534" i="1"/>
  <c r="D534" i="1"/>
  <c r="C534" i="1"/>
  <c r="B534" i="1"/>
  <c r="A534" i="1"/>
  <c r="S533" i="1"/>
  <c r="O533" i="1"/>
  <c r="K533" i="1"/>
  <c r="J533" i="1"/>
  <c r="I533" i="1"/>
  <c r="H533" i="1"/>
  <c r="G533" i="1"/>
  <c r="F533" i="1"/>
  <c r="E533" i="1"/>
  <c r="D533" i="1"/>
  <c r="C533" i="1"/>
  <c r="B533" i="1"/>
  <c r="A533" i="1"/>
  <c r="R532" i="1"/>
  <c r="J532" i="1"/>
  <c r="I532" i="1"/>
  <c r="G532" i="1"/>
  <c r="F532" i="1"/>
  <c r="E532" i="1"/>
  <c r="D532" i="1"/>
  <c r="C532" i="1"/>
  <c r="B532" i="1"/>
  <c r="A532" i="1"/>
  <c r="S531" i="1"/>
  <c r="O531" i="1"/>
  <c r="K531" i="1"/>
  <c r="J531" i="1"/>
  <c r="I531" i="1"/>
  <c r="H531" i="1"/>
  <c r="G531" i="1"/>
  <c r="F531" i="1"/>
  <c r="E531" i="1"/>
  <c r="D531" i="1"/>
  <c r="C531" i="1"/>
  <c r="B531" i="1"/>
  <c r="A531" i="1"/>
  <c r="R530" i="1"/>
  <c r="J530" i="1"/>
  <c r="I530" i="1"/>
  <c r="G530" i="1"/>
  <c r="F530" i="1"/>
  <c r="E530" i="1"/>
  <c r="D530" i="1"/>
  <c r="C530" i="1"/>
  <c r="B530" i="1"/>
  <c r="A530" i="1"/>
  <c r="S529" i="1"/>
  <c r="O529" i="1"/>
  <c r="K529" i="1"/>
  <c r="J529" i="1"/>
  <c r="I529" i="1"/>
  <c r="H529" i="1"/>
  <c r="G529" i="1"/>
  <c r="F529" i="1"/>
  <c r="E529" i="1"/>
  <c r="D529" i="1"/>
  <c r="C529" i="1"/>
  <c r="B529" i="1"/>
  <c r="A529" i="1"/>
  <c r="R528" i="1"/>
  <c r="J528" i="1"/>
  <c r="I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R526" i="1"/>
  <c r="J526" i="1"/>
  <c r="I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R518" i="1"/>
  <c r="J518" i="1"/>
  <c r="I518" i="1"/>
  <c r="G518" i="1"/>
  <c r="F518" i="1"/>
  <c r="E518" i="1"/>
  <c r="D518" i="1"/>
  <c r="C518" i="1"/>
  <c r="B518" i="1"/>
  <c r="A518" i="1"/>
  <c r="S517" i="1"/>
  <c r="O517" i="1"/>
  <c r="K517" i="1"/>
  <c r="J517" i="1"/>
  <c r="I517" i="1"/>
  <c r="H517" i="1"/>
  <c r="G517" i="1"/>
  <c r="F517" i="1"/>
  <c r="E517" i="1"/>
  <c r="D517" i="1"/>
  <c r="C517" i="1"/>
  <c r="B517" i="1"/>
  <c r="A517" i="1"/>
  <c r="R516" i="1"/>
  <c r="J516" i="1"/>
  <c r="I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R514" i="1"/>
  <c r="J514" i="1"/>
  <c r="I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S512" i="1"/>
  <c r="O512" i="1"/>
  <c r="K512" i="1"/>
  <c r="J512" i="1"/>
  <c r="I512" i="1"/>
  <c r="H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S508" i="1"/>
  <c r="O508" i="1"/>
  <c r="K508" i="1"/>
  <c r="J508" i="1"/>
  <c r="I508" i="1"/>
  <c r="H508" i="1"/>
  <c r="G508" i="1"/>
  <c r="F508" i="1"/>
  <c r="E508" i="1"/>
  <c r="D508" i="1"/>
  <c r="C508" i="1"/>
  <c r="B508" i="1"/>
  <c r="A508" i="1"/>
  <c r="R507" i="1"/>
  <c r="J507" i="1"/>
  <c r="I507" i="1"/>
  <c r="G507" i="1"/>
  <c r="F507" i="1"/>
  <c r="E507" i="1"/>
  <c r="D507" i="1"/>
  <c r="C507" i="1"/>
  <c r="B507" i="1"/>
  <c r="A507" i="1"/>
  <c r="S506" i="1"/>
  <c r="O506" i="1"/>
  <c r="K506" i="1"/>
  <c r="J506" i="1"/>
  <c r="I506" i="1"/>
  <c r="H506" i="1"/>
  <c r="G506" i="1"/>
  <c r="F506" i="1"/>
  <c r="E506" i="1"/>
  <c r="D506" i="1"/>
  <c r="C506" i="1"/>
  <c r="B506" i="1"/>
  <c r="A506" i="1"/>
  <c r="R505" i="1"/>
  <c r="J505" i="1"/>
  <c r="I505" i="1"/>
  <c r="G505" i="1"/>
  <c r="F505" i="1"/>
  <c r="E505" i="1"/>
  <c r="D505" i="1"/>
  <c r="C505" i="1"/>
  <c r="B505" i="1"/>
  <c r="A505" i="1"/>
  <c r="S504" i="1"/>
  <c r="O504" i="1"/>
  <c r="K504" i="1"/>
  <c r="J504" i="1"/>
  <c r="I504" i="1"/>
  <c r="H504" i="1"/>
  <c r="G504" i="1"/>
  <c r="F504" i="1"/>
  <c r="E504" i="1"/>
  <c r="D504" i="1"/>
  <c r="C504" i="1"/>
  <c r="B504" i="1"/>
  <c r="A504" i="1"/>
  <c r="R503" i="1"/>
  <c r="J503" i="1"/>
  <c r="I503" i="1"/>
  <c r="G503" i="1"/>
  <c r="F503" i="1"/>
  <c r="E503" i="1"/>
  <c r="D503" i="1"/>
  <c r="C503" i="1"/>
  <c r="B503" i="1"/>
  <c r="A503" i="1"/>
  <c r="S502" i="1"/>
  <c r="O502" i="1"/>
  <c r="K502" i="1"/>
  <c r="J502" i="1"/>
  <c r="I502" i="1"/>
  <c r="H502" i="1"/>
  <c r="G502" i="1"/>
  <c r="F502" i="1"/>
  <c r="E502" i="1"/>
  <c r="D502" i="1"/>
  <c r="C502" i="1"/>
  <c r="B502" i="1"/>
  <c r="A502" i="1"/>
  <c r="R501" i="1"/>
  <c r="J501" i="1"/>
  <c r="I501" i="1"/>
  <c r="G501" i="1"/>
  <c r="F501" i="1"/>
  <c r="E501" i="1"/>
  <c r="D501" i="1"/>
  <c r="C501" i="1"/>
  <c r="B501" i="1"/>
  <c r="A501" i="1"/>
  <c r="S500" i="1"/>
  <c r="O500" i="1"/>
  <c r="K500" i="1"/>
  <c r="J500" i="1"/>
  <c r="I500" i="1"/>
  <c r="H500" i="1"/>
  <c r="G500" i="1"/>
  <c r="F500" i="1"/>
  <c r="E500" i="1"/>
  <c r="D500" i="1"/>
  <c r="C500" i="1"/>
  <c r="B500" i="1"/>
  <c r="A500" i="1"/>
  <c r="R499" i="1"/>
  <c r="J499" i="1"/>
  <c r="I499" i="1"/>
  <c r="G499" i="1"/>
  <c r="F499" i="1"/>
  <c r="E499" i="1"/>
  <c r="D499" i="1"/>
  <c r="C499" i="1"/>
  <c r="B499" i="1"/>
  <c r="A499" i="1"/>
  <c r="S498" i="1"/>
  <c r="O498" i="1"/>
  <c r="K498" i="1"/>
  <c r="J498" i="1"/>
  <c r="I498" i="1"/>
  <c r="H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S495" i="1"/>
  <c r="O495" i="1"/>
  <c r="K495" i="1"/>
  <c r="J495" i="1"/>
  <c r="I495" i="1"/>
  <c r="H495" i="1"/>
  <c r="G495" i="1"/>
  <c r="F495" i="1"/>
  <c r="E495" i="1"/>
  <c r="D495" i="1"/>
  <c r="C495" i="1"/>
  <c r="B495" i="1"/>
  <c r="A495" i="1"/>
  <c r="R494" i="1"/>
  <c r="J494" i="1"/>
  <c r="I494" i="1"/>
  <c r="G494" i="1"/>
  <c r="F494" i="1"/>
  <c r="E494" i="1"/>
  <c r="D494" i="1"/>
  <c r="C494" i="1"/>
  <c r="B494" i="1"/>
  <c r="A494" i="1"/>
  <c r="S493" i="1"/>
  <c r="O493" i="1"/>
  <c r="K493" i="1"/>
  <c r="J493" i="1"/>
  <c r="I493" i="1"/>
  <c r="H493" i="1"/>
  <c r="G493" i="1"/>
  <c r="F493" i="1"/>
  <c r="E493" i="1"/>
  <c r="D493" i="1"/>
  <c r="C493" i="1"/>
  <c r="B493" i="1"/>
  <c r="A493" i="1"/>
  <c r="S492" i="1"/>
  <c r="O492" i="1"/>
  <c r="K492" i="1"/>
  <c r="J492" i="1"/>
  <c r="I492" i="1"/>
  <c r="H492" i="1"/>
  <c r="G492" i="1"/>
  <c r="F492" i="1"/>
  <c r="D492" i="1"/>
  <c r="C492" i="1"/>
  <c r="B492" i="1"/>
  <c r="A492" i="1"/>
  <c r="R491" i="1"/>
  <c r="J491" i="1"/>
  <c r="I491" i="1"/>
  <c r="G491" i="1"/>
  <c r="F491" i="1"/>
  <c r="E491" i="1"/>
  <c r="D491" i="1"/>
  <c r="C491" i="1"/>
  <c r="B491" i="1"/>
  <c r="A491" i="1"/>
  <c r="R490" i="1"/>
  <c r="J490" i="1"/>
  <c r="I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R488" i="1"/>
  <c r="J488" i="1"/>
  <c r="I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R484" i="1"/>
  <c r="J484" i="1"/>
  <c r="I484" i="1"/>
  <c r="G484" i="1"/>
  <c r="F484" i="1"/>
  <c r="E484" i="1"/>
  <c r="D484" i="1"/>
  <c r="C484" i="1"/>
  <c r="B484" i="1"/>
  <c r="A484" i="1"/>
  <c r="R483" i="1"/>
  <c r="J483" i="1"/>
  <c r="I483" i="1"/>
  <c r="G483" i="1"/>
  <c r="F483" i="1"/>
  <c r="E483" i="1"/>
  <c r="D483" i="1"/>
  <c r="C483" i="1"/>
  <c r="B483" i="1"/>
  <c r="A483" i="1"/>
  <c r="R482" i="1"/>
  <c r="J482" i="1"/>
  <c r="I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R480" i="1"/>
  <c r="J480" i="1"/>
  <c r="I480" i="1"/>
  <c r="G480" i="1"/>
  <c r="F480" i="1"/>
  <c r="E480" i="1"/>
  <c r="D480" i="1"/>
  <c r="C480" i="1"/>
  <c r="B480" i="1"/>
  <c r="A480" i="1"/>
  <c r="R479" i="1"/>
  <c r="J479" i="1"/>
  <c r="I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R477" i="1"/>
  <c r="J477" i="1"/>
  <c r="I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S475" i="1"/>
  <c r="O475" i="1"/>
  <c r="K475" i="1"/>
  <c r="J475" i="1"/>
  <c r="I475" i="1"/>
  <c r="H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R472" i="1"/>
  <c r="J472" i="1"/>
  <c r="I472" i="1"/>
  <c r="G472" i="1"/>
  <c r="F472" i="1"/>
  <c r="E472" i="1"/>
  <c r="D472" i="1"/>
  <c r="C472" i="1"/>
  <c r="B472" i="1"/>
  <c r="A472" i="1"/>
  <c r="R471" i="1"/>
  <c r="J471" i="1"/>
  <c r="I471" i="1"/>
  <c r="G471" i="1"/>
  <c r="F471" i="1"/>
  <c r="E471" i="1"/>
  <c r="D471" i="1"/>
  <c r="C471" i="1"/>
  <c r="B471" i="1"/>
  <c r="A471" i="1"/>
  <c r="R470" i="1"/>
  <c r="J470" i="1"/>
  <c r="I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R467" i="1"/>
  <c r="J467" i="1"/>
  <c r="I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R465" i="1"/>
  <c r="J465" i="1"/>
  <c r="I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R462" i="1"/>
  <c r="J462" i="1"/>
  <c r="I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R460" i="1"/>
  <c r="J460" i="1"/>
  <c r="I460" i="1"/>
  <c r="G460" i="1"/>
  <c r="F460" i="1"/>
  <c r="E460" i="1"/>
  <c r="D460" i="1"/>
  <c r="C460" i="1"/>
  <c r="B460" i="1"/>
  <c r="A460" i="1"/>
  <c r="R459" i="1"/>
  <c r="J459" i="1"/>
  <c r="I459" i="1"/>
  <c r="G459" i="1"/>
  <c r="F459" i="1"/>
  <c r="E459" i="1"/>
  <c r="D459" i="1"/>
  <c r="C459" i="1"/>
  <c r="B459" i="1"/>
  <c r="A459" i="1"/>
  <c r="S458" i="1"/>
  <c r="O458" i="1"/>
  <c r="K458" i="1"/>
  <c r="J458" i="1"/>
  <c r="I458" i="1"/>
  <c r="H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S456" i="1"/>
  <c r="O456" i="1"/>
  <c r="K456" i="1"/>
  <c r="J456" i="1"/>
  <c r="I456" i="1"/>
  <c r="H456" i="1"/>
  <c r="G456" i="1"/>
  <c r="F456" i="1"/>
  <c r="E456" i="1"/>
  <c r="D456" i="1"/>
  <c r="C456" i="1"/>
  <c r="B456" i="1"/>
  <c r="A456" i="1"/>
  <c r="R455" i="1"/>
  <c r="J455" i="1"/>
  <c r="I455" i="1"/>
  <c r="G455" i="1"/>
  <c r="F455" i="1"/>
  <c r="E455" i="1"/>
  <c r="D455" i="1"/>
  <c r="C455" i="1"/>
  <c r="B455" i="1"/>
  <c r="A455" i="1"/>
  <c r="S454" i="1"/>
  <c r="O454" i="1"/>
  <c r="K454" i="1"/>
  <c r="J454" i="1"/>
  <c r="I454" i="1"/>
  <c r="H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S452" i="1"/>
  <c r="O452" i="1"/>
  <c r="K452" i="1"/>
  <c r="J452" i="1"/>
  <c r="I452" i="1"/>
  <c r="H452" i="1"/>
  <c r="G452" i="1"/>
  <c r="F452" i="1"/>
  <c r="E452" i="1"/>
  <c r="D452" i="1"/>
  <c r="C452" i="1"/>
  <c r="B452" i="1"/>
  <c r="A452" i="1"/>
  <c r="R451" i="1"/>
  <c r="J451" i="1"/>
  <c r="I451" i="1"/>
  <c r="G451" i="1"/>
  <c r="F451" i="1"/>
  <c r="E451" i="1"/>
  <c r="D451" i="1"/>
  <c r="C451" i="1"/>
  <c r="B451" i="1"/>
  <c r="A451" i="1"/>
  <c r="S450" i="1"/>
  <c r="O450" i="1"/>
  <c r="K450" i="1"/>
  <c r="J450" i="1"/>
  <c r="I450" i="1"/>
  <c r="H450" i="1"/>
  <c r="G450" i="1"/>
  <c r="F450" i="1"/>
  <c r="E450" i="1"/>
  <c r="D450" i="1"/>
  <c r="C450" i="1"/>
  <c r="B450" i="1"/>
  <c r="A450" i="1"/>
  <c r="S449" i="1"/>
  <c r="O449" i="1"/>
  <c r="K449" i="1"/>
  <c r="J449" i="1"/>
  <c r="I449" i="1"/>
  <c r="H449" i="1"/>
  <c r="G449" i="1"/>
  <c r="F449" i="1"/>
  <c r="D449" i="1"/>
  <c r="C449" i="1"/>
  <c r="B449" i="1"/>
  <c r="A449" i="1"/>
  <c r="S448" i="1"/>
  <c r="O448" i="1"/>
  <c r="K448" i="1"/>
  <c r="J448" i="1"/>
  <c r="I448" i="1"/>
  <c r="H448" i="1"/>
  <c r="G448" i="1"/>
  <c r="F448" i="1"/>
  <c r="E448" i="1"/>
  <c r="D448" i="1"/>
  <c r="C448" i="1"/>
  <c r="B448" i="1"/>
  <c r="A448" i="1"/>
  <c r="R447" i="1"/>
  <c r="J447" i="1"/>
  <c r="I447" i="1"/>
  <c r="G447" i="1"/>
  <c r="F447" i="1"/>
  <c r="E447" i="1"/>
  <c r="D447" i="1"/>
  <c r="C447" i="1"/>
  <c r="B447" i="1"/>
  <c r="A447" i="1"/>
  <c r="S446" i="1"/>
  <c r="O446" i="1"/>
  <c r="K446" i="1"/>
  <c r="J446" i="1"/>
  <c r="I446" i="1"/>
  <c r="H446" i="1"/>
  <c r="G446" i="1"/>
  <c r="F446" i="1"/>
  <c r="E446" i="1"/>
  <c r="D446" i="1"/>
  <c r="C446" i="1"/>
  <c r="B446" i="1"/>
  <c r="A446" i="1"/>
  <c r="S445" i="1"/>
  <c r="O445" i="1"/>
  <c r="K445" i="1"/>
  <c r="J445" i="1"/>
  <c r="I445" i="1"/>
  <c r="H445" i="1"/>
  <c r="G445" i="1"/>
  <c r="F445" i="1"/>
  <c r="E445" i="1"/>
  <c r="D445" i="1"/>
  <c r="C445" i="1"/>
  <c r="B445" i="1"/>
  <c r="A445" i="1"/>
  <c r="R444" i="1"/>
  <c r="J444" i="1"/>
  <c r="I444" i="1"/>
  <c r="G444" i="1"/>
  <c r="F444" i="1"/>
  <c r="E444" i="1"/>
  <c r="D444" i="1"/>
  <c r="C444" i="1"/>
  <c r="B444" i="1"/>
  <c r="A444" i="1"/>
  <c r="S443" i="1"/>
  <c r="O443" i="1"/>
  <c r="K443" i="1"/>
  <c r="J443" i="1"/>
  <c r="I443" i="1"/>
  <c r="H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S441" i="1"/>
  <c r="O441" i="1"/>
  <c r="K441" i="1"/>
  <c r="J441" i="1"/>
  <c r="I441" i="1"/>
  <c r="H441" i="1"/>
  <c r="G441" i="1"/>
  <c r="F441" i="1"/>
  <c r="E441" i="1"/>
  <c r="D441" i="1"/>
  <c r="C441" i="1"/>
  <c r="B441" i="1"/>
  <c r="A441" i="1"/>
  <c r="R440" i="1"/>
  <c r="J440" i="1"/>
  <c r="I440" i="1"/>
  <c r="G440" i="1"/>
  <c r="F440" i="1"/>
  <c r="E440" i="1"/>
  <c r="D440" i="1"/>
  <c r="C440" i="1"/>
  <c r="B440" i="1"/>
  <c r="A440" i="1"/>
  <c r="S439" i="1"/>
  <c r="O439" i="1"/>
  <c r="K439" i="1"/>
  <c r="J439" i="1"/>
  <c r="I439" i="1"/>
  <c r="H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S437" i="1"/>
  <c r="O437" i="1"/>
  <c r="K437" i="1"/>
  <c r="J437" i="1"/>
  <c r="I437" i="1"/>
  <c r="H437" i="1"/>
  <c r="G437" i="1"/>
  <c r="F437" i="1"/>
  <c r="E437" i="1"/>
  <c r="D437" i="1"/>
  <c r="C437" i="1"/>
  <c r="B437" i="1"/>
  <c r="A437" i="1"/>
  <c r="R436" i="1"/>
  <c r="J436" i="1"/>
  <c r="I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R434" i="1"/>
  <c r="J434" i="1"/>
  <c r="I434" i="1"/>
  <c r="G434" i="1"/>
  <c r="F434" i="1"/>
  <c r="E434" i="1"/>
  <c r="D434" i="1"/>
  <c r="C434" i="1"/>
  <c r="B434" i="1"/>
  <c r="A434" i="1"/>
  <c r="R433" i="1"/>
  <c r="J433" i="1"/>
  <c r="I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R431" i="1"/>
  <c r="J431" i="1"/>
  <c r="I431" i="1"/>
  <c r="G431" i="1"/>
  <c r="F431" i="1"/>
  <c r="E431" i="1"/>
  <c r="D431" i="1"/>
  <c r="C431" i="1"/>
  <c r="B431" i="1"/>
  <c r="A431" i="1"/>
  <c r="S430" i="1"/>
  <c r="O430" i="1"/>
  <c r="K430" i="1"/>
  <c r="J430" i="1"/>
  <c r="I430" i="1"/>
  <c r="H430" i="1"/>
  <c r="G430" i="1"/>
  <c r="F430" i="1"/>
  <c r="E430" i="1"/>
  <c r="D430" i="1"/>
  <c r="C430" i="1"/>
  <c r="B430" i="1"/>
  <c r="A430" i="1"/>
  <c r="R429" i="1"/>
  <c r="J429" i="1"/>
  <c r="I429" i="1"/>
  <c r="G429" i="1"/>
  <c r="F429" i="1"/>
  <c r="E429" i="1"/>
  <c r="D429" i="1"/>
  <c r="C429" i="1"/>
  <c r="B429" i="1"/>
  <c r="A429" i="1"/>
  <c r="R428" i="1"/>
  <c r="J428" i="1"/>
  <c r="I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R426" i="1"/>
  <c r="J426" i="1"/>
  <c r="I426" i="1"/>
  <c r="G426" i="1"/>
  <c r="F426" i="1"/>
  <c r="E426" i="1"/>
  <c r="D426" i="1"/>
  <c r="C426" i="1"/>
  <c r="B426" i="1"/>
  <c r="A426" i="1"/>
  <c r="R425" i="1"/>
  <c r="J425" i="1"/>
  <c r="I425" i="1"/>
  <c r="G425" i="1"/>
  <c r="F425" i="1"/>
  <c r="E425" i="1"/>
  <c r="D425" i="1"/>
  <c r="C425" i="1"/>
  <c r="B425" i="1"/>
  <c r="A425" i="1"/>
  <c r="S424" i="1"/>
  <c r="O424" i="1"/>
  <c r="K424" i="1"/>
  <c r="J424" i="1"/>
  <c r="I424" i="1"/>
  <c r="H424" i="1"/>
  <c r="G424" i="1"/>
  <c r="F424" i="1"/>
  <c r="E424" i="1"/>
  <c r="D424" i="1"/>
  <c r="C424" i="1"/>
  <c r="B424" i="1"/>
  <c r="A424" i="1"/>
  <c r="S423" i="1"/>
  <c r="O423" i="1"/>
  <c r="K423" i="1"/>
  <c r="J423" i="1"/>
  <c r="I423" i="1"/>
  <c r="H423" i="1"/>
  <c r="G423" i="1"/>
  <c r="F423" i="1"/>
  <c r="D423" i="1"/>
  <c r="C423" i="1"/>
  <c r="B423" i="1"/>
  <c r="A423" i="1"/>
  <c r="S422" i="1"/>
  <c r="O422" i="1"/>
  <c r="K422" i="1"/>
  <c r="J422" i="1"/>
  <c r="I422" i="1"/>
  <c r="H422" i="1"/>
  <c r="G422" i="1"/>
  <c r="F422" i="1"/>
  <c r="D422" i="1"/>
  <c r="C422" i="1"/>
  <c r="B422" i="1"/>
  <c r="A422" i="1"/>
  <c r="S421" i="1"/>
  <c r="O421" i="1"/>
  <c r="K421" i="1"/>
  <c r="J421" i="1"/>
  <c r="I421" i="1"/>
  <c r="H421" i="1"/>
  <c r="G421" i="1"/>
  <c r="F421" i="1"/>
  <c r="D421" i="1"/>
  <c r="C421" i="1"/>
  <c r="B421" i="1"/>
  <c r="A421" i="1"/>
  <c r="R420" i="1"/>
  <c r="J420" i="1"/>
  <c r="I420" i="1"/>
  <c r="G420" i="1"/>
  <c r="F420" i="1"/>
  <c r="E420" i="1"/>
  <c r="D420" i="1"/>
  <c r="C420" i="1"/>
  <c r="B420" i="1"/>
  <c r="A420" i="1"/>
  <c r="S419" i="1"/>
  <c r="O419" i="1"/>
  <c r="K419" i="1"/>
  <c r="J419" i="1"/>
  <c r="I419" i="1"/>
  <c r="H419" i="1"/>
  <c r="G419" i="1"/>
  <c r="F419" i="1"/>
  <c r="E419" i="1"/>
  <c r="D419" i="1"/>
  <c r="C419" i="1"/>
  <c r="B419" i="1"/>
  <c r="A419" i="1"/>
  <c r="R418" i="1"/>
  <c r="J418" i="1"/>
  <c r="I418" i="1"/>
  <c r="G418" i="1"/>
  <c r="F418" i="1"/>
  <c r="E418" i="1"/>
  <c r="D418" i="1"/>
  <c r="C418" i="1"/>
  <c r="B418" i="1"/>
  <c r="A418" i="1"/>
  <c r="S417" i="1"/>
  <c r="O417" i="1"/>
  <c r="K417" i="1"/>
  <c r="J417" i="1"/>
  <c r="I417" i="1"/>
  <c r="H417" i="1"/>
  <c r="G417" i="1"/>
  <c r="F417" i="1"/>
  <c r="E417" i="1"/>
  <c r="D417" i="1"/>
  <c r="C417" i="1"/>
  <c r="B417" i="1"/>
  <c r="A417" i="1"/>
  <c r="R416" i="1"/>
  <c r="J416" i="1"/>
  <c r="I416" i="1"/>
  <c r="G416" i="1"/>
  <c r="F416" i="1"/>
  <c r="E416" i="1"/>
  <c r="D416" i="1"/>
  <c r="C416" i="1"/>
  <c r="B416" i="1"/>
  <c r="A416" i="1"/>
  <c r="S415" i="1"/>
  <c r="O415" i="1"/>
  <c r="K415" i="1"/>
  <c r="J415" i="1"/>
  <c r="I415" i="1"/>
  <c r="H415" i="1"/>
  <c r="G415" i="1"/>
  <c r="F415" i="1"/>
  <c r="E415" i="1"/>
  <c r="D415" i="1"/>
  <c r="C415" i="1"/>
  <c r="B415" i="1"/>
  <c r="A415" i="1"/>
  <c r="R414" i="1"/>
  <c r="J414" i="1"/>
  <c r="I414" i="1"/>
  <c r="G414" i="1"/>
  <c r="F414" i="1"/>
  <c r="E414" i="1"/>
  <c r="D414" i="1"/>
  <c r="C414" i="1"/>
  <c r="B414" i="1"/>
  <c r="A414" i="1"/>
  <c r="S413" i="1"/>
  <c r="O413" i="1"/>
  <c r="K413" i="1"/>
  <c r="J413" i="1"/>
  <c r="I413" i="1"/>
  <c r="H413" i="1"/>
  <c r="G413" i="1"/>
  <c r="F413" i="1"/>
  <c r="E413" i="1"/>
  <c r="D413" i="1"/>
  <c r="C413" i="1"/>
  <c r="B413" i="1"/>
  <c r="A413" i="1"/>
  <c r="R412" i="1"/>
  <c r="J412" i="1"/>
  <c r="I412" i="1"/>
  <c r="G412" i="1"/>
  <c r="F412" i="1"/>
  <c r="E412" i="1"/>
  <c r="D412" i="1"/>
  <c r="C412" i="1"/>
  <c r="B412" i="1"/>
  <c r="A412" i="1"/>
  <c r="S411" i="1"/>
  <c r="O411" i="1"/>
  <c r="K411" i="1"/>
  <c r="J411" i="1"/>
  <c r="I411" i="1"/>
  <c r="H411" i="1"/>
  <c r="G411" i="1"/>
  <c r="F411" i="1"/>
  <c r="E411" i="1"/>
  <c r="D411" i="1"/>
  <c r="C411" i="1"/>
  <c r="B411" i="1"/>
  <c r="A411" i="1"/>
  <c r="R410" i="1"/>
  <c r="J410" i="1"/>
  <c r="I410" i="1"/>
  <c r="G410" i="1"/>
  <c r="F410" i="1"/>
  <c r="E410" i="1"/>
  <c r="D410" i="1"/>
  <c r="C410" i="1"/>
  <c r="B410" i="1"/>
  <c r="A410" i="1"/>
  <c r="S409" i="1"/>
  <c r="O409" i="1"/>
  <c r="K409" i="1"/>
  <c r="J409" i="1"/>
  <c r="I409" i="1"/>
  <c r="H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S407" i="1"/>
  <c r="O407" i="1"/>
  <c r="K407" i="1"/>
  <c r="J407" i="1"/>
  <c r="I407" i="1"/>
  <c r="H407" i="1"/>
  <c r="G407" i="1"/>
  <c r="F407" i="1"/>
  <c r="E407" i="1"/>
  <c r="D407" i="1"/>
  <c r="C407" i="1"/>
  <c r="B407" i="1"/>
  <c r="A407" i="1"/>
  <c r="R406" i="1"/>
  <c r="J406" i="1"/>
  <c r="I406" i="1"/>
  <c r="G406" i="1"/>
  <c r="F406" i="1"/>
  <c r="E406" i="1"/>
  <c r="D406" i="1"/>
  <c r="C406" i="1"/>
  <c r="B406" i="1"/>
  <c r="A406" i="1"/>
  <c r="S405" i="1"/>
  <c r="O405" i="1"/>
  <c r="K405" i="1"/>
  <c r="J405" i="1"/>
  <c r="I405" i="1"/>
  <c r="H405" i="1"/>
  <c r="G405" i="1"/>
  <c r="F405" i="1"/>
  <c r="E405" i="1"/>
  <c r="D405" i="1"/>
  <c r="C405" i="1"/>
  <c r="B405" i="1"/>
  <c r="A405" i="1"/>
  <c r="R404" i="1"/>
  <c r="J404" i="1"/>
  <c r="I404" i="1"/>
  <c r="G404" i="1"/>
  <c r="F404" i="1"/>
  <c r="E404" i="1"/>
  <c r="D404" i="1"/>
  <c r="C404" i="1"/>
  <c r="B404" i="1"/>
  <c r="A404" i="1"/>
  <c r="S403" i="1"/>
  <c r="O403" i="1"/>
  <c r="K403" i="1"/>
  <c r="J403" i="1"/>
  <c r="I403" i="1"/>
  <c r="H403" i="1"/>
  <c r="G403" i="1"/>
  <c r="F403" i="1"/>
  <c r="E403" i="1"/>
  <c r="D403" i="1"/>
  <c r="C403" i="1"/>
  <c r="B403" i="1"/>
  <c r="A403" i="1"/>
  <c r="S402" i="1"/>
  <c r="O402" i="1"/>
  <c r="K402" i="1"/>
  <c r="J402" i="1"/>
  <c r="I402" i="1"/>
  <c r="H402" i="1"/>
  <c r="G402" i="1"/>
  <c r="F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S398" i="1"/>
  <c r="O398" i="1"/>
  <c r="K398" i="1"/>
  <c r="J398" i="1"/>
  <c r="I398" i="1"/>
  <c r="H398" i="1"/>
  <c r="G398" i="1"/>
  <c r="F398" i="1"/>
  <c r="E398" i="1"/>
  <c r="D398" i="1"/>
  <c r="C398" i="1"/>
  <c r="B398" i="1"/>
  <c r="A398" i="1"/>
  <c r="S397" i="1"/>
  <c r="O397" i="1"/>
  <c r="K397" i="1"/>
  <c r="J397" i="1"/>
  <c r="I397" i="1"/>
  <c r="H397" i="1"/>
  <c r="G397" i="1"/>
  <c r="F397" i="1"/>
  <c r="D397" i="1"/>
  <c r="C397" i="1"/>
  <c r="B397" i="1"/>
  <c r="A397" i="1"/>
  <c r="R396" i="1"/>
  <c r="J396" i="1"/>
  <c r="I396" i="1"/>
  <c r="G396" i="1"/>
  <c r="F396" i="1"/>
  <c r="E396" i="1"/>
  <c r="D396" i="1"/>
  <c r="C396" i="1"/>
  <c r="B396" i="1"/>
  <c r="A396" i="1"/>
  <c r="S395" i="1"/>
  <c r="O395" i="1"/>
  <c r="K395" i="1"/>
  <c r="J395" i="1"/>
  <c r="I395" i="1"/>
  <c r="H395" i="1"/>
  <c r="G395" i="1"/>
  <c r="F395" i="1"/>
  <c r="E395" i="1"/>
  <c r="D395" i="1"/>
  <c r="C395" i="1"/>
  <c r="B395" i="1"/>
  <c r="A395" i="1"/>
  <c r="R394" i="1"/>
  <c r="J394" i="1"/>
  <c r="I394" i="1"/>
  <c r="G394" i="1"/>
  <c r="F394" i="1"/>
  <c r="E394" i="1"/>
  <c r="D394" i="1"/>
  <c r="C394" i="1"/>
  <c r="B394" i="1"/>
  <c r="A394" i="1"/>
  <c r="S393" i="1"/>
  <c r="O393" i="1"/>
  <c r="K393" i="1"/>
  <c r="J393" i="1"/>
  <c r="I393" i="1"/>
  <c r="H393" i="1"/>
  <c r="G393" i="1"/>
  <c r="F393" i="1"/>
  <c r="E393" i="1"/>
  <c r="D393" i="1"/>
  <c r="C393" i="1"/>
  <c r="B393" i="1"/>
  <c r="A393" i="1"/>
  <c r="R392" i="1"/>
  <c r="J392" i="1"/>
  <c r="I392" i="1"/>
  <c r="G392" i="1"/>
  <c r="F392" i="1"/>
  <c r="E392" i="1"/>
  <c r="D392" i="1"/>
  <c r="C392" i="1"/>
  <c r="B392" i="1"/>
  <c r="A392" i="1"/>
  <c r="S391" i="1"/>
  <c r="O391" i="1"/>
  <c r="K391" i="1"/>
  <c r="J391" i="1"/>
  <c r="I391" i="1"/>
  <c r="H391" i="1"/>
  <c r="G391" i="1"/>
  <c r="F391" i="1"/>
  <c r="E391" i="1"/>
  <c r="D391" i="1"/>
  <c r="C391" i="1"/>
  <c r="B391" i="1"/>
  <c r="A391" i="1"/>
  <c r="R390" i="1"/>
  <c r="J390" i="1"/>
  <c r="I390" i="1"/>
  <c r="G390" i="1"/>
  <c r="F390" i="1"/>
  <c r="E390" i="1"/>
  <c r="D390" i="1"/>
  <c r="C390" i="1"/>
  <c r="B390" i="1"/>
  <c r="A390" i="1"/>
  <c r="S389" i="1"/>
  <c r="O389" i="1"/>
  <c r="K389" i="1"/>
  <c r="J389" i="1"/>
  <c r="I389" i="1"/>
  <c r="H389" i="1"/>
  <c r="G389" i="1"/>
  <c r="F389" i="1"/>
  <c r="E389" i="1"/>
  <c r="D389" i="1"/>
  <c r="C389" i="1"/>
  <c r="B389" i="1"/>
  <c r="A389" i="1"/>
  <c r="R388" i="1"/>
  <c r="J388" i="1"/>
  <c r="I388" i="1"/>
  <c r="G388" i="1"/>
  <c r="F388" i="1"/>
  <c r="E388" i="1"/>
  <c r="D388" i="1"/>
  <c r="C388" i="1"/>
  <c r="B388" i="1"/>
  <c r="A388" i="1"/>
  <c r="S387" i="1"/>
  <c r="O387" i="1"/>
  <c r="K387" i="1"/>
  <c r="J387" i="1"/>
  <c r="I387" i="1"/>
  <c r="H387" i="1"/>
  <c r="G387" i="1"/>
  <c r="F387" i="1"/>
  <c r="E387" i="1"/>
  <c r="D387" i="1"/>
  <c r="C387" i="1"/>
  <c r="B387" i="1"/>
  <c r="A387" i="1"/>
  <c r="R386" i="1"/>
  <c r="J386" i="1"/>
  <c r="I386" i="1"/>
  <c r="G386" i="1"/>
  <c r="F386" i="1"/>
  <c r="E386" i="1"/>
  <c r="D386" i="1"/>
  <c r="C386" i="1"/>
  <c r="B386" i="1"/>
  <c r="A386" i="1"/>
  <c r="S385" i="1"/>
  <c r="O385" i="1"/>
  <c r="K385" i="1"/>
  <c r="J385" i="1"/>
  <c r="I385" i="1"/>
  <c r="H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S382" i="1"/>
  <c r="O382" i="1"/>
  <c r="K382" i="1"/>
  <c r="J382" i="1"/>
  <c r="I382" i="1"/>
  <c r="H382" i="1"/>
  <c r="G382" i="1"/>
  <c r="F382" i="1"/>
  <c r="D382" i="1"/>
  <c r="C382" i="1"/>
  <c r="B382" i="1"/>
  <c r="A382" i="1"/>
  <c r="R381" i="1"/>
  <c r="J381" i="1"/>
  <c r="I381" i="1"/>
  <c r="G381" i="1"/>
  <c r="F381" i="1"/>
  <c r="E381" i="1"/>
  <c r="D381" i="1"/>
  <c r="C381" i="1"/>
  <c r="B381" i="1"/>
  <c r="A381" i="1"/>
  <c r="S380" i="1"/>
  <c r="O380" i="1"/>
  <c r="K380" i="1"/>
  <c r="J380" i="1"/>
  <c r="I380" i="1"/>
  <c r="H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S378" i="1"/>
  <c r="O378" i="1"/>
  <c r="K378" i="1"/>
  <c r="J378" i="1"/>
  <c r="I378" i="1"/>
  <c r="H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S376" i="1"/>
  <c r="O376" i="1"/>
  <c r="K376" i="1"/>
  <c r="J376" i="1"/>
  <c r="I376" i="1"/>
  <c r="H376" i="1"/>
  <c r="G376" i="1"/>
  <c r="F376" i="1"/>
  <c r="E376" i="1"/>
  <c r="D376" i="1"/>
  <c r="C376" i="1"/>
  <c r="B376" i="1"/>
  <c r="A376" i="1"/>
  <c r="R375" i="1"/>
  <c r="J375" i="1"/>
  <c r="I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R373" i="1"/>
  <c r="J373" i="1"/>
  <c r="I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R371" i="1"/>
  <c r="J371" i="1"/>
  <c r="I371" i="1"/>
  <c r="G371" i="1"/>
  <c r="F371" i="1"/>
  <c r="E371" i="1"/>
  <c r="D371" i="1"/>
  <c r="C371" i="1"/>
  <c r="B371" i="1"/>
  <c r="A371" i="1"/>
  <c r="S370" i="1"/>
  <c r="O370" i="1"/>
  <c r="K370" i="1"/>
  <c r="J370" i="1"/>
  <c r="I370" i="1"/>
  <c r="H370" i="1"/>
  <c r="G370" i="1"/>
  <c r="F370" i="1"/>
  <c r="E370" i="1"/>
  <c r="D370" i="1"/>
  <c r="C370" i="1"/>
  <c r="B370" i="1"/>
  <c r="A370" i="1"/>
  <c r="R369" i="1"/>
  <c r="J369" i="1"/>
  <c r="I369" i="1"/>
  <c r="G369" i="1"/>
  <c r="F369" i="1"/>
  <c r="E369" i="1"/>
  <c r="D369" i="1"/>
  <c r="C369" i="1"/>
  <c r="B369" i="1"/>
  <c r="A369" i="1"/>
  <c r="R368" i="1"/>
  <c r="J368" i="1"/>
  <c r="I368" i="1"/>
  <c r="G368" i="1"/>
  <c r="F368" i="1"/>
  <c r="E368" i="1"/>
  <c r="D368" i="1"/>
  <c r="C368" i="1"/>
  <c r="B368" i="1"/>
  <c r="A368" i="1"/>
  <c r="R367" i="1"/>
  <c r="J367" i="1"/>
  <c r="I367" i="1"/>
  <c r="G367" i="1"/>
  <c r="F367" i="1"/>
  <c r="E367" i="1"/>
  <c r="D367" i="1"/>
  <c r="C367" i="1"/>
  <c r="B367" i="1"/>
  <c r="A367" i="1"/>
  <c r="R366" i="1"/>
  <c r="J366" i="1"/>
  <c r="I366" i="1"/>
  <c r="G366" i="1"/>
  <c r="F366" i="1"/>
  <c r="E366" i="1"/>
  <c r="D366" i="1"/>
  <c r="C366" i="1"/>
  <c r="B366" i="1"/>
  <c r="A366" i="1"/>
  <c r="R365" i="1"/>
  <c r="J365" i="1"/>
  <c r="I365" i="1"/>
  <c r="G365" i="1"/>
  <c r="F365" i="1"/>
  <c r="E365" i="1"/>
  <c r="D365" i="1"/>
  <c r="C365" i="1"/>
  <c r="B365" i="1"/>
  <c r="A365" i="1"/>
  <c r="S364" i="1"/>
  <c r="O364" i="1"/>
  <c r="K364" i="1"/>
  <c r="J364" i="1"/>
  <c r="I364" i="1"/>
  <c r="H364" i="1"/>
  <c r="G364" i="1"/>
  <c r="F364" i="1"/>
  <c r="E364" i="1"/>
  <c r="D364" i="1"/>
  <c r="C364" i="1"/>
  <c r="B364" i="1"/>
  <c r="A364" i="1"/>
  <c r="R363" i="1"/>
  <c r="J363" i="1"/>
  <c r="I363" i="1"/>
  <c r="G363" i="1"/>
  <c r="F363" i="1"/>
  <c r="E363" i="1"/>
  <c r="D363" i="1"/>
  <c r="C363" i="1"/>
  <c r="B363" i="1"/>
  <c r="A363" i="1"/>
  <c r="R362" i="1"/>
  <c r="J362" i="1"/>
  <c r="I362" i="1"/>
  <c r="G362" i="1"/>
  <c r="F362" i="1"/>
  <c r="E362" i="1"/>
  <c r="D362" i="1"/>
  <c r="C362" i="1"/>
  <c r="B362" i="1"/>
  <c r="A362" i="1"/>
  <c r="S361" i="1"/>
  <c r="O361" i="1"/>
  <c r="K361" i="1"/>
  <c r="J361" i="1"/>
  <c r="I361" i="1"/>
  <c r="H361" i="1"/>
  <c r="G361" i="1"/>
  <c r="F361" i="1"/>
  <c r="E361" i="1"/>
  <c r="D361" i="1"/>
  <c r="C361" i="1"/>
  <c r="B361" i="1"/>
  <c r="A361" i="1"/>
  <c r="R360" i="1"/>
  <c r="J360" i="1"/>
  <c r="I360" i="1"/>
  <c r="G360" i="1"/>
  <c r="F360" i="1"/>
  <c r="E360" i="1"/>
  <c r="D360" i="1"/>
  <c r="C360" i="1"/>
  <c r="B360" i="1"/>
  <c r="A360" i="1"/>
  <c r="S359" i="1"/>
  <c r="O359" i="1"/>
  <c r="K359" i="1"/>
  <c r="J359" i="1"/>
  <c r="I359" i="1"/>
  <c r="H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S355" i="1"/>
  <c r="O355" i="1"/>
  <c r="K355" i="1"/>
  <c r="J355" i="1"/>
  <c r="I355" i="1"/>
  <c r="H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R353" i="1"/>
  <c r="J353" i="1"/>
  <c r="I353" i="1"/>
  <c r="G353" i="1"/>
  <c r="F353" i="1"/>
  <c r="E353" i="1"/>
  <c r="D353" i="1"/>
  <c r="C353" i="1"/>
  <c r="B353" i="1"/>
  <c r="A353" i="1"/>
  <c r="R352" i="1"/>
  <c r="J352" i="1"/>
  <c r="I352" i="1"/>
  <c r="G352" i="1"/>
  <c r="F352" i="1"/>
  <c r="E352" i="1"/>
  <c r="D352" i="1"/>
  <c r="C352" i="1"/>
  <c r="B352" i="1"/>
  <c r="A352" i="1"/>
  <c r="R351" i="1"/>
  <c r="J351" i="1"/>
  <c r="I351" i="1"/>
  <c r="G351" i="1"/>
  <c r="F351" i="1"/>
  <c r="E351" i="1"/>
  <c r="D351" i="1"/>
  <c r="C351" i="1"/>
  <c r="B351" i="1"/>
  <c r="A351" i="1"/>
  <c r="S350" i="1"/>
  <c r="O350" i="1"/>
  <c r="K350" i="1"/>
  <c r="J350" i="1"/>
  <c r="I350" i="1"/>
  <c r="H350" i="1"/>
  <c r="G350" i="1"/>
  <c r="F350" i="1"/>
  <c r="E350" i="1"/>
  <c r="D350" i="1"/>
  <c r="C350" i="1"/>
  <c r="B350" i="1"/>
  <c r="A350" i="1"/>
  <c r="R349" i="1"/>
  <c r="J349" i="1"/>
  <c r="I349" i="1"/>
  <c r="G349" i="1"/>
  <c r="F349" i="1"/>
  <c r="E349" i="1"/>
  <c r="D349" i="1"/>
  <c r="C349" i="1"/>
  <c r="B349" i="1"/>
  <c r="A349" i="1"/>
  <c r="S348" i="1"/>
  <c r="O348" i="1"/>
  <c r="K348" i="1"/>
  <c r="J348" i="1"/>
  <c r="I348" i="1"/>
  <c r="H348" i="1"/>
  <c r="G348" i="1"/>
  <c r="F348" i="1"/>
  <c r="E348" i="1"/>
  <c r="D348" i="1"/>
  <c r="C348" i="1"/>
  <c r="B348" i="1"/>
  <c r="A348" i="1"/>
  <c r="R347" i="1"/>
  <c r="J347" i="1"/>
  <c r="I347" i="1"/>
  <c r="G347" i="1"/>
  <c r="F347" i="1"/>
  <c r="E347" i="1"/>
  <c r="D347" i="1"/>
  <c r="C347" i="1"/>
  <c r="B347" i="1"/>
  <c r="A347" i="1"/>
  <c r="S346" i="1"/>
  <c r="O346" i="1"/>
  <c r="K346" i="1"/>
  <c r="J346" i="1"/>
  <c r="I346" i="1"/>
  <c r="H346" i="1"/>
  <c r="G346" i="1"/>
  <c r="F346" i="1"/>
  <c r="E346" i="1"/>
  <c r="D346" i="1"/>
  <c r="C346" i="1"/>
  <c r="B346" i="1"/>
  <c r="A346" i="1"/>
  <c r="R345" i="1"/>
  <c r="J345" i="1"/>
  <c r="I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S341" i="1"/>
  <c r="O341" i="1"/>
  <c r="K341" i="1"/>
  <c r="J341" i="1"/>
  <c r="I341" i="1"/>
  <c r="H341" i="1"/>
  <c r="G341" i="1"/>
  <c r="F341" i="1"/>
  <c r="E341" i="1"/>
  <c r="D341" i="1"/>
  <c r="C341" i="1"/>
  <c r="B341" i="1"/>
  <c r="A341" i="1"/>
  <c r="R340" i="1"/>
  <c r="J340" i="1"/>
  <c r="I340" i="1"/>
  <c r="G340" i="1"/>
  <c r="F340" i="1"/>
  <c r="E340" i="1"/>
  <c r="D340" i="1"/>
  <c r="C340" i="1"/>
  <c r="B340" i="1"/>
  <c r="A340" i="1"/>
  <c r="S339" i="1"/>
  <c r="O339" i="1"/>
  <c r="K339" i="1"/>
  <c r="J339" i="1"/>
  <c r="I339" i="1"/>
  <c r="H339" i="1"/>
  <c r="G339" i="1"/>
  <c r="F339" i="1"/>
  <c r="E339" i="1"/>
  <c r="D339" i="1"/>
  <c r="C339" i="1"/>
  <c r="B339" i="1"/>
  <c r="A339" i="1"/>
  <c r="R338" i="1"/>
  <c r="J338" i="1"/>
  <c r="I338" i="1"/>
  <c r="G338" i="1"/>
  <c r="F338" i="1"/>
  <c r="E338" i="1"/>
  <c r="D338" i="1"/>
  <c r="C338" i="1"/>
  <c r="B338" i="1"/>
  <c r="A338" i="1"/>
  <c r="S337" i="1"/>
  <c r="O337" i="1"/>
  <c r="K337" i="1"/>
  <c r="J337" i="1"/>
  <c r="I337" i="1"/>
  <c r="H337" i="1"/>
  <c r="G337" i="1"/>
  <c r="F337" i="1"/>
  <c r="E337" i="1"/>
  <c r="D337" i="1"/>
  <c r="C337" i="1"/>
  <c r="B337" i="1"/>
  <c r="A337" i="1"/>
  <c r="R336" i="1"/>
  <c r="J336" i="1"/>
  <c r="I336" i="1"/>
  <c r="G336" i="1"/>
  <c r="F336" i="1"/>
  <c r="E336" i="1"/>
  <c r="D336" i="1"/>
  <c r="C336" i="1"/>
  <c r="B336" i="1"/>
  <c r="A336" i="1"/>
  <c r="R335" i="1"/>
  <c r="J335" i="1"/>
  <c r="I335" i="1"/>
  <c r="G335" i="1"/>
  <c r="F335" i="1"/>
  <c r="E335" i="1"/>
  <c r="D335" i="1"/>
  <c r="C335" i="1"/>
  <c r="B335" i="1"/>
  <c r="A335" i="1"/>
  <c r="R334" i="1"/>
  <c r="J334" i="1"/>
  <c r="I334" i="1"/>
  <c r="G334" i="1"/>
  <c r="F334" i="1"/>
  <c r="E334" i="1"/>
  <c r="D334" i="1"/>
  <c r="C334" i="1"/>
  <c r="B334" i="1"/>
  <c r="A334" i="1"/>
  <c r="R333" i="1"/>
  <c r="J333" i="1"/>
  <c r="I333" i="1"/>
  <c r="G333" i="1"/>
  <c r="F333" i="1"/>
  <c r="E333" i="1"/>
  <c r="D333" i="1"/>
  <c r="C333" i="1"/>
  <c r="B333" i="1"/>
  <c r="A333" i="1"/>
  <c r="S332" i="1"/>
  <c r="O332" i="1"/>
  <c r="K332" i="1"/>
  <c r="J332" i="1"/>
  <c r="I332" i="1"/>
  <c r="H332" i="1"/>
  <c r="G332" i="1"/>
  <c r="F332" i="1"/>
  <c r="E332" i="1"/>
  <c r="D332" i="1"/>
  <c r="C332" i="1"/>
  <c r="B332" i="1"/>
  <c r="A332" i="1"/>
  <c r="R331" i="1"/>
  <c r="J331" i="1"/>
  <c r="I331" i="1"/>
  <c r="G331" i="1"/>
  <c r="F331" i="1"/>
  <c r="E331" i="1"/>
  <c r="D331" i="1"/>
  <c r="C331" i="1"/>
  <c r="B331" i="1"/>
  <c r="A331" i="1"/>
  <c r="R330" i="1"/>
  <c r="J330" i="1"/>
  <c r="I330" i="1"/>
  <c r="G330" i="1"/>
  <c r="F330" i="1"/>
  <c r="E330" i="1"/>
  <c r="D330" i="1"/>
  <c r="C330" i="1"/>
  <c r="B330" i="1"/>
  <c r="A330" i="1"/>
  <c r="R329" i="1"/>
  <c r="J329" i="1"/>
  <c r="I329" i="1"/>
  <c r="G329" i="1"/>
  <c r="F329" i="1"/>
  <c r="E329" i="1"/>
  <c r="D329" i="1"/>
  <c r="C329" i="1"/>
  <c r="B329" i="1"/>
  <c r="A329" i="1"/>
  <c r="S328" i="1"/>
  <c r="O328" i="1"/>
  <c r="K328" i="1"/>
  <c r="J328" i="1"/>
  <c r="I328" i="1"/>
  <c r="H328" i="1"/>
  <c r="G328" i="1"/>
  <c r="F328" i="1"/>
  <c r="E328" i="1"/>
  <c r="D328" i="1"/>
  <c r="C328" i="1"/>
  <c r="B328" i="1"/>
  <c r="A328" i="1"/>
  <c r="R327" i="1"/>
  <c r="J327" i="1"/>
  <c r="I327" i="1"/>
  <c r="G327" i="1"/>
  <c r="F327" i="1"/>
  <c r="E327" i="1"/>
  <c r="D327" i="1"/>
  <c r="C327" i="1"/>
  <c r="B327" i="1"/>
  <c r="A327" i="1"/>
  <c r="S326" i="1"/>
  <c r="O326" i="1"/>
  <c r="K326" i="1"/>
  <c r="J326" i="1"/>
  <c r="I326" i="1"/>
  <c r="H326" i="1"/>
  <c r="G326" i="1"/>
  <c r="F326" i="1"/>
  <c r="E326" i="1"/>
  <c r="D326" i="1"/>
  <c r="C326" i="1"/>
  <c r="B326" i="1"/>
  <c r="A326" i="1"/>
  <c r="R325" i="1"/>
  <c r="J325" i="1"/>
  <c r="I325" i="1"/>
  <c r="G325" i="1"/>
  <c r="F325" i="1"/>
  <c r="E325" i="1"/>
  <c r="D325" i="1"/>
  <c r="C325" i="1"/>
  <c r="B325" i="1"/>
  <c r="A325" i="1"/>
  <c r="S324" i="1"/>
  <c r="O324" i="1"/>
  <c r="K324" i="1"/>
  <c r="J324" i="1"/>
  <c r="I324" i="1"/>
  <c r="H324" i="1"/>
  <c r="G324" i="1"/>
  <c r="F324" i="1"/>
  <c r="E324" i="1"/>
  <c r="D324" i="1"/>
  <c r="C324" i="1"/>
  <c r="B324" i="1"/>
  <c r="A324" i="1"/>
  <c r="R323" i="1"/>
  <c r="J323" i="1"/>
  <c r="I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R321" i="1"/>
  <c r="J321" i="1"/>
  <c r="I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S319" i="1"/>
  <c r="O319" i="1"/>
  <c r="K319" i="1"/>
  <c r="J319" i="1"/>
  <c r="I319" i="1"/>
  <c r="H319" i="1"/>
  <c r="G319" i="1"/>
  <c r="F319" i="1"/>
  <c r="E319" i="1"/>
  <c r="D319" i="1"/>
  <c r="C319" i="1"/>
  <c r="B319" i="1"/>
  <c r="A319" i="1"/>
  <c r="R318" i="1"/>
  <c r="J318" i="1"/>
  <c r="I318" i="1"/>
  <c r="G318" i="1"/>
  <c r="F318" i="1"/>
  <c r="E318" i="1"/>
  <c r="D318" i="1"/>
  <c r="C318" i="1"/>
  <c r="B318" i="1"/>
  <c r="A318" i="1"/>
  <c r="R317" i="1"/>
  <c r="J317" i="1"/>
  <c r="I317" i="1"/>
  <c r="G317" i="1"/>
  <c r="F317" i="1"/>
  <c r="E317" i="1"/>
  <c r="D317" i="1"/>
  <c r="C317" i="1"/>
  <c r="B317" i="1"/>
  <c r="A317" i="1"/>
  <c r="S316" i="1"/>
  <c r="O316" i="1"/>
  <c r="K316" i="1"/>
  <c r="J316" i="1"/>
  <c r="I316" i="1"/>
  <c r="H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S314" i="1"/>
  <c r="O314" i="1"/>
  <c r="K314" i="1"/>
  <c r="J314" i="1"/>
  <c r="I314" i="1"/>
  <c r="H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S312" i="1"/>
  <c r="O312" i="1"/>
  <c r="K312" i="1"/>
  <c r="J312" i="1"/>
  <c r="I312" i="1"/>
  <c r="H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R307" i="1"/>
  <c r="J307" i="1"/>
  <c r="I307" i="1"/>
  <c r="G307" i="1"/>
  <c r="F307" i="1"/>
  <c r="E307" i="1"/>
  <c r="D307" i="1"/>
  <c r="C307" i="1"/>
  <c r="B307" i="1"/>
  <c r="A307" i="1"/>
  <c r="S306" i="1"/>
  <c r="O306" i="1"/>
  <c r="K306" i="1"/>
  <c r="J306" i="1"/>
  <c r="I306" i="1"/>
  <c r="H306" i="1"/>
  <c r="G306" i="1"/>
  <c r="F306" i="1"/>
  <c r="E306" i="1"/>
  <c r="D306" i="1"/>
  <c r="C306" i="1"/>
  <c r="B306" i="1"/>
  <c r="A306" i="1"/>
  <c r="R305" i="1"/>
  <c r="J305" i="1"/>
  <c r="I305" i="1"/>
  <c r="G305" i="1"/>
  <c r="F305" i="1"/>
  <c r="E305" i="1"/>
  <c r="D305" i="1"/>
  <c r="C305" i="1"/>
  <c r="B305" i="1"/>
  <c r="A305" i="1"/>
  <c r="R304" i="1"/>
  <c r="J304" i="1"/>
  <c r="I304" i="1"/>
  <c r="G304" i="1"/>
  <c r="F304" i="1"/>
  <c r="E304" i="1"/>
  <c r="D304" i="1"/>
  <c r="C304" i="1"/>
  <c r="B304" i="1"/>
  <c r="A304" i="1"/>
  <c r="S303" i="1"/>
  <c r="O303" i="1"/>
  <c r="K303" i="1"/>
  <c r="J303" i="1"/>
  <c r="I303" i="1"/>
  <c r="H303" i="1"/>
  <c r="G303" i="1"/>
  <c r="F303" i="1"/>
  <c r="E303" i="1"/>
  <c r="D303" i="1"/>
  <c r="C303" i="1"/>
  <c r="B303" i="1"/>
  <c r="A303" i="1"/>
  <c r="R302" i="1"/>
  <c r="J302" i="1"/>
  <c r="I302" i="1"/>
  <c r="G302" i="1"/>
  <c r="F302" i="1"/>
  <c r="E302" i="1"/>
  <c r="D302" i="1"/>
  <c r="C302" i="1"/>
  <c r="B302" i="1"/>
  <c r="A302" i="1"/>
  <c r="S301" i="1"/>
  <c r="O301" i="1"/>
  <c r="K301" i="1"/>
  <c r="J301" i="1"/>
  <c r="I301" i="1"/>
  <c r="H301" i="1"/>
  <c r="G301" i="1"/>
  <c r="F301" i="1"/>
  <c r="E301" i="1"/>
  <c r="D301" i="1"/>
  <c r="C301" i="1"/>
  <c r="B301" i="1"/>
  <c r="A301" i="1"/>
  <c r="R300" i="1"/>
  <c r="J300" i="1"/>
  <c r="I300" i="1"/>
  <c r="G300" i="1"/>
  <c r="F300" i="1"/>
  <c r="E300" i="1"/>
  <c r="D300" i="1"/>
  <c r="C300" i="1"/>
  <c r="B300" i="1"/>
  <c r="A300" i="1"/>
  <c r="S299" i="1"/>
  <c r="O299" i="1"/>
  <c r="K299" i="1"/>
  <c r="J299" i="1"/>
  <c r="I299" i="1"/>
  <c r="H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D298" i="1"/>
  <c r="C298" i="1"/>
  <c r="B298" i="1"/>
  <c r="A298" i="1"/>
  <c r="S297" i="1"/>
  <c r="O297" i="1"/>
  <c r="K297" i="1"/>
  <c r="J297" i="1"/>
  <c r="I297" i="1"/>
  <c r="H297" i="1"/>
  <c r="G297" i="1"/>
  <c r="F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S295" i="1"/>
  <c r="O295" i="1"/>
  <c r="K295" i="1"/>
  <c r="J295" i="1"/>
  <c r="I295" i="1"/>
  <c r="H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R292" i="1"/>
  <c r="J292" i="1"/>
  <c r="I292" i="1"/>
  <c r="G292" i="1"/>
  <c r="F292" i="1"/>
  <c r="E292" i="1"/>
  <c r="D292" i="1"/>
  <c r="C292" i="1"/>
  <c r="B292" i="1"/>
  <c r="A292" i="1"/>
  <c r="R291" i="1"/>
  <c r="J291" i="1"/>
  <c r="I291" i="1"/>
  <c r="G291" i="1"/>
  <c r="F291" i="1"/>
  <c r="E291" i="1"/>
  <c r="D291" i="1"/>
  <c r="C291" i="1"/>
  <c r="B291" i="1"/>
  <c r="A291" i="1"/>
  <c r="R290" i="1"/>
  <c r="J290" i="1"/>
  <c r="I290" i="1"/>
  <c r="G290" i="1"/>
  <c r="F290" i="1"/>
  <c r="E290" i="1"/>
  <c r="D290" i="1"/>
  <c r="C290" i="1"/>
  <c r="B290" i="1"/>
  <c r="A290" i="1"/>
  <c r="R289" i="1"/>
  <c r="J289" i="1"/>
  <c r="I289" i="1"/>
  <c r="G289" i="1"/>
  <c r="F289" i="1"/>
  <c r="E289" i="1"/>
  <c r="D289" i="1"/>
  <c r="C289" i="1"/>
  <c r="B289" i="1"/>
  <c r="A289" i="1"/>
  <c r="S288" i="1"/>
  <c r="O288" i="1"/>
  <c r="K288" i="1"/>
  <c r="J288" i="1"/>
  <c r="I288" i="1"/>
  <c r="H288" i="1"/>
  <c r="G288" i="1"/>
  <c r="F288" i="1"/>
  <c r="E288" i="1"/>
  <c r="D288" i="1"/>
  <c r="C288" i="1"/>
  <c r="B288" i="1"/>
  <c r="A288" i="1"/>
  <c r="R287" i="1"/>
  <c r="J287" i="1"/>
  <c r="I287" i="1"/>
  <c r="G287" i="1"/>
  <c r="F287" i="1"/>
  <c r="E287" i="1"/>
  <c r="D287" i="1"/>
  <c r="C287" i="1"/>
  <c r="B287" i="1"/>
  <c r="A287" i="1"/>
  <c r="S286" i="1"/>
  <c r="O286" i="1"/>
  <c r="K286" i="1"/>
  <c r="J286" i="1"/>
  <c r="I286" i="1"/>
  <c r="H286" i="1"/>
  <c r="G286" i="1"/>
  <c r="F286" i="1"/>
  <c r="E286" i="1"/>
  <c r="D286" i="1"/>
  <c r="C286" i="1"/>
  <c r="B286" i="1"/>
  <c r="A286" i="1"/>
  <c r="R285" i="1"/>
  <c r="J285" i="1"/>
  <c r="I285" i="1"/>
  <c r="G285" i="1"/>
  <c r="F285" i="1"/>
  <c r="E285" i="1"/>
  <c r="D285" i="1"/>
  <c r="C285" i="1"/>
  <c r="B285" i="1"/>
  <c r="A285" i="1"/>
  <c r="S284" i="1"/>
  <c r="O284" i="1"/>
  <c r="K284" i="1"/>
  <c r="J284" i="1"/>
  <c r="I284" i="1"/>
  <c r="H284" i="1"/>
  <c r="G284" i="1"/>
  <c r="F284" i="1"/>
  <c r="E284" i="1"/>
  <c r="D284" i="1"/>
  <c r="C284" i="1"/>
  <c r="B284" i="1"/>
  <c r="A284" i="1"/>
  <c r="R283" i="1"/>
  <c r="J283" i="1"/>
  <c r="I283" i="1"/>
  <c r="G283" i="1"/>
  <c r="F283" i="1"/>
  <c r="E283" i="1"/>
  <c r="D283" i="1"/>
  <c r="C283" i="1"/>
  <c r="B283" i="1"/>
  <c r="A283" i="1"/>
  <c r="S282" i="1"/>
  <c r="O282" i="1"/>
  <c r="K282" i="1"/>
  <c r="J282" i="1"/>
  <c r="I282" i="1"/>
  <c r="H282" i="1"/>
  <c r="G282" i="1"/>
  <c r="F282" i="1"/>
  <c r="E282" i="1"/>
  <c r="D282" i="1"/>
  <c r="C282" i="1"/>
  <c r="B282" i="1"/>
  <c r="A282" i="1"/>
  <c r="R281" i="1"/>
  <c r="J281" i="1"/>
  <c r="I281" i="1"/>
  <c r="G281" i="1"/>
  <c r="F281" i="1"/>
  <c r="E281" i="1"/>
  <c r="D281" i="1"/>
  <c r="C281" i="1"/>
  <c r="B281" i="1"/>
  <c r="A281" i="1"/>
  <c r="S280" i="1"/>
  <c r="O280" i="1"/>
  <c r="K280" i="1"/>
  <c r="J280" i="1"/>
  <c r="I280" i="1"/>
  <c r="H280" i="1"/>
  <c r="G280" i="1"/>
  <c r="F280" i="1"/>
  <c r="E280" i="1"/>
  <c r="D280" i="1"/>
  <c r="C280" i="1"/>
  <c r="B280" i="1"/>
  <c r="A280" i="1"/>
  <c r="R279" i="1"/>
  <c r="J279" i="1"/>
  <c r="I279" i="1"/>
  <c r="G279" i="1"/>
  <c r="F279" i="1"/>
  <c r="E279" i="1"/>
  <c r="D279" i="1"/>
  <c r="C279" i="1"/>
  <c r="B279" i="1"/>
  <c r="A279" i="1"/>
  <c r="S278" i="1"/>
  <c r="O278" i="1"/>
  <c r="K278" i="1"/>
  <c r="J278" i="1"/>
  <c r="I278" i="1"/>
  <c r="H278" i="1"/>
  <c r="G278" i="1"/>
  <c r="F278" i="1"/>
  <c r="E278" i="1"/>
  <c r="D278" i="1"/>
  <c r="C278" i="1"/>
  <c r="B278" i="1"/>
  <c r="A278" i="1"/>
  <c r="R277" i="1"/>
  <c r="J277" i="1"/>
  <c r="I277" i="1"/>
  <c r="G277" i="1"/>
  <c r="F277" i="1"/>
  <c r="E277" i="1"/>
  <c r="D277" i="1"/>
  <c r="C277" i="1"/>
  <c r="B277" i="1"/>
  <c r="A277" i="1"/>
  <c r="S276" i="1"/>
  <c r="O276" i="1"/>
  <c r="K276" i="1"/>
  <c r="J276" i="1"/>
  <c r="I276" i="1"/>
  <c r="H276" i="1"/>
  <c r="G276" i="1"/>
  <c r="F276" i="1"/>
  <c r="E276" i="1"/>
  <c r="D276" i="1"/>
  <c r="C276" i="1"/>
  <c r="B276" i="1"/>
  <c r="A276" i="1"/>
  <c r="R275" i="1"/>
  <c r="J275" i="1"/>
  <c r="I275" i="1"/>
  <c r="G275" i="1"/>
  <c r="F275" i="1"/>
  <c r="E275" i="1"/>
  <c r="D275" i="1"/>
  <c r="C275" i="1"/>
  <c r="B275" i="1"/>
  <c r="A275" i="1"/>
  <c r="S274" i="1"/>
  <c r="O274" i="1"/>
  <c r="K274" i="1"/>
  <c r="J274" i="1"/>
  <c r="I274" i="1"/>
  <c r="H274" i="1"/>
  <c r="G274" i="1"/>
  <c r="F274" i="1"/>
  <c r="E274" i="1"/>
  <c r="D274" i="1"/>
  <c r="C274" i="1"/>
  <c r="B274" i="1"/>
  <c r="A274" i="1"/>
  <c r="R273" i="1"/>
  <c r="J273" i="1"/>
  <c r="I273" i="1"/>
  <c r="G273" i="1"/>
  <c r="F273" i="1"/>
  <c r="E273" i="1"/>
  <c r="D273" i="1"/>
  <c r="C273" i="1"/>
  <c r="B273" i="1"/>
  <c r="A273" i="1"/>
  <c r="S272" i="1"/>
  <c r="O272" i="1"/>
  <c r="K272" i="1"/>
  <c r="J272" i="1"/>
  <c r="I272" i="1"/>
  <c r="H272" i="1"/>
  <c r="G272" i="1"/>
  <c r="F272" i="1"/>
  <c r="E272" i="1"/>
  <c r="D272" i="1"/>
  <c r="C272" i="1"/>
  <c r="B272" i="1"/>
  <c r="A272" i="1"/>
  <c r="R271" i="1"/>
  <c r="J271" i="1"/>
  <c r="I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R266" i="1"/>
  <c r="J266" i="1"/>
  <c r="I266" i="1"/>
  <c r="G266" i="1"/>
  <c r="F266" i="1"/>
  <c r="E266" i="1"/>
  <c r="D266" i="1"/>
  <c r="C266" i="1"/>
  <c r="B266" i="1"/>
  <c r="A266" i="1"/>
  <c r="R265" i="1"/>
  <c r="J265" i="1"/>
  <c r="I265" i="1"/>
  <c r="G265" i="1"/>
  <c r="F265" i="1"/>
  <c r="E265" i="1"/>
  <c r="D265" i="1"/>
  <c r="C265" i="1"/>
  <c r="B265" i="1"/>
  <c r="A265" i="1"/>
  <c r="S264" i="1"/>
  <c r="O264" i="1"/>
  <c r="K264" i="1"/>
  <c r="J264" i="1"/>
  <c r="I264" i="1"/>
  <c r="H264" i="1"/>
  <c r="G264" i="1"/>
  <c r="F264" i="1"/>
  <c r="E264" i="1"/>
  <c r="D264" i="1"/>
  <c r="C264" i="1"/>
  <c r="B264" i="1"/>
  <c r="A264" i="1"/>
  <c r="R263" i="1"/>
  <c r="J263" i="1"/>
  <c r="I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R260" i="1"/>
  <c r="J260" i="1"/>
  <c r="I260" i="1"/>
  <c r="G260" i="1"/>
  <c r="F260" i="1"/>
  <c r="E260" i="1"/>
  <c r="D260" i="1"/>
  <c r="C260" i="1"/>
  <c r="B260" i="1"/>
  <c r="A260" i="1"/>
  <c r="S259" i="1"/>
  <c r="O259" i="1"/>
  <c r="K259" i="1"/>
  <c r="J259" i="1"/>
  <c r="I259" i="1"/>
  <c r="H259" i="1"/>
  <c r="G259" i="1"/>
  <c r="F259" i="1"/>
  <c r="E259" i="1"/>
  <c r="D259" i="1"/>
  <c r="C259" i="1"/>
  <c r="B259" i="1"/>
  <c r="A259" i="1"/>
  <c r="R258" i="1"/>
  <c r="J258" i="1"/>
  <c r="I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S256" i="1"/>
  <c r="O256" i="1"/>
  <c r="K256" i="1"/>
  <c r="J256" i="1"/>
  <c r="I256" i="1"/>
  <c r="H256" i="1"/>
  <c r="G256" i="1"/>
  <c r="F256" i="1"/>
  <c r="E256" i="1"/>
  <c r="D256" i="1"/>
  <c r="C256" i="1"/>
  <c r="B256" i="1"/>
  <c r="A256" i="1"/>
  <c r="R255" i="1"/>
  <c r="J255" i="1"/>
  <c r="I255" i="1"/>
  <c r="G255" i="1"/>
  <c r="F255" i="1"/>
  <c r="E255" i="1"/>
  <c r="D255" i="1"/>
  <c r="C255" i="1"/>
  <c r="B255" i="1"/>
  <c r="A255" i="1"/>
  <c r="S254" i="1"/>
  <c r="O254" i="1"/>
  <c r="K254" i="1"/>
  <c r="J254" i="1"/>
  <c r="I254" i="1"/>
  <c r="H254" i="1"/>
  <c r="G254" i="1"/>
  <c r="F254" i="1"/>
  <c r="E254" i="1"/>
  <c r="D254" i="1"/>
  <c r="C254" i="1"/>
  <c r="B254" i="1"/>
  <c r="A254" i="1"/>
  <c r="R253" i="1"/>
  <c r="J253" i="1"/>
  <c r="I253" i="1"/>
  <c r="G253" i="1"/>
  <c r="F253" i="1"/>
  <c r="E253" i="1"/>
  <c r="D253" i="1"/>
  <c r="C253" i="1"/>
  <c r="B253" i="1"/>
  <c r="A253" i="1"/>
  <c r="S252" i="1"/>
  <c r="O252" i="1"/>
  <c r="K252" i="1"/>
  <c r="J252" i="1"/>
  <c r="I252" i="1"/>
  <c r="H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S250" i="1"/>
  <c r="O250" i="1"/>
  <c r="K250" i="1"/>
  <c r="J250" i="1"/>
  <c r="I250" i="1"/>
  <c r="H250" i="1"/>
  <c r="G250" i="1"/>
  <c r="F250" i="1"/>
  <c r="E250" i="1"/>
  <c r="D250" i="1"/>
  <c r="C250" i="1"/>
  <c r="B250" i="1"/>
  <c r="A250" i="1"/>
  <c r="R249" i="1"/>
  <c r="J249" i="1"/>
  <c r="I249" i="1"/>
  <c r="G249" i="1"/>
  <c r="F249" i="1"/>
  <c r="E249" i="1"/>
  <c r="D249" i="1"/>
  <c r="C249" i="1"/>
  <c r="B249" i="1"/>
  <c r="A249" i="1"/>
  <c r="R248" i="1"/>
  <c r="J248" i="1"/>
  <c r="I248" i="1"/>
  <c r="G248" i="1"/>
  <c r="F248" i="1"/>
  <c r="E248" i="1"/>
  <c r="D248" i="1"/>
  <c r="C248" i="1"/>
  <c r="B248" i="1"/>
  <c r="A248" i="1"/>
  <c r="R247" i="1"/>
  <c r="J247" i="1"/>
  <c r="I247" i="1"/>
  <c r="G247" i="1"/>
  <c r="F247" i="1"/>
  <c r="E247" i="1"/>
  <c r="D247" i="1"/>
  <c r="C247" i="1"/>
  <c r="B247" i="1"/>
  <c r="A247" i="1"/>
  <c r="R246" i="1"/>
  <c r="J246" i="1"/>
  <c r="I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R244" i="1"/>
  <c r="J244" i="1"/>
  <c r="I244" i="1"/>
  <c r="G244" i="1"/>
  <c r="F244" i="1"/>
  <c r="E244" i="1"/>
  <c r="D244" i="1"/>
  <c r="C244" i="1"/>
  <c r="B244" i="1"/>
  <c r="A244" i="1"/>
  <c r="R243" i="1"/>
  <c r="J243" i="1"/>
  <c r="I243" i="1"/>
  <c r="G243" i="1"/>
  <c r="F243" i="1"/>
  <c r="E243" i="1"/>
  <c r="D243" i="1"/>
  <c r="C243" i="1"/>
  <c r="B243" i="1"/>
  <c r="A243" i="1"/>
  <c r="R242" i="1"/>
  <c r="J242" i="1"/>
  <c r="I242" i="1"/>
  <c r="G242" i="1"/>
  <c r="F242" i="1"/>
  <c r="E242" i="1"/>
  <c r="D242" i="1"/>
  <c r="C242" i="1"/>
  <c r="B242" i="1"/>
  <c r="A242" i="1"/>
  <c r="R241" i="1"/>
  <c r="J241" i="1"/>
  <c r="I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S239" i="1"/>
  <c r="O239" i="1"/>
  <c r="K239" i="1"/>
  <c r="J239" i="1"/>
  <c r="I239" i="1"/>
  <c r="H239" i="1"/>
  <c r="G239" i="1"/>
  <c r="F239" i="1"/>
  <c r="E239" i="1"/>
  <c r="D239" i="1"/>
  <c r="C239" i="1"/>
  <c r="B239" i="1"/>
  <c r="A239" i="1"/>
  <c r="R238" i="1"/>
  <c r="J238" i="1"/>
  <c r="I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R236" i="1"/>
  <c r="J236" i="1"/>
  <c r="I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R234" i="1"/>
  <c r="J234" i="1"/>
  <c r="I234" i="1"/>
  <c r="G234" i="1"/>
  <c r="F234" i="1"/>
  <c r="E234" i="1"/>
  <c r="D234" i="1"/>
  <c r="C234" i="1"/>
  <c r="B234" i="1"/>
  <c r="A234" i="1"/>
  <c r="R233" i="1"/>
  <c r="J233" i="1"/>
  <c r="I233" i="1"/>
  <c r="G233" i="1"/>
  <c r="F233" i="1"/>
  <c r="E233" i="1"/>
  <c r="D233" i="1"/>
  <c r="C233" i="1"/>
  <c r="B233" i="1"/>
  <c r="A233" i="1"/>
  <c r="R232" i="1"/>
  <c r="J232" i="1"/>
  <c r="I232" i="1"/>
  <c r="G232" i="1"/>
  <c r="F232" i="1"/>
  <c r="E232" i="1"/>
  <c r="D232" i="1"/>
  <c r="C232" i="1"/>
  <c r="B232" i="1"/>
  <c r="A232" i="1"/>
  <c r="R231" i="1"/>
  <c r="J231" i="1"/>
  <c r="I231" i="1"/>
  <c r="G231" i="1"/>
  <c r="F231" i="1"/>
  <c r="E231" i="1"/>
  <c r="D231" i="1"/>
  <c r="C231" i="1"/>
  <c r="B231" i="1"/>
  <c r="A231" i="1"/>
  <c r="R230" i="1"/>
  <c r="J230" i="1"/>
  <c r="I230" i="1"/>
  <c r="G230" i="1"/>
  <c r="F230" i="1"/>
  <c r="E230" i="1"/>
  <c r="D230" i="1"/>
  <c r="C230" i="1"/>
  <c r="B230" i="1"/>
  <c r="A230" i="1"/>
  <c r="R229" i="1"/>
  <c r="J229" i="1"/>
  <c r="I229" i="1"/>
  <c r="G229" i="1"/>
  <c r="F229" i="1"/>
  <c r="E229" i="1"/>
  <c r="D229" i="1"/>
  <c r="C229" i="1"/>
  <c r="B229" i="1"/>
  <c r="A229" i="1"/>
  <c r="R228" i="1"/>
  <c r="J228" i="1"/>
  <c r="I228" i="1"/>
  <c r="G228" i="1"/>
  <c r="F228" i="1"/>
  <c r="E228" i="1"/>
  <c r="D228" i="1"/>
  <c r="C228" i="1"/>
  <c r="B228" i="1"/>
  <c r="A228" i="1"/>
  <c r="R227" i="1"/>
  <c r="J227" i="1"/>
  <c r="I227" i="1"/>
  <c r="G227" i="1"/>
  <c r="F227" i="1"/>
  <c r="E227" i="1"/>
  <c r="D227" i="1"/>
  <c r="C227" i="1"/>
  <c r="B227" i="1"/>
  <c r="A227" i="1"/>
  <c r="R226" i="1"/>
  <c r="J226" i="1"/>
  <c r="I226" i="1"/>
  <c r="G226" i="1"/>
  <c r="F226" i="1"/>
  <c r="E226" i="1"/>
  <c r="D226" i="1"/>
  <c r="C226" i="1"/>
  <c r="B226" i="1"/>
  <c r="A226" i="1"/>
  <c r="R225" i="1"/>
  <c r="J225" i="1"/>
  <c r="I225" i="1"/>
  <c r="G225" i="1"/>
  <c r="F225" i="1"/>
  <c r="E225" i="1"/>
  <c r="D225" i="1"/>
  <c r="C225" i="1"/>
  <c r="B225" i="1"/>
  <c r="A225" i="1"/>
  <c r="R224" i="1"/>
  <c r="J224" i="1"/>
  <c r="I224" i="1"/>
  <c r="G224" i="1"/>
  <c r="F224" i="1"/>
  <c r="E224" i="1"/>
  <c r="D224" i="1"/>
  <c r="C224" i="1"/>
  <c r="B224" i="1"/>
  <c r="A224" i="1"/>
  <c r="R223" i="1"/>
  <c r="J223" i="1"/>
  <c r="I223" i="1"/>
  <c r="G223" i="1"/>
  <c r="F223" i="1"/>
  <c r="E223" i="1"/>
  <c r="D223" i="1"/>
  <c r="C223" i="1"/>
  <c r="B223" i="1"/>
  <c r="A223" i="1"/>
  <c r="S222" i="1"/>
  <c r="O222" i="1"/>
  <c r="K222" i="1"/>
  <c r="J222" i="1"/>
  <c r="I222" i="1"/>
  <c r="H222" i="1"/>
  <c r="G222" i="1"/>
  <c r="F222" i="1"/>
  <c r="E222" i="1"/>
  <c r="D222" i="1"/>
  <c r="C222" i="1"/>
  <c r="B222" i="1"/>
  <c r="A222" i="1"/>
  <c r="R221" i="1"/>
  <c r="J221" i="1"/>
  <c r="I221" i="1"/>
  <c r="G221" i="1"/>
  <c r="F221" i="1"/>
  <c r="E221" i="1"/>
  <c r="D221" i="1"/>
  <c r="C221" i="1"/>
  <c r="B221" i="1"/>
  <c r="A221" i="1"/>
  <c r="R220" i="1"/>
  <c r="J220" i="1"/>
  <c r="I220" i="1"/>
  <c r="G220" i="1"/>
  <c r="F220" i="1"/>
  <c r="E220" i="1"/>
  <c r="D220" i="1"/>
  <c r="C220" i="1"/>
  <c r="B220" i="1"/>
  <c r="A220" i="1"/>
  <c r="R219" i="1"/>
  <c r="J219" i="1"/>
  <c r="I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R217" i="1"/>
  <c r="J217" i="1"/>
  <c r="I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R215" i="1"/>
  <c r="J215" i="1"/>
  <c r="I215" i="1"/>
  <c r="G215" i="1"/>
  <c r="F215" i="1"/>
  <c r="E215" i="1"/>
  <c r="D215" i="1"/>
  <c r="C215" i="1"/>
  <c r="B215" i="1"/>
  <c r="A215" i="1"/>
  <c r="R214" i="1"/>
  <c r="J214" i="1"/>
  <c r="I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R212" i="1"/>
  <c r="J212" i="1"/>
  <c r="I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R210" i="1"/>
  <c r="J210" i="1"/>
  <c r="I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R208" i="1"/>
  <c r="J208" i="1"/>
  <c r="I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R206" i="1"/>
  <c r="J206" i="1"/>
  <c r="I206" i="1"/>
  <c r="G206" i="1"/>
  <c r="F206" i="1"/>
  <c r="E206" i="1"/>
  <c r="D206" i="1"/>
  <c r="C206" i="1"/>
  <c r="B206" i="1"/>
  <c r="A206" i="1"/>
  <c r="R205" i="1"/>
  <c r="J205" i="1"/>
  <c r="I205" i="1"/>
  <c r="G205" i="1"/>
  <c r="F205" i="1"/>
  <c r="E205" i="1"/>
  <c r="D205" i="1"/>
  <c r="C205" i="1"/>
  <c r="B205" i="1"/>
  <c r="A205" i="1"/>
  <c r="R204" i="1"/>
  <c r="J204" i="1"/>
  <c r="I204" i="1"/>
  <c r="G204" i="1"/>
  <c r="F204" i="1"/>
  <c r="E204" i="1"/>
  <c r="D204" i="1"/>
  <c r="C204" i="1"/>
  <c r="B204" i="1"/>
  <c r="A204" i="1"/>
  <c r="R203" i="1"/>
  <c r="J203" i="1"/>
  <c r="I203" i="1"/>
  <c r="G203" i="1"/>
  <c r="F203" i="1"/>
  <c r="E203" i="1"/>
  <c r="D203" i="1"/>
  <c r="C203" i="1"/>
  <c r="B203" i="1"/>
  <c r="A203" i="1"/>
  <c r="R202" i="1"/>
  <c r="J202" i="1"/>
  <c r="I202" i="1"/>
  <c r="G202" i="1"/>
  <c r="F202" i="1"/>
  <c r="E202" i="1"/>
  <c r="D202" i="1"/>
  <c r="C202" i="1"/>
  <c r="B202" i="1"/>
  <c r="A202" i="1"/>
  <c r="R201" i="1"/>
  <c r="J201" i="1"/>
  <c r="I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R199" i="1"/>
  <c r="J199" i="1"/>
  <c r="I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R197" i="1"/>
  <c r="J197" i="1"/>
  <c r="I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R195" i="1"/>
  <c r="J195" i="1"/>
  <c r="I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R193" i="1"/>
  <c r="J193" i="1"/>
  <c r="I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R191" i="1"/>
  <c r="J191" i="1"/>
  <c r="I191" i="1"/>
  <c r="G191" i="1"/>
  <c r="F191" i="1"/>
  <c r="E191" i="1"/>
  <c r="D191" i="1"/>
  <c r="C191" i="1"/>
  <c r="B191" i="1"/>
  <c r="A191" i="1"/>
  <c r="R190" i="1"/>
  <c r="J190" i="1"/>
  <c r="I190" i="1"/>
  <c r="G190" i="1"/>
  <c r="F190" i="1"/>
  <c r="E190" i="1"/>
  <c r="D190" i="1"/>
  <c r="C190" i="1"/>
  <c r="B190" i="1"/>
  <c r="A190" i="1"/>
  <c r="R189" i="1"/>
  <c r="J189" i="1"/>
  <c r="I189" i="1"/>
  <c r="G189" i="1"/>
  <c r="F189" i="1"/>
  <c r="E189" i="1"/>
  <c r="D189" i="1"/>
  <c r="C189" i="1"/>
  <c r="B189" i="1"/>
  <c r="A189" i="1"/>
  <c r="R188" i="1"/>
  <c r="J188" i="1"/>
  <c r="I188" i="1"/>
  <c r="G188" i="1"/>
  <c r="F188" i="1"/>
  <c r="E188" i="1"/>
  <c r="D188" i="1"/>
  <c r="C188" i="1"/>
  <c r="B188" i="1"/>
  <c r="A188" i="1"/>
  <c r="R187" i="1"/>
  <c r="J187" i="1"/>
  <c r="I187" i="1"/>
  <c r="G187" i="1"/>
  <c r="F187" i="1"/>
  <c r="E187" i="1"/>
  <c r="D187" i="1"/>
  <c r="C187" i="1"/>
  <c r="B187" i="1"/>
  <c r="A187" i="1"/>
  <c r="R186" i="1"/>
  <c r="J186" i="1"/>
  <c r="I186" i="1"/>
  <c r="G186" i="1"/>
  <c r="F186" i="1"/>
  <c r="E186" i="1"/>
  <c r="D186" i="1"/>
  <c r="C186" i="1"/>
  <c r="B186" i="1"/>
  <c r="A186" i="1"/>
  <c r="R185" i="1"/>
  <c r="J185" i="1"/>
  <c r="I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R183" i="1"/>
  <c r="J183" i="1"/>
  <c r="I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R179" i="1"/>
  <c r="J179" i="1"/>
  <c r="I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R177" i="1"/>
  <c r="J177" i="1"/>
  <c r="I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R175" i="1"/>
  <c r="J175" i="1"/>
  <c r="I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S173" i="1"/>
  <c r="O173" i="1"/>
  <c r="K173" i="1"/>
  <c r="J173" i="1"/>
  <c r="I173" i="1"/>
  <c r="H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R171" i="1"/>
  <c r="J171" i="1"/>
  <c r="I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S169" i="1"/>
  <c r="O169" i="1"/>
  <c r="K169" i="1"/>
  <c r="J169" i="1"/>
  <c r="I169" i="1"/>
  <c r="H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S167" i="1"/>
  <c r="O167" i="1"/>
  <c r="K167" i="1"/>
  <c r="J167" i="1"/>
  <c r="I167" i="1"/>
  <c r="H167" i="1"/>
  <c r="G167" i="1"/>
  <c r="F167" i="1"/>
  <c r="E167" i="1"/>
  <c r="D167" i="1"/>
  <c r="C167" i="1"/>
  <c r="B167" i="1"/>
  <c r="A167" i="1"/>
  <c r="S166" i="1"/>
  <c r="O166" i="1"/>
  <c r="K166" i="1"/>
  <c r="J166" i="1"/>
  <c r="I166" i="1"/>
  <c r="H166" i="1"/>
  <c r="G166" i="1"/>
  <c r="F166" i="1"/>
  <c r="D166" i="1"/>
  <c r="C166" i="1"/>
  <c r="B166" i="1"/>
  <c r="A166" i="1"/>
  <c r="S165" i="1"/>
  <c r="O165" i="1"/>
  <c r="K165" i="1"/>
  <c r="J165" i="1"/>
  <c r="I165" i="1"/>
  <c r="H165" i="1"/>
  <c r="G165" i="1"/>
  <c r="F165" i="1"/>
  <c r="D165" i="1"/>
  <c r="C165" i="1"/>
  <c r="B165" i="1"/>
  <c r="A165" i="1"/>
  <c r="R164" i="1"/>
  <c r="J164" i="1"/>
  <c r="I164" i="1"/>
  <c r="G164" i="1"/>
  <c r="F164" i="1"/>
  <c r="E164" i="1"/>
  <c r="D164" i="1"/>
  <c r="C164" i="1"/>
  <c r="B164" i="1"/>
  <c r="A164" i="1"/>
  <c r="R163" i="1"/>
  <c r="J163" i="1"/>
  <c r="I163" i="1"/>
  <c r="G163" i="1"/>
  <c r="F163" i="1"/>
  <c r="E163" i="1"/>
  <c r="D163" i="1"/>
  <c r="C163" i="1"/>
  <c r="B163" i="1"/>
  <c r="A163" i="1"/>
  <c r="S162" i="1"/>
  <c r="O162" i="1"/>
  <c r="K162" i="1"/>
  <c r="J162" i="1"/>
  <c r="I162" i="1"/>
  <c r="H162" i="1"/>
  <c r="G162" i="1"/>
  <c r="F162" i="1"/>
  <c r="E162" i="1"/>
  <c r="D162" i="1"/>
  <c r="C162" i="1"/>
  <c r="B162" i="1"/>
  <c r="A162" i="1"/>
  <c r="S161" i="1"/>
  <c r="O161" i="1"/>
  <c r="K161" i="1"/>
  <c r="J161" i="1"/>
  <c r="I161" i="1"/>
  <c r="H161" i="1"/>
  <c r="G161" i="1"/>
  <c r="F161" i="1"/>
  <c r="D161" i="1"/>
  <c r="C161" i="1"/>
  <c r="B161" i="1"/>
  <c r="A161" i="1"/>
  <c r="R160" i="1"/>
  <c r="J160" i="1"/>
  <c r="I160" i="1"/>
  <c r="G160" i="1"/>
  <c r="F160" i="1"/>
  <c r="E160" i="1"/>
  <c r="D160" i="1"/>
  <c r="C160" i="1"/>
  <c r="B160" i="1"/>
  <c r="A160" i="1"/>
  <c r="S159" i="1"/>
  <c r="O159" i="1"/>
  <c r="K159" i="1"/>
  <c r="J159" i="1"/>
  <c r="I159" i="1"/>
  <c r="H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S157" i="1"/>
  <c r="O157" i="1"/>
  <c r="K157" i="1"/>
  <c r="J157" i="1"/>
  <c r="I157" i="1"/>
  <c r="H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S155" i="1"/>
  <c r="O155" i="1"/>
  <c r="K155" i="1"/>
  <c r="J155" i="1"/>
  <c r="I155" i="1"/>
  <c r="H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R152" i="1"/>
  <c r="J152" i="1"/>
  <c r="I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S150" i="1"/>
  <c r="O150" i="1"/>
  <c r="K150" i="1"/>
  <c r="J150" i="1"/>
  <c r="I150" i="1"/>
  <c r="H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S148" i="1"/>
  <c r="O148" i="1"/>
  <c r="K148" i="1"/>
  <c r="J148" i="1"/>
  <c r="I148" i="1"/>
  <c r="H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R145" i="1"/>
  <c r="J145" i="1"/>
  <c r="I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R143" i="1"/>
  <c r="J143" i="1"/>
  <c r="I143" i="1"/>
  <c r="G143" i="1"/>
  <c r="F143" i="1"/>
  <c r="E143" i="1"/>
  <c r="D143" i="1"/>
  <c r="C143" i="1"/>
  <c r="B143" i="1"/>
  <c r="A143" i="1"/>
  <c r="S142" i="1"/>
  <c r="O142" i="1"/>
  <c r="K142" i="1"/>
  <c r="J142" i="1"/>
  <c r="I142" i="1"/>
  <c r="H142" i="1"/>
  <c r="G142" i="1"/>
  <c r="F142" i="1"/>
  <c r="E142" i="1"/>
  <c r="D142" i="1"/>
  <c r="C142" i="1"/>
  <c r="B142" i="1"/>
  <c r="A142" i="1"/>
  <c r="R141" i="1"/>
  <c r="J141" i="1"/>
  <c r="I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R139" i="1"/>
  <c r="J139" i="1"/>
  <c r="I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R137" i="1"/>
  <c r="J137" i="1"/>
  <c r="I137" i="1"/>
  <c r="G137" i="1"/>
  <c r="F137" i="1"/>
  <c r="E137" i="1"/>
  <c r="D137" i="1"/>
  <c r="C137" i="1"/>
  <c r="B137" i="1"/>
  <c r="A137" i="1"/>
  <c r="S136" i="1"/>
  <c r="O136" i="1"/>
  <c r="K136" i="1"/>
  <c r="J136" i="1"/>
  <c r="I136" i="1"/>
  <c r="H136" i="1"/>
  <c r="G136" i="1"/>
  <c r="F136" i="1"/>
  <c r="E136" i="1"/>
  <c r="D136" i="1"/>
  <c r="C136" i="1"/>
  <c r="B136" i="1"/>
  <c r="A136" i="1"/>
  <c r="R135" i="1"/>
  <c r="J135" i="1"/>
  <c r="I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R133" i="1"/>
  <c r="J133" i="1"/>
  <c r="I133" i="1"/>
  <c r="G133" i="1"/>
  <c r="F133" i="1"/>
  <c r="E133" i="1"/>
  <c r="D133" i="1"/>
  <c r="C133" i="1"/>
  <c r="B133" i="1"/>
  <c r="A133" i="1"/>
  <c r="S132" i="1"/>
  <c r="O132" i="1"/>
  <c r="K132" i="1"/>
  <c r="J132" i="1"/>
  <c r="I132" i="1"/>
  <c r="H132" i="1"/>
  <c r="G132" i="1"/>
  <c r="F132" i="1"/>
  <c r="E132" i="1"/>
  <c r="D132" i="1"/>
  <c r="C132" i="1"/>
  <c r="B132" i="1"/>
  <c r="A132" i="1"/>
  <c r="R131" i="1"/>
  <c r="J131" i="1"/>
  <c r="I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R129" i="1"/>
  <c r="J129" i="1"/>
  <c r="I129" i="1"/>
  <c r="G129" i="1"/>
  <c r="F129" i="1"/>
  <c r="E129" i="1"/>
  <c r="D129" i="1"/>
  <c r="C129" i="1"/>
  <c r="B129" i="1"/>
  <c r="A129" i="1"/>
  <c r="S128" i="1"/>
  <c r="O128" i="1"/>
  <c r="K128" i="1"/>
  <c r="J128" i="1"/>
  <c r="I128" i="1"/>
  <c r="H128" i="1"/>
  <c r="G128" i="1"/>
  <c r="F128" i="1"/>
  <c r="E128" i="1"/>
  <c r="D128" i="1"/>
  <c r="C128" i="1"/>
  <c r="B128" i="1"/>
  <c r="A128" i="1"/>
  <c r="R127" i="1"/>
  <c r="J127" i="1"/>
  <c r="I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R125" i="1"/>
  <c r="J125" i="1"/>
  <c r="I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R123" i="1"/>
  <c r="J123" i="1"/>
  <c r="I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S121" i="1"/>
  <c r="O121" i="1"/>
  <c r="K121" i="1"/>
  <c r="J121" i="1"/>
  <c r="I121" i="1"/>
  <c r="H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R118" i="1"/>
  <c r="J118" i="1"/>
  <c r="I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R116" i="1"/>
  <c r="J116" i="1"/>
  <c r="I116" i="1"/>
  <c r="G116" i="1"/>
  <c r="F116" i="1"/>
  <c r="E116" i="1"/>
  <c r="D116" i="1"/>
  <c r="C116" i="1"/>
  <c r="B116" i="1"/>
  <c r="A116" i="1"/>
  <c r="S115" i="1"/>
  <c r="O115" i="1"/>
  <c r="K115" i="1"/>
  <c r="J115" i="1"/>
  <c r="I115" i="1"/>
  <c r="H115" i="1"/>
  <c r="G115" i="1"/>
  <c r="F115" i="1"/>
  <c r="E115" i="1"/>
  <c r="D115" i="1"/>
  <c r="C115" i="1"/>
  <c r="B115" i="1"/>
  <c r="A115" i="1"/>
  <c r="R114" i="1"/>
  <c r="J114" i="1"/>
  <c r="I114" i="1"/>
  <c r="G114" i="1"/>
  <c r="F114" i="1"/>
  <c r="E114" i="1"/>
  <c r="D114" i="1"/>
  <c r="C114" i="1"/>
  <c r="B114" i="1"/>
  <c r="A114" i="1"/>
  <c r="S113" i="1"/>
  <c r="O113" i="1"/>
  <c r="K113" i="1"/>
  <c r="J113" i="1"/>
  <c r="I113" i="1"/>
  <c r="H113" i="1"/>
  <c r="G113" i="1"/>
  <c r="F113" i="1"/>
  <c r="E113" i="1"/>
  <c r="D113" i="1"/>
  <c r="C113" i="1"/>
  <c r="B113" i="1"/>
  <c r="A113" i="1"/>
  <c r="R112" i="1"/>
  <c r="J112" i="1"/>
  <c r="I112" i="1"/>
  <c r="G112" i="1"/>
  <c r="F112" i="1"/>
  <c r="E112" i="1"/>
  <c r="D112" i="1"/>
  <c r="C112" i="1"/>
  <c r="B112" i="1"/>
  <c r="A112" i="1"/>
  <c r="S111" i="1"/>
  <c r="O111" i="1"/>
  <c r="K111" i="1"/>
  <c r="J111" i="1"/>
  <c r="I111" i="1"/>
  <c r="H111" i="1"/>
  <c r="G111" i="1"/>
  <c r="F111" i="1"/>
  <c r="E111" i="1"/>
  <c r="D111" i="1"/>
  <c r="C111" i="1"/>
  <c r="B111" i="1"/>
  <c r="A111" i="1"/>
  <c r="R110" i="1"/>
  <c r="J110" i="1"/>
  <c r="I110" i="1"/>
  <c r="G110" i="1"/>
  <c r="F110" i="1"/>
  <c r="E110" i="1"/>
  <c r="D110" i="1"/>
  <c r="C110" i="1"/>
  <c r="B110" i="1"/>
  <c r="A110" i="1"/>
  <c r="S109" i="1"/>
  <c r="O109" i="1"/>
  <c r="K109" i="1"/>
  <c r="J109" i="1"/>
  <c r="I109" i="1"/>
  <c r="H109" i="1"/>
  <c r="G109" i="1"/>
  <c r="F109" i="1"/>
  <c r="E109" i="1"/>
  <c r="D109" i="1"/>
  <c r="C109" i="1"/>
  <c r="B109" i="1"/>
  <c r="A109" i="1"/>
  <c r="R108" i="1"/>
  <c r="J108" i="1"/>
  <c r="I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R106" i="1"/>
  <c r="J106" i="1"/>
  <c r="I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S104" i="1"/>
  <c r="O104" i="1"/>
  <c r="K104" i="1"/>
  <c r="J104" i="1"/>
  <c r="I104" i="1"/>
  <c r="H104" i="1"/>
  <c r="G104" i="1"/>
  <c r="F104" i="1"/>
  <c r="E104" i="1"/>
  <c r="D104" i="1"/>
  <c r="C104" i="1"/>
  <c r="B104" i="1"/>
  <c r="A104" i="1"/>
  <c r="R103" i="1"/>
  <c r="J103" i="1"/>
  <c r="I103" i="1"/>
  <c r="G103" i="1"/>
  <c r="F103" i="1"/>
  <c r="E103" i="1"/>
  <c r="D103" i="1"/>
  <c r="C103" i="1"/>
  <c r="B103" i="1"/>
  <c r="A103" i="1"/>
  <c r="S102" i="1"/>
  <c r="O102" i="1"/>
  <c r="K102" i="1"/>
  <c r="J102" i="1"/>
  <c r="I102" i="1"/>
  <c r="H102" i="1"/>
  <c r="G102" i="1"/>
  <c r="F102" i="1"/>
  <c r="E102" i="1"/>
  <c r="D102" i="1"/>
  <c r="C102" i="1"/>
  <c r="B102" i="1"/>
  <c r="A102" i="1"/>
  <c r="R101" i="1"/>
  <c r="J101" i="1"/>
  <c r="I101" i="1"/>
  <c r="G101" i="1"/>
  <c r="F101" i="1"/>
  <c r="E101" i="1"/>
  <c r="D101" i="1"/>
  <c r="C101" i="1"/>
  <c r="B101" i="1"/>
  <c r="A101" i="1"/>
  <c r="S100" i="1"/>
  <c r="O100" i="1"/>
  <c r="K100" i="1"/>
  <c r="J100" i="1"/>
  <c r="I100" i="1"/>
  <c r="H100" i="1"/>
  <c r="G100" i="1"/>
  <c r="F100" i="1"/>
  <c r="E100" i="1"/>
  <c r="D100" i="1"/>
  <c r="C100" i="1"/>
  <c r="B100" i="1"/>
  <c r="A100" i="1"/>
  <c r="R99" i="1"/>
  <c r="J99" i="1"/>
  <c r="I99" i="1"/>
  <c r="G99" i="1"/>
  <c r="F99" i="1"/>
  <c r="E99" i="1"/>
  <c r="D99" i="1"/>
  <c r="C99" i="1"/>
  <c r="B99" i="1"/>
  <c r="A99" i="1"/>
  <c r="R98" i="1"/>
  <c r="J98" i="1"/>
  <c r="I98" i="1"/>
  <c r="G98" i="1"/>
  <c r="F98" i="1"/>
  <c r="E98" i="1"/>
  <c r="D98" i="1"/>
  <c r="C98" i="1"/>
  <c r="B98" i="1"/>
  <c r="A98" i="1"/>
  <c r="S97" i="1"/>
  <c r="O97" i="1"/>
  <c r="K97" i="1"/>
  <c r="J97" i="1"/>
  <c r="I97" i="1"/>
  <c r="H97" i="1"/>
  <c r="G97" i="1"/>
  <c r="F97" i="1"/>
  <c r="E97" i="1"/>
  <c r="D97" i="1"/>
  <c r="C97" i="1"/>
  <c r="B97" i="1"/>
  <c r="A97" i="1"/>
  <c r="R96" i="1"/>
  <c r="J96" i="1"/>
  <c r="I96" i="1"/>
  <c r="G96" i="1"/>
  <c r="F96" i="1"/>
  <c r="E96" i="1"/>
  <c r="D96" i="1"/>
  <c r="C96" i="1"/>
  <c r="B96" i="1"/>
  <c r="A96" i="1"/>
  <c r="R95" i="1"/>
  <c r="J95" i="1"/>
  <c r="I95" i="1"/>
  <c r="G95" i="1"/>
  <c r="F95" i="1"/>
  <c r="E95" i="1"/>
  <c r="D95" i="1"/>
  <c r="C95" i="1"/>
  <c r="B95" i="1"/>
  <c r="A95" i="1"/>
  <c r="R94" i="1"/>
  <c r="J94" i="1"/>
  <c r="I94" i="1"/>
  <c r="G94" i="1"/>
  <c r="F94" i="1"/>
  <c r="E94" i="1"/>
  <c r="D94" i="1"/>
  <c r="C94" i="1"/>
  <c r="B94" i="1"/>
  <c r="A94" i="1"/>
  <c r="R93" i="1"/>
  <c r="J93" i="1"/>
  <c r="I93" i="1"/>
  <c r="G93" i="1"/>
  <c r="F93" i="1"/>
  <c r="E93" i="1"/>
  <c r="D93" i="1"/>
  <c r="C93" i="1"/>
  <c r="B93" i="1"/>
  <c r="A93" i="1"/>
  <c r="S92" i="1"/>
  <c r="O92" i="1"/>
  <c r="K92" i="1"/>
  <c r="J92" i="1"/>
  <c r="I92" i="1"/>
  <c r="H92" i="1"/>
  <c r="G92" i="1"/>
  <c r="F92" i="1"/>
  <c r="E92" i="1"/>
  <c r="D92" i="1"/>
  <c r="C92" i="1"/>
  <c r="B92" i="1"/>
  <c r="A92" i="1"/>
  <c r="R91" i="1"/>
  <c r="J91" i="1"/>
  <c r="I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S89" i="1"/>
  <c r="O89" i="1"/>
  <c r="K89" i="1"/>
  <c r="J89" i="1"/>
  <c r="I89" i="1"/>
  <c r="H89" i="1"/>
  <c r="G89" i="1"/>
  <c r="F89" i="1"/>
  <c r="E89" i="1"/>
  <c r="D89" i="1"/>
  <c r="C89" i="1"/>
  <c r="B89" i="1"/>
  <c r="A89" i="1"/>
  <c r="R88" i="1"/>
  <c r="J88" i="1"/>
  <c r="I88" i="1"/>
  <c r="G88" i="1"/>
  <c r="F88" i="1"/>
  <c r="E88" i="1"/>
  <c r="D88" i="1"/>
  <c r="C88" i="1"/>
  <c r="B88" i="1"/>
  <c r="A88" i="1"/>
  <c r="R87" i="1"/>
  <c r="J87" i="1"/>
  <c r="I87" i="1"/>
  <c r="G87" i="1"/>
  <c r="F87" i="1"/>
  <c r="E87" i="1"/>
  <c r="D87" i="1"/>
  <c r="C87" i="1"/>
  <c r="B87" i="1"/>
  <c r="A87" i="1"/>
  <c r="S86" i="1"/>
  <c r="O86" i="1"/>
  <c r="K86" i="1"/>
  <c r="J86" i="1"/>
  <c r="I86" i="1"/>
  <c r="H86" i="1"/>
  <c r="G86" i="1"/>
  <c r="F86" i="1"/>
  <c r="E86" i="1"/>
  <c r="D86" i="1"/>
  <c r="C86" i="1"/>
  <c r="B86" i="1"/>
  <c r="A86" i="1"/>
  <c r="R85" i="1"/>
  <c r="J85" i="1"/>
  <c r="I85" i="1"/>
  <c r="G85" i="1"/>
  <c r="F85" i="1"/>
  <c r="E85" i="1"/>
  <c r="D85" i="1"/>
  <c r="C85" i="1"/>
  <c r="B85" i="1"/>
  <c r="A85" i="1"/>
  <c r="S84" i="1"/>
  <c r="O84" i="1"/>
  <c r="K84" i="1"/>
  <c r="J84" i="1"/>
  <c r="I84" i="1"/>
  <c r="H84" i="1"/>
  <c r="G84" i="1"/>
  <c r="F84" i="1"/>
  <c r="E84" i="1"/>
  <c r="D84" i="1"/>
  <c r="C84" i="1"/>
  <c r="B84" i="1"/>
  <c r="A84" i="1"/>
  <c r="R83" i="1"/>
  <c r="J83" i="1"/>
  <c r="I83" i="1"/>
  <c r="G83" i="1"/>
  <c r="F83" i="1"/>
  <c r="E83" i="1"/>
  <c r="D83" i="1"/>
  <c r="C83" i="1"/>
  <c r="B83" i="1"/>
  <c r="A83" i="1"/>
  <c r="S82" i="1"/>
  <c r="O82" i="1"/>
  <c r="K82" i="1"/>
  <c r="J82" i="1"/>
  <c r="I82" i="1"/>
  <c r="H82" i="1"/>
  <c r="G82" i="1"/>
  <c r="F82" i="1"/>
  <c r="E82" i="1"/>
  <c r="D82" i="1"/>
  <c r="C82" i="1"/>
  <c r="B82" i="1"/>
  <c r="A82" i="1"/>
  <c r="R81" i="1"/>
  <c r="J81" i="1"/>
  <c r="I81" i="1"/>
  <c r="G81" i="1"/>
  <c r="F81" i="1"/>
  <c r="E81" i="1"/>
  <c r="D81" i="1"/>
  <c r="C81" i="1"/>
  <c r="B81" i="1"/>
  <c r="A81" i="1"/>
  <c r="S80" i="1"/>
  <c r="O80" i="1"/>
  <c r="K80" i="1"/>
  <c r="J80" i="1"/>
  <c r="I80" i="1"/>
  <c r="H80" i="1"/>
  <c r="G80" i="1"/>
  <c r="F80" i="1"/>
  <c r="E80" i="1"/>
  <c r="D80" i="1"/>
  <c r="C80" i="1"/>
  <c r="B80" i="1"/>
  <c r="A80" i="1"/>
  <c r="R79" i="1"/>
  <c r="J79" i="1"/>
  <c r="I79" i="1"/>
  <c r="G79" i="1"/>
  <c r="F79" i="1"/>
  <c r="E79" i="1"/>
  <c r="D79" i="1"/>
  <c r="C79" i="1"/>
  <c r="B79" i="1"/>
  <c r="A79" i="1"/>
  <c r="R78" i="1"/>
  <c r="J78" i="1"/>
  <c r="I78" i="1"/>
  <c r="G78" i="1"/>
  <c r="F78" i="1"/>
  <c r="E78" i="1"/>
  <c r="D78" i="1"/>
  <c r="C78" i="1"/>
  <c r="B78" i="1"/>
  <c r="A78" i="1"/>
  <c r="R77" i="1"/>
  <c r="J77" i="1"/>
  <c r="I77" i="1"/>
  <c r="G77" i="1"/>
  <c r="F77" i="1"/>
  <c r="E77" i="1"/>
  <c r="D77" i="1"/>
  <c r="C77" i="1"/>
  <c r="B77" i="1"/>
  <c r="A77" i="1"/>
  <c r="R76" i="1"/>
  <c r="J76" i="1"/>
  <c r="I76" i="1"/>
  <c r="G76" i="1"/>
  <c r="F76" i="1"/>
  <c r="E76" i="1"/>
  <c r="D76" i="1"/>
  <c r="C76" i="1"/>
  <c r="B76" i="1"/>
  <c r="A76" i="1"/>
  <c r="R75" i="1"/>
  <c r="J75" i="1"/>
  <c r="I75" i="1"/>
  <c r="G75" i="1"/>
  <c r="F75" i="1"/>
  <c r="E75" i="1"/>
  <c r="D75" i="1"/>
  <c r="C75" i="1"/>
  <c r="B75" i="1"/>
  <c r="A75" i="1"/>
  <c r="R74" i="1"/>
  <c r="J74" i="1"/>
  <c r="I74" i="1"/>
  <c r="G74" i="1"/>
  <c r="F74" i="1"/>
  <c r="E74" i="1"/>
  <c r="D74" i="1"/>
  <c r="C74" i="1"/>
  <c r="B74" i="1"/>
  <c r="A74" i="1"/>
  <c r="R73" i="1"/>
  <c r="J73" i="1"/>
  <c r="I73" i="1"/>
  <c r="G73" i="1"/>
  <c r="F73" i="1"/>
  <c r="E73" i="1"/>
  <c r="D73" i="1"/>
  <c r="C73" i="1"/>
  <c r="B73" i="1"/>
  <c r="A73" i="1"/>
  <c r="R72" i="1"/>
  <c r="J72" i="1"/>
  <c r="I72" i="1"/>
  <c r="G72" i="1"/>
  <c r="F72" i="1"/>
  <c r="E72" i="1"/>
  <c r="D72" i="1"/>
  <c r="C72" i="1"/>
  <c r="B72" i="1"/>
  <c r="A72" i="1"/>
  <c r="R71" i="1"/>
  <c r="J71" i="1"/>
  <c r="I71" i="1"/>
  <c r="G71" i="1"/>
  <c r="F71" i="1"/>
  <c r="E71" i="1"/>
  <c r="D71" i="1"/>
  <c r="C71" i="1"/>
  <c r="B71" i="1"/>
  <c r="A71" i="1"/>
  <c r="R70" i="1"/>
  <c r="J70" i="1"/>
  <c r="I70" i="1"/>
  <c r="G70" i="1"/>
  <c r="F70" i="1"/>
  <c r="E70" i="1"/>
  <c r="D70" i="1"/>
  <c r="C70" i="1"/>
  <c r="B70" i="1"/>
  <c r="A70" i="1"/>
  <c r="S69" i="1"/>
  <c r="O69" i="1"/>
  <c r="K69" i="1"/>
  <c r="J69" i="1"/>
  <c r="I69" i="1"/>
  <c r="H69" i="1"/>
  <c r="G69" i="1"/>
  <c r="F69" i="1"/>
  <c r="E69" i="1"/>
  <c r="D69" i="1"/>
  <c r="C69" i="1"/>
  <c r="B69" i="1"/>
  <c r="A69" i="1"/>
  <c r="R68" i="1"/>
  <c r="J68" i="1"/>
  <c r="I68" i="1"/>
  <c r="G68" i="1"/>
  <c r="F68" i="1"/>
  <c r="E68" i="1"/>
  <c r="D68" i="1"/>
  <c r="C68" i="1"/>
  <c r="B68" i="1"/>
  <c r="A68" i="1"/>
  <c r="R67" i="1"/>
  <c r="J67" i="1"/>
  <c r="I67" i="1"/>
  <c r="G67" i="1"/>
  <c r="F67" i="1"/>
  <c r="E67" i="1"/>
  <c r="D67" i="1"/>
  <c r="C67" i="1"/>
  <c r="B67" i="1"/>
  <c r="A67" i="1"/>
  <c r="R66" i="1"/>
  <c r="J66" i="1"/>
  <c r="I66" i="1"/>
  <c r="G66" i="1"/>
  <c r="F66" i="1"/>
  <c r="E66" i="1"/>
  <c r="D66" i="1"/>
  <c r="C66" i="1"/>
  <c r="B66" i="1"/>
  <c r="A66" i="1"/>
  <c r="R65" i="1"/>
  <c r="J65" i="1"/>
  <c r="I65" i="1"/>
  <c r="G65" i="1"/>
  <c r="F65" i="1"/>
  <c r="E65" i="1"/>
  <c r="D65" i="1"/>
  <c r="C65" i="1"/>
  <c r="B65" i="1"/>
  <c r="A65" i="1"/>
  <c r="R64" i="1"/>
  <c r="J64" i="1"/>
  <c r="I64" i="1"/>
  <c r="G64" i="1"/>
  <c r="F64" i="1"/>
  <c r="E64" i="1"/>
  <c r="D64" i="1"/>
  <c r="C64" i="1"/>
  <c r="B64" i="1"/>
  <c r="A64" i="1"/>
  <c r="R63" i="1"/>
  <c r="J63" i="1"/>
  <c r="I63" i="1"/>
  <c r="G63" i="1"/>
  <c r="F63" i="1"/>
  <c r="E63" i="1"/>
  <c r="D63" i="1"/>
  <c r="C63" i="1"/>
  <c r="B63" i="1"/>
  <c r="A63" i="1"/>
  <c r="R62" i="1"/>
  <c r="J62" i="1"/>
  <c r="I62" i="1"/>
  <c r="G62" i="1"/>
  <c r="F62" i="1"/>
  <c r="E62" i="1"/>
  <c r="D62" i="1"/>
  <c r="C62" i="1"/>
  <c r="B62" i="1"/>
  <c r="A62" i="1"/>
  <c r="R61" i="1"/>
  <c r="J61" i="1"/>
  <c r="I61" i="1"/>
  <c r="G61" i="1"/>
  <c r="F61" i="1"/>
  <c r="E61" i="1"/>
  <c r="D61" i="1"/>
  <c r="C61" i="1"/>
  <c r="B61" i="1"/>
  <c r="A61" i="1"/>
  <c r="R60" i="1"/>
  <c r="J60" i="1"/>
  <c r="I60" i="1"/>
  <c r="G60" i="1"/>
  <c r="F60" i="1"/>
  <c r="E60" i="1"/>
  <c r="D60" i="1"/>
  <c r="C60" i="1"/>
  <c r="B60" i="1"/>
  <c r="A60" i="1"/>
  <c r="R59" i="1"/>
  <c r="J59" i="1"/>
  <c r="I59" i="1"/>
  <c r="G59" i="1"/>
  <c r="F59" i="1"/>
  <c r="E59" i="1"/>
  <c r="D59" i="1"/>
  <c r="C59" i="1"/>
  <c r="B59" i="1"/>
  <c r="A59" i="1"/>
  <c r="R58" i="1"/>
  <c r="J58" i="1"/>
  <c r="I58" i="1"/>
  <c r="G58" i="1"/>
  <c r="F58" i="1"/>
  <c r="E58" i="1"/>
  <c r="D58" i="1"/>
  <c r="C58" i="1"/>
  <c r="B58" i="1"/>
  <c r="A58" i="1"/>
  <c r="R57" i="1"/>
  <c r="J57" i="1"/>
  <c r="I57" i="1"/>
  <c r="G57" i="1"/>
  <c r="F57" i="1"/>
  <c r="E57" i="1"/>
  <c r="D57" i="1"/>
  <c r="C57" i="1"/>
  <c r="B57" i="1"/>
  <c r="A57" i="1"/>
  <c r="R56" i="1"/>
  <c r="J56" i="1"/>
  <c r="I56" i="1"/>
  <c r="G56" i="1"/>
  <c r="F56" i="1"/>
  <c r="E56" i="1"/>
  <c r="D56" i="1"/>
  <c r="C56" i="1"/>
  <c r="B56" i="1"/>
  <c r="A56" i="1"/>
  <c r="R55" i="1"/>
  <c r="J55" i="1"/>
  <c r="I55" i="1"/>
  <c r="G55" i="1"/>
  <c r="F55" i="1"/>
  <c r="E55" i="1"/>
  <c r="D55" i="1"/>
  <c r="C55" i="1"/>
  <c r="B55" i="1"/>
  <c r="A55" i="1"/>
  <c r="R54" i="1"/>
  <c r="J54" i="1"/>
  <c r="I54" i="1"/>
  <c r="G54" i="1"/>
  <c r="F54" i="1"/>
  <c r="E54" i="1"/>
  <c r="D54" i="1"/>
  <c r="C54" i="1"/>
  <c r="B54" i="1"/>
  <c r="A54" i="1"/>
  <c r="R53" i="1"/>
  <c r="J53" i="1"/>
  <c r="I53" i="1"/>
  <c r="G53" i="1"/>
  <c r="F53" i="1"/>
  <c r="E53" i="1"/>
  <c r="D53" i="1"/>
  <c r="C53" i="1"/>
  <c r="B53" i="1"/>
  <c r="A53" i="1"/>
  <c r="S52" i="1"/>
  <c r="O52" i="1"/>
  <c r="K52" i="1"/>
  <c r="J52" i="1"/>
  <c r="I52" i="1"/>
  <c r="H52" i="1"/>
  <c r="G52" i="1"/>
  <c r="F52" i="1"/>
  <c r="E52" i="1"/>
  <c r="D52" i="1"/>
  <c r="C52" i="1"/>
  <c r="B52" i="1"/>
  <c r="A52" i="1"/>
  <c r="R51" i="1"/>
  <c r="J51" i="1"/>
  <c r="I51" i="1"/>
  <c r="G51" i="1"/>
  <c r="F51" i="1"/>
  <c r="E51" i="1"/>
  <c r="D51" i="1"/>
  <c r="C51" i="1"/>
  <c r="B51" i="1"/>
  <c r="A51" i="1"/>
  <c r="R50" i="1"/>
  <c r="J50" i="1"/>
  <c r="I50" i="1"/>
  <c r="G50" i="1"/>
  <c r="F50" i="1"/>
  <c r="E50" i="1"/>
  <c r="D50" i="1"/>
  <c r="C50" i="1"/>
  <c r="B50" i="1"/>
  <c r="A50" i="1"/>
  <c r="R49" i="1"/>
  <c r="J49" i="1"/>
  <c r="I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R47" i="1"/>
  <c r="J47" i="1"/>
  <c r="I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R45" i="1"/>
  <c r="J45" i="1"/>
  <c r="I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R43" i="1"/>
  <c r="J43" i="1"/>
  <c r="I43" i="1"/>
  <c r="G43" i="1"/>
  <c r="F43" i="1"/>
  <c r="E43" i="1"/>
  <c r="D43" i="1"/>
  <c r="C43" i="1"/>
  <c r="B43" i="1"/>
  <c r="A43" i="1"/>
  <c r="R42" i="1"/>
  <c r="J42" i="1"/>
  <c r="I42" i="1"/>
  <c r="G42" i="1"/>
  <c r="F42" i="1"/>
  <c r="E42" i="1"/>
  <c r="D42" i="1"/>
  <c r="C42" i="1"/>
  <c r="B42" i="1"/>
  <c r="A42" i="1"/>
  <c r="R41" i="1"/>
  <c r="J41" i="1"/>
  <c r="I41" i="1"/>
  <c r="G41" i="1"/>
  <c r="F41" i="1"/>
  <c r="E41" i="1"/>
  <c r="D41" i="1"/>
  <c r="C41" i="1"/>
  <c r="B41" i="1"/>
  <c r="A41" i="1"/>
  <c r="R40" i="1"/>
  <c r="J40" i="1"/>
  <c r="I40" i="1"/>
  <c r="G40" i="1"/>
  <c r="F40" i="1"/>
  <c r="E40" i="1"/>
  <c r="D40" i="1"/>
  <c r="C40" i="1"/>
  <c r="B40" i="1"/>
  <c r="A40" i="1"/>
  <c r="R39" i="1"/>
  <c r="J39" i="1"/>
  <c r="I39" i="1"/>
  <c r="G39" i="1"/>
  <c r="F39" i="1"/>
  <c r="E39" i="1"/>
  <c r="D39" i="1"/>
  <c r="C39" i="1"/>
  <c r="B39" i="1"/>
  <c r="A39" i="1"/>
  <c r="R38" i="1"/>
  <c r="J38" i="1"/>
  <c r="I38" i="1"/>
  <c r="G38" i="1"/>
  <c r="F38" i="1"/>
  <c r="E38" i="1"/>
  <c r="D38" i="1"/>
  <c r="C38" i="1"/>
  <c r="B38" i="1"/>
  <c r="A38" i="1"/>
  <c r="R37" i="1"/>
  <c r="J37" i="1"/>
  <c r="I37" i="1"/>
  <c r="G37" i="1"/>
  <c r="F37" i="1"/>
  <c r="E37" i="1"/>
  <c r="D37" i="1"/>
  <c r="C37" i="1"/>
  <c r="B37" i="1"/>
  <c r="A37" i="1"/>
  <c r="R36" i="1"/>
  <c r="J36" i="1"/>
  <c r="I36" i="1"/>
  <c r="G36" i="1"/>
  <c r="F36" i="1"/>
  <c r="E36" i="1"/>
  <c r="D36" i="1"/>
  <c r="C36" i="1"/>
  <c r="B36" i="1"/>
  <c r="A36" i="1"/>
  <c r="R35" i="1"/>
  <c r="J35" i="1"/>
  <c r="I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R33" i="1"/>
  <c r="J33" i="1"/>
  <c r="I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R31" i="1"/>
  <c r="J31" i="1"/>
  <c r="I31" i="1"/>
  <c r="G31" i="1"/>
  <c r="F31" i="1"/>
  <c r="E31" i="1"/>
  <c r="D31" i="1"/>
  <c r="C31" i="1"/>
  <c r="B31" i="1"/>
  <c r="A31" i="1"/>
  <c r="R30" i="1"/>
  <c r="J30" i="1"/>
  <c r="I30" i="1"/>
  <c r="G30" i="1"/>
  <c r="F30" i="1"/>
  <c r="E30" i="1"/>
  <c r="D30" i="1"/>
  <c r="C30" i="1"/>
  <c r="B30" i="1"/>
  <c r="A30" i="1"/>
  <c r="R29" i="1"/>
  <c r="J29" i="1"/>
  <c r="I29" i="1"/>
  <c r="G29" i="1"/>
  <c r="F29" i="1"/>
  <c r="E29" i="1"/>
  <c r="D29" i="1"/>
  <c r="C29" i="1"/>
  <c r="B29" i="1"/>
  <c r="A29" i="1"/>
  <c r="R28" i="1"/>
  <c r="J28" i="1"/>
  <c r="I28" i="1"/>
  <c r="G28" i="1"/>
  <c r="F28" i="1"/>
  <c r="E28" i="1"/>
  <c r="D28" i="1"/>
  <c r="C28" i="1"/>
  <c r="B28" i="1"/>
  <c r="A28" i="1"/>
  <c r="R27" i="1"/>
  <c r="J27" i="1"/>
  <c r="I27" i="1"/>
  <c r="G27" i="1"/>
  <c r="F27" i="1"/>
  <c r="E27" i="1"/>
  <c r="D27" i="1"/>
  <c r="C27" i="1"/>
  <c r="B27" i="1"/>
  <c r="A27" i="1"/>
  <c r="R26" i="1"/>
  <c r="J26" i="1"/>
  <c r="I26" i="1"/>
  <c r="G26" i="1"/>
  <c r="F26" i="1"/>
  <c r="E26" i="1"/>
  <c r="D26" i="1"/>
  <c r="C26" i="1"/>
  <c r="B26" i="1"/>
  <c r="A26" i="1"/>
  <c r="R25" i="1"/>
  <c r="J25" i="1"/>
  <c r="I25" i="1"/>
  <c r="G25" i="1"/>
  <c r="F25" i="1"/>
  <c r="E25" i="1"/>
  <c r="D25" i="1"/>
  <c r="C25" i="1"/>
  <c r="B25" i="1"/>
  <c r="A25" i="1"/>
  <c r="R24" i="1"/>
  <c r="J24" i="1"/>
  <c r="I24" i="1"/>
  <c r="G24" i="1"/>
  <c r="F24" i="1"/>
  <c r="E24" i="1"/>
  <c r="D24" i="1"/>
  <c r="C24" i="1"/>
  <c r="B24" i="1"/>
  <c r="A24" i="1"/>
  <c r="R23" i="1"/>
  <c r="J23" i="1"/>
  <c r="I23" i="1"/>
  <c r="G23" i="1"/>
  <c r="F23" i="1"/>
  <c r="E23" i="1"/>
  <c r="D23" i="1"/>
  <c r="C23" i="1"/>
  <c r="B23" i="1"/>
  <c r="A23" i="1"/>
  <c r="R22" i="1"/>
  <c r="J22" i="1"/>
  <c r="I22" i="1"/>
  <c r="G22" i="1"/>
  <c r="F22" i="1"/>
  <c r="E22" i="1"/>
  <c r="D22" i="1"/>
  <c r="C22" i="1"/>
  <c r="B22" i="1"/>
  <c r="A22" i="1"/>
  <c r="R21" i="1"/>
  <c r="J21" i="1"/>
  <c r="I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R19" i="1"/>
  <c r="J19" i="1"/>
  <c r="I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R17" i="1"/>
  <c r="J17" i="1"/>
  <c r="I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R15" i="1"/>
  <c r="J15" i="1"/>
  <c r="I15" i="1"/>
  <c r="G15" i="1"/>
  <c r="F15" i="1"/>
  <c r="E15" i="1"/>
  <c r="D15" i="1"/>
  <c r="C15" i="1"/>
  <c r="B15" i="1"/>
  <c r="A15" i="1"/>
  <c r="R14" i="1"/>
  <c r="J14" i="1"/>
  <c r="I14" i="1"/>
  <c r="G14" i="1"/>
  <c r="F14" i="1"/>
  <c r="E14" i="1"/>
  <c r="D14" i="1"/>
  <c r="C14" i="1"/>
  <c r="B14" i="1"/>
  <c r="A14" i="1"/>
  <c r="R13" i="1"/>
  <c r="J13" i="1"/>
  <c r="I13" i="1"/>
  <c r="G13" i="1"/>
  <c r="F13" i="1"/>
  <c r="E13" i="1"/>
  <c r="D13" i="1"/>
  <c r="C13" i="1"/>
  <c r="B13" i="1"/>
  <c r="A13" i="1"/>
  <c r="R12" i="1"/>
  <c r="J12" i="1"/>
  <c r="I12" i="1"/>
  <c r="G12" i="1"/>
  <c r="F12" i="1"/>
  <c r="E12" i="1"/>
  <c r="D12" i="1"/>
  <c r="C12" i="1"/>
  <c r="B12" i="1"/>
  <c r="A12" i="1"/>
  <c r="R11" i="1"/>
  <c r="J11" i="1"/>
  <c r="I11" i="1"/>
  <c r="G11" i="1"/>
  <c r="F11" i="1"/>
  <c r="E11" i="1"/>
  <c r="D11" i="1"/>
  <c r="C11" i="1"/>
  <c r="B11" i="1"/>
  <c r="A11" i="1"/>
  <c r="R10" i="1"/>
  <c r="J10" i="1"/>
  <c r="I10" i="1"/>
  <c r="G10" i="1"/>
  <c r="F10" i="1"/>
  <c r="E10" i="1"/>
  <c r="D10" i="1"/>
  <c r="C10" i="1"/>
  <c r="B10" i="1"/>
  <c r="A10" i="1"/>
  <c r="R9" i="1"/>
  <c r="J9" i="1"/>
  <c r="I9" i="1"/>
  <c r="G9" i="1"/>
  <c r="F9" i="1"/>
  <c r="E9" i="1"/>
  <c r="D9" i="1"/>
  <c r="C9" i="1"/>
  <c r="B9" i="1"/>
  <c r="A9" i="1"/>
  <c r="R8" i="1"/>
  <c r="J8" i="1"/>
  <c r="I8" i="1"/>
  <c r="G8" i="1"/>
  <c r="F8" i="1"/>
  <c r="E8" i="1"/>
  <c r="D8" i="1"/>
  <c r="C8" i="1"/>
  <c r="B8" i="1"/>
  <c r="A8" i="1"/>
  <c r="R7" i="1"/>
  <c r="J7" i="1"/>
  <c r="I7" i="1"/>
  <c r="G7" i="1"/>
  <c r="F7" i="1"/>
  <c r="E7" i="1"/>
  <c r="D7" i="1"/>
  <c r="C7" i="1"/>
  <c r="B7" i="1"/>
  <c r="A7" i="1"/>
  <c r="R6" i="1"/>
  <c r="J6" i="1"/>
  <c r="I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<sst xmlns="http://schemas.openxmlformats.org/spreadsheetml/2006/main" count="6274" uniqueCount="488">
  <si>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</si>
  <si>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</si>
  <si>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</si>
  <si>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</si>
  <si>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</si>
  <si>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</si>
  <si>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</si>
  <si>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</si>
  <si>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</si>
  <si>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</si>
  <si>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</si>
  <si>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</si>
  <si>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</si>
  <si>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</si>
  <si>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</si>
  <si>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</si>
  <si>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</si>
  <si>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</si>
  <si>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</si>
  <si>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</si>
  <si>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</si>
  <si>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</si>
  <si>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</si>
  <si>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CONVENIO MEDICO SOCIOS E DEPENDENTES</t>
  </si>
  <si>
    <t>PLANOS E SEGUROS</t>
  </si>
  <si>
    <t>Serv.Prest. 15/12/2025 a 21/12/2025 - RPS: 1873 - NFSe: 4111</t>
  </si>
  <si>
    <t>RECEITAS COM ENTREGAS</t>
  </si>
  <si>
    <t>RECEITAS COM ENTREGAS (303)</t>
  </si>
  <si>
    <t>Serv.Prest. 15/12/2025 a 21/12/2025 - RPS: 1874 - NFSe: 4112</t>
  </si>
  <si>
    <t>Serv.Prest. 15/12/2025 a 21/12/2025 - RPS: 1875 - NFSe: 4113</t>
  </si>
  <si>
    <t>Serv.Prest. 22/12/2025 a 28/12/2025 - RPS: 1885 - NFSe: 4123</t>
  </si>
  <si>
    <t>Serv.Prest. 22/12/2025 a 28/12/2025 - RPS: 1886 - NFSe: 4124</t>
  </si>
  <si>
    <t>Serv.Prest. 22/12/2025 a 28/12/2025 - RPS: 1887 - NFSe: 4125</t>
  </si>
  <si>
    <t>Serv.Prest. 22/12/2025 a 28/12/2025 - RPS: 1892 - NFSe: 4130</t>
  </si>
  <si>
    <t>Serv.Prest. 22/12/2025 a 28/12/2025 - RPS: 1894 - NFSe: 4132</t>
  </si>
  <si>
    <t>Serv.Prest. 22/12/2025 a 28/12/2025 - RPS: 1897 - NFSe: 4135</t>
  </si>
  <si>
    <t>Serv.Prest. 22/12/2025 a 28/12/2025 - RPS: 1898 - NFSe: 4136</t>
  </si>
  <si>
    <t>Serv.Prest. 22/12/2025 a 28/12/2025 - RPS: 1899 - NFSe: 4137</t>
  </si>
  <si>
    <t>Serv.Prest. 22/12/2025 a 28/12/2025 - RPS: 1900 - NFSe: 4138</t>
  </si>
  <si>
    <t>Serv.Prest. 22/12/2025 a 28/12/2025 - RPS: 1901 - NFSe: 4139</t>
  </si>
  <si>
    <t>Serv.Prest. 22/12/2025 a 28/12/2025 - RPS: 1902 - NFSe: 4140</t>
  </si>
  <si>
    <t>Serv.Prest. 22/12/2025 a 28/12/2025 - RPS: 1903 - NFSe: 4141</t>
  </si>
  <si>
    <t>Serv.Prest. 22/12/2025 a 28/12/2025 - RPS: 1904 - NFSe: 4142</t>
  </si>
  <si>
    <t>Serv.Prest. 22/12/2025 a 28/12/2025 - RPS: 1905 - NFSe: 4143</t>
  </si>
  <si>
    <t>Serv.Prest. 22/12/2025 a 28/12/2025 - RPS: 1907 - NFSe: 4145</t>
  </si>
  <si>
    <t>Serv.Prest. 22/12/2025 a 28/12/2025 - RPS: 1908 - NFSe: 4146</t>
  </si>
  <si>
    <t>Serv.Prest. 22/12/2025 a 28/12/2025 - RPS: 1909 - NFSe: 4147</t>
  </si>
  <si>
    <t>Serv.Prest. 22/12/2025 a 28/12/2025 - RPS: 1910 - NFSe: 4148</t>
  </si>
  <si>
    <t>Serv.Prest. 22/12/2025 a 28/12/2025 - RPS: 1911 - NFSe: 4149</t>
  </si>
  <si>
    <t>Serv.Prest. 22/12/2025 a 28/12/2025 - RPS: 1915 - NFSe: 4153</t>
  </si>
  <si>
    <t>Serv.Prest. 22/12/2025 a 28/12/2025 - RPS: 1920 - NFSe: 4158</t>
  </si>
  <si>
    <t>Serv.Prest. 22/12/2025 a 28/12/2025 - RPS: 1922 - NFSe: 4160</t>
  </si>
  <si>
    <t>Serv.Prest. 22/12/2025 a 28/12/2025 - RPS: 1923 - NFSe: 4161</t>
  </si>
  <si>
    <t>Serv.Prest. 22/12/2025 a 28/12/2025 - RPS: 1928 - NFSe: 4166</t>
  </si>
  <si>
    <t>IOF/JUROS/DESP.FINANCEIRA (401)</t>
  </si>
  <si>
    <t>Serv.Prest. 22/12/2025 a 28/12/2025 - RPS: 1906 - NFSe: 4144</t>
  </si>
  <si>
    <t>CAIXA - COOPERATIVA (120)</t>
  </si>
  <si>
    <t>TAXA BOLETO CORA (25x1,7)</t>
  </si>
  <si>
    <t>IOF/JUROS/DESP.FINANCEIRA</t>
  </si>
  <si>
    <t>COMPRA PASSAGEM DESPESAS VIAGEM LIMEIRA / RIO CLARO / JUNDIAI</t>
  </si>
  <si>
    <t>DESPESAS COM VIAGENS</t>
  </si>
  <si>
    <t>Serv.Prest. 22/12/2025 a 25/12/2025 - RPS: 1882 - NFSe: 4120</t>
  </si>
  <si>
    <t>Serv.Prest. 22/12/2025 a 25/12/2025 - RPS: 1883 - NFSe: 4121</t>
  </si>
  <si>
    <t>Serv.Prest. 22/12/2025 a 25/12/2025 - RPS: 1884 - NFSe: 4122</t>
  </si>
  <si>
    <t>Serv.Prest. 22/12/2025 a 28/12/2025 - RPS: 1893 - NFSe: 4131</t>
  </si>
  <si>
    <t>Serv.Prest. 22/12/2025 a 28/12/2025 - RPS: 1916 - NFSe: 4154</t>
  </si>
  <si>
    <t>Serv.Prest. 15/12/2025 a 21/12/2025 - RPS: 1879 - NFSe: 4117</t>
  </si>
  <si>
    <t>Serv.Prest. 15/12/2025 a 21/12/2025 - RPS: 1880 - NFSe: 4118</t>
  </si>
  <si>
    <t>Serv.Prest. 15/12/2025 a 21/12/2025 - RPS: 1881 - NFSe: 4119</t>
  </si>
  <si>
    <t>Serv.Prest. 22/12/2025 a 28/12/2025 - RPS: 1888 - NFSe: 4126</t>
  </si>
  <si>
    <t>DESPESAS COM VIAGEM PARA LIMEIRA / RIO CLARO / JUNDIAI</t>
  </si>
  <si>
    <t>TAXA BOLETO CORA (6x1,7)</t>
  </si>
  <si>
    <t>CAIXA MOVIMENTAÇÃO OPERACIONAL (132)</t>
  </si>
  <si>
    <t>REF. PRO-LABORE MES 12/25</t>
  </si>
  <si>
    <t>PRO LABORE - LILIANE</t>
  </si>
  <si>
    <t xml:space="preserve">CO PARTICIPAÇAÕ CONVENIO </t>
  </si>
  <si>
    <t>RECEITAS COM REEMBOLSOS</t>
  </si>
  <si>
    <t>RECEITAS COM REEMBOLSOS (119)</t>
  </si>
  <si>
    <t>REF. PRO-LABORE MES 12/2025</t>
  </si>
  <si>
    <t>PRO LABORE - MARCELO</t>
  </si>
  <si>
    <t xml:space="preserve">CO PARTICIPAÇÃO CONVENIO </t>
  </si>
  <si>
    <t>EMPRESTIMO FUI TECNOLOGIA</t>
  </si>
  <si>
    <t>EMPRESTIMOS</t>
  </si>
  <si>
    <t>MARKETING REDES SOCIAIS - PIX- CHAVE ALEATORIA: 1d5b84cc-db31-469d-b8ee-076ced54c3e9</t>
  </si>
  <si>
    <t>PUBLICIDADE E PROPAGANDAS</t>
  </si>
  <si>
    <t>REF. PREST. SERVICO LILIANE</t>
  </si>
  <si>
    <t>Serv.Prest. 15/12/2025 a 21/12/2025 - RPS: 1863 - NFSe: 4101</t>
  </si>
  <si>
    <t>Serv.Prest. 22/12/2025 a 28/12/2025 - RPS: 1889 - NFSe: 4127</t>
  </si>
  <si>
    <t>BANCO SICREDI (131)</t>
  </si>
  <si>
    <t>Serv.Prest. 22/12/2025 a 28/12/2025 - RPS: 1925 - NFSe: 4163</t>
  </si>
  <si>
    <t>Serv.Prest. 22/12/2025 a 28/12/2025 - RPS: 1926 - NFSe: 4164</t>
  </si>
  <si>
    <t>Serv.Prest. 22/12/2025 a 28/12/2025 - RPS: 1927 - NFSe: 4165</t>
  </si>
  <si>
    <t>Serv.Prest. 29/12/2025 a 04/01/2026 - RPS: 1930 - NFSe: 3</t>
  </si>
  <si>
    <t>Serv.Prest. 29/12/2025 a 04/01/2026 - RPS: 1931 - NFSe: 4</t>
  </si>
  <si>
    <t>Serv.Prest. 29/12/2025 a 04/01/2026 - RPS: 1932 - NFSe: 5</t>
  </si>
  <si>
    <t>Serv.Prest. 29/12/2025 a 04/01/2026 - RPS: 1934 - NFSe: 7</t>
  </si>
  <si>
    <t>Serv.Prest. 29/12/2025 a 04/01/2026 - RPS: 1936 - NFSe: 8</t>
  </si>
  <si>
    <t>Serv.Prest. 29/12/2025 a 04/01/2026 - RPS: 1937 - NFSe: 9</t>
  </si>
  <si>
    <t>Serv.Prest. 29/12/2025 a 04/01/2026 - RPS: 1938 - NFSe: 10</t>
  </si>
  <si>
    <t>Serv.Prest. 29/12/2025 a 04/01/2026 - RPS: 1939 - NFSe: 11</t>
  </si>
  <si>
    <t>Serv.Prest. 29/12/2025 a 04/01/2026 - RPS: 1940 - NFSe: 12</t>
  </si>
  <si>
    <t>Serv.Prest. 29/12/2025 a 04/01/2026 - RPS: 1941 - NFSe: 13</t>
  </si>
  <si>
    <t>Serv.Prest. 29/12/2025 a 04/01/2026 - RPS: 1942 - NFSe: 14</t>
  </si>
  <si>
    <t>Serv.Prest. 29/12/2025 a 04/01/2026 - RPS: 1943 - NFSe: 15</t>
  </si>
  <si>
    <t>Serv.Prest. 29/12/2025 a 04/01/2026 - RPS: 1945 - NFSe: 17</t>
  </si>
  <si>
    <t>Serv.Prest. 29/12/2025 a 04/01/2026 - RPS: 1946 - NFSe: 18</t>
  </si>
  <si>
    <t>Serv.Prest. 29/12/2025 a 04/01/2026 - RPS: 1947 - NFSe: 19</t>
  </si>
  <si>
    <t>Serv.Prest. 29/12/2025 a 04/01/2026 - RPS: 1948 - NFSe: 20</t>
  </si>
  <si>
    <t>Serv.Prest. 29/12/2025 a 04/01/2026 - RPS: 1952 - NFSe: 23</t>
  </si>
  <si>
    <t>Serv.Prest. 29/12/2025 a 04/01/2026 - RPS: 1955 - NFSe: 26</t>
  </si>
  <si>
    <t>Serv.Prest. 29/12/2025 a 04/01/2026 - RPS: 1958 - NFSe: 29</t>
  </si>
  <si>
    <t>Serv.Prest. 29/12/2025 a 04/01/2026 - RPS: 1959 - NFSe: 30</t>
  </si>
  <si>
    <t>Serv.Prest. 29/12/2025 a 04/01/2026 - RPS: 1962 - NFSe: 33</t>
  </si>
  <si>
    <t>Serv.Prest. 29/12/2025 a 04/01/2026 - RPS: 1966 - NFSe: 36</t>
  </si>
  <si>
    <t>Serv.Prest. 29/12/2025 a 04/01/2026 - RPS: 1967 - NFSe: 37</t>
  </si>
  <si>
    <t>Serv.Prest. 29/12/2025 a 04/01/2026 - RPS: 1973 - NFSe: 43</t>
  </si>
  <si>
    <t>Serv.Prest. 29/12/2025 a 04/01/2026 - RPS: 1974 - NFSe: 44</t>
  </si>
  <si>
    <t>Serv.Prest. 01/12/2025 a 31/12/2025 - RPS: 1975 - NFSe: 45</t>
  </si>
  <si>
    <t>PAGAMENTO SETUP</t>
  </si>
  <si>
    <t>RECEITAS COM SETUP</t>
  </si>
  <si>
    <t>RECEITAS COM SETUP (117)</t>
  </si>
  <si>
    <t>TAXA BOLETO CORA</t>
  </si>
  <si>
    <t>Serv.Prest. 29/12/2025 a 04/01/2026 - RPS: 1963 - NFSe: 34</t>
  </si>
  <si>
    <t>Serv.Prest. 29/12/2025 a 04/01/2026 - RPS: 1965 - NFSe: 49</t>
  </si>
  <si>
    <t>Serv.Prest. 29/12/2025 a 04/01/2026 - RPS: 1929 - NFSe: 2</t>
  </si>
  <si>
    <t>Serv.Prest. 29/12/2025 a 04/01/2026 - RPS: 1957 - NFSe: 28</t>
  </si>
  <si>
    <t>Serv.Prest. 29/12/2025 a 04/01/2026 - RPS: 1969 - NFSe: 39</t>
  </si>
  <si>
    <t>DISTRIBUIÇÃO DE LUCROS</t>
  </si>
  <si>
    <t>DISTRIBUIÇÃO DE LUCRO</t>
  </si>
  <si>
    <t>LANCHES/REFEIÇÕES (708)</t>
  </si>
  <si>
    <t>DESPESAS COM VIAGEM PARA TEOFILO OTONI</t>
  </si>
  <si>
    <t>Serv.Prest. 22/12/2025 a 28/12/2025 - RPS: 1921 - NFSe: 4159</t>
  </si>
  <si>
    <t>Serv.Prest. 15/12/2025 a 21/12/2025 - RPS: 1868 - NFSe: 4106</t>
  </si>
  <si>
    <t>Serv.Prest. 23/06/2025 a 29/06/2025 - RPS: 960 - NFSe: 3192</t>
  </si>
  <si>
    <t>Serv.Prest. 30/06/2025 a 06/07/2025 - RPS: 969 - NFSe: 3202</t>
  </si>
  <si>
    <t>Serv.Prest. 07/07/2025 a 13/07/2025 - RPS: 1007 - NFSe: 3240</t>
  </si>
  <si>
    <t>Serv.Prest. 14/07/2025 a 20/07/2025 - RPS: 1030 - NFSe: 3263</t>
  </si>
  <si>
    <t>Serv.Prest. 29/12/2025 a 04/01/2026 - RPS: 1949 - NFSe: 48</t>
  </si>
  <si>
    <t>Serv.Prest. 29/12/2025 a 04/01/2026 - RPS: 1951 - NFSe: 22</t>
  </si>
  <si>
    <t>Serv.Prest. 29/12/2025 a 04/01/2026 - RPS: 1935 - NFSe: 47</t>
  </si>
  <si>
    <t>Serv.Prest. 29/12/2025 a 04/01/2026 - RPS: 1944 - NFSe: 16</t>
  </si>
  <si>
    <t>Serv.Prest. 29/12/2025 a 04/01/2026 - RPS: 1954 - NFSe: 25</t>
  </si>
  <si>
    <t>Serv.Prest. 29/12/2025 a 04/01/2026 - RPS: 1976 - NFSe: 46</t>
  </si>
  <si>
    <t>TAXA BOLETO CORA (02x1,7)</t>
  </si>
  <si>
    <t>PLATAFORMA DE RECRUTAMENTO</t>
  </si>
  <si>
    <t>SOFTWARE / LICENÇAS</t>
  </si>
  <si>
    <t>Serv.Prest. 29/12/2025 a 04/01/2026 - RPS: 1950 - NFSe: 21</t>
  </si>
  <si>
    <t>Serv.Prest. 05/01/2026 a 11/01/2026 - RPS: 1982 - NFSe: 56</t>
  </si>
  <si>
    <t>Serv.Prest. 05/01/2026 a 11/01/2026 - RPS: 1984 - NFSe: 58</t>
  </si>
  <si>
    <t>Serv.Prest. 26/12/2025 a 04/01/2026 - RPS: 1964 - NFSe: 35</t>
  </si>
  <si>
    <t>Serv.Prest. 26/12/2025 a 04/01/2026 - RPS: 1968 - NFSe: 38</t>
  </si>
  <si>
    <t>Serv.Prest. 22/12/2025 a 28/12/2025 - RPS: 1917 - NFSe: 4155</t>
  </si>
  <si>
    <t>EQUIPAMENTOS DE INFORMATICA (130)</t>
  </si>
  <si>
    <t>PLATAFORMA GRPRO JANEIRO/2026 CHAVE PIX: : CNPJ 52.907.497/0001-20</t>
  </si>
  <si>
    <t>PLATAFORMA GRPRO WHIZ TECNOLOGIA JANEIRO/2026 CHAVE PIX: CNPJ 52.913.488/0001-41</t>
  </si>
  <si>
    <t>Serv.Prest. 29/12/2025 a 04/01/2026 - RPS: 1970 - NFSe: 40</t>
  </si>
  <si>
    <t>Serv.Prest. 29/12/2025 a 04/01/2026 - RPS: 1971 - NFSe: 41</t>
  </si>
  <si>
    <t>Serv.Prest. 29/12/2025 a 04/01/2026 - RPS: 1972 - NFSe: 42</t>
  </si>
  <si>
    <t>Serv.Prest. 05/01/2026 a 11/01/2026 - RPS: 1977 - NFSe: 51</t>
  </si>
  <si>
    <t>Serv.Prest. 05/01/2026 a 11/01/2026 - RPS: 1978 - NFSe: 52</t>
  </si>
  <si>
    <t>Serv.Prest. 05/01/2026 a 11/01/2026 - RPS: 1979 - NFSe: 53</t>
  </si>
  <si>
    <t>Serv.Prest. 05/01/2026 a 11/01/2026 - RPS: 1980 - NFSe: 54</t>
  </si>
  <si>
    <t>Serv.Prest. 05/01/2026 a 11/01/2026 - RPS: 1985 - NFSe: 59</t>
  </si>
  <si>
    <t>Serv.Prest. 05/01/2026 a 11/01/2026 - RPS: 1986 - NFSe: 60</t>
  </si>
  <si>
    <t>Serv.Prest. 05/01/2026 a 11/01/2026 - RPS: 1987 - NFSe: 61</t>
  </si>
  <si>
    <t>Serv.Prest. 05/01/2026 a 11/01/2026 - RPS: 1988 - NFSe: 62</t>
  </si>
  <si>
    <t>Serv.Prest. 05/01/2026 a 11/01/2026 - RPS: 1989 - NFSe: 63</t>
  </si>
  <si>
    <t>Serv.Prest. 05/01/2026 a 11/01/2026 - RPS: 1990 - NFSe: 64</t>
  </si>
  <si>
    <t>Serv.Prest. 05/01/2026 a 11/01/2026 - RPS: 1991 - NFSe: 65</t>
  </si>
  <si>
    <t>Serv.Prest. 05/01/2026 a 11/01/2026 - RPS: 1992 - NFSe: 66</t>
  </si>
  <si>
    <t>Serv.Prest. 05/01/2026 a 11/01/2026 - RPS: 1993 - NFSe: 67</t>
  </si>
  <si>
    <t>Serv.Prest. 05/01/2026 a 11/01/2026 - RPS: 1994 - NFSe: 68</t>
  </si>
  <si>
    <t>Serv.Prest. 05/01/2026 a 11/01/2026 - RPS: 1995 - NFSe: 69 - NFSe: 69</t>
  </si>
  <si>
    <t>Serv.Prest. 05/01/2026 a 11/01/2026 - RPS: 1996 - NFSe: 70</t>
  </si>
  <si>
    <t>Serv.Prest. 05/01/2026 a 11/01/2026 - RPS: 1997 - NFSe: 71</t>
  </si>
  <si>
    <t>Serv.Prest. 05/01/2026 a 11/01/2026 - RPS: 1998 - NFSe: 72</t>
  </si>
  <si>
    <t>Serv.Prest. 05/01/2026 a 11/01/2026 - RPS: 1999 - NFSe: 73</t>
  </si>
  <si>
    <t>Serv.Prest. 05/01/2026 a 11/01/2026 - RPS: 2002 - NFSe: 76</t>
  </si>
  <si>
    <t>Serv.Prest. 05/01/2026 a 11/01/2026 - RPS: 2003 - NFSe: 77</t>
  </si>
  <si>
    <t>Serv.Prest. 05/01/2026 a 11/01/2026 - RPS: 2004 - NFSe: 78</t>
  </si>
  <si>
    <t>Serv.Prest. 05/01/2026 a 11/01/2026 - RPS: 2005 - NFSe: 79</t>
  </si>
  <si>
    <t>Serv.Prest. 05/01/2026 a 11/01/2026 - RPS: 2006 - NFSe: 80</t>
  </si>
  <si>
    <t>Serv.Prest. 05/01/2026 a 11/01/2026 - RPS: 2007 - NFSe: 81</t>
  </si>
  <si>
    <t>Serv.Prest. 05/01/2026 a 11/01/2026 - RPS: 2009 - NFSe: 83</t>
  </si>
  <si>
    <t>Serv.Prest. 05/01/2026 a 11/01/2026 - RPS: 2010 - NFSe: 84</t>
  </si>
  <si>
    <t>Serv.Prest. 05/01/2026 a 11/01/2026 - RPS: 2014 - NFSe: 88</t>
  </si>
  <si>
    <t>Serv.Prest. 05/01/2026 a 11/01/2026 - RPS: 2015 - NFSe: 89</t>
  </si>
  <si>
    <t>Serv.Prest. 05/01/2026 a 11/01/2026 - RPS: 2017 - NFSe: 91</t>
  </si>
  <si>
    <t>Serv.Prest. 05/01/2026 a 11/01/2026 - RPS: 2018 - NFSe: 92</t>
  </si>
  <si>
    <t>Serv.Prest. 05/01/2026 a 11/01/2026 - RPS: 2021 - NFSe: 95</t>
  </si>
  <si>
    <t>Serv.Prest. 05/01/2026 a 11/01/2026 - RPS: 2023 - NFSe: 97</t>
  </si>
  <si>
    <t>REEMBOLSO - MENSALIDADE CANVA</t>
  </si>
  <si>
    <t>PREMIO SOBRE VENDAS</t>
  </si>
  <si>
    <t>COMISSÕES DE REPRESENTANTES</t>
  </si>
  <si>
    <t>REEMBOLSO ASSINATURAGOOGLE</t>
  </si>
  <si>
    <t>ASSINATURA APPLE</t>
  </si>
  <si>
    <t>Serv.Prest. 05/01/2026 a 11/01/2026 - RPS: 2000 - NFSe: 74</t>
  </si>
  <si>
    <t>Serv.Prest. 05/01/2026 a 11/01/2026 - RPS: 2001 - NFSe: 75</t>
  </si>
  <si>
    <t>Serv.Prest. 05/01/2026 a 11/01/2026 - RPS: 1981 - NFSe: 55</t>
  </si>
  <si>
    <t>Serv.Prest. 26/12/2025 a 04/01/2026 - RPS: 1960 - NFSe: 31</t>
  </si>
  <si>
    <t>APLICAÇÃO BANCO A (121)</t>
  </si>
  <si>
    <t>COMISSAO VENDAS SETUP - PAGO PARA LUCAS GABRIEL SILVA SANTOS</t>
  </si>
  <si>
    <t>COMISSAO VENDAS SETUP</t>
  </si>
  <si>
    <t>Serv.Prest. 05/01/2026 a 11/01/2026 - RPS: 2025 - NFSe: 99</t>
  </si>
  <si>
    <t>SERVIDOR FLUX FARMA PERIODO DEZEMBRO/25</t>
  </si>
  <si>
    <t>INSS SOBRE PROLABORE</t>
  </si>
  <si>
    <t>INSS - PRO-LABORE</t>
  </si>
  <si>
    <t>SIMPLES NACIONAL MES DEZEMBRO/2025</t>
  </si>
  <si>
    <t>SIMPLES NACIONAL (DASN)</t>
  </si>
  <si>
    <t>Serv.Prest. 05/01/2026 a 11/01/2026 - RPS: 2024 - NFSe: 98</t>
  </si>
  <si>
    <t>Serv.Prest. 05/01/2026 a 11/01/2026 - RPS: 2019 - NFSe: 93</t>
  </si>
  <si>
    <t>Serv.Prest. 05/01/2026 a 11/01/2026 - RPS: 2020 - NFSe: 94</t>
  </si>
  <si>
    <t>Serv.Prest. 05/01/2026 a 11/01/2026 - RPS: 2022 - NFSe: 96</t>
  </si>
  <si>
    <t>Serv.Prest. 29/12/2025 a 04/01/2026 - RPS: 1961 - NFSe: 32</t>
  </si>
  <si>
    <t>Serv.Prest. 12/01/2026 a 18/01/2026 - RPS: 2050 - NFSe: 124</t>
  </si>
  <si>
    <t>Serv.Prest. 12/01/2026 a 18/01/2026 - RPS: 2053 - NFSe: 127</t>
  </si>
  <si>
    <t>Serv.Prest. 12/01/2026 a 18/01/2026 - RPS: 2052 - NFSe: 126</t>
  </si>
  <si>
    <t xml:space="preserve">DESPESAS COM EQUIPE DE DESENVOLVIMENTO DA FLUX FARM </t>
  </si>
  <si>
    <t>DESPESAS COM EVENTOS</t>
  </si>
  <si>
    <t>Serv.Prest. 05/01/2026 a 11/01/2026 - RPS: 2011 - NFSe: 85</t>
  </si>
  <si>
    <t>Serv.Prest. 05/01/2026 a 11/01/2026 - RPS: 2012 - NFSe: 86</t>
  </si>
  <si>
    <t>Serv.Prest. 05/01/2026 a 11/01/2026 - RPS: 2013 - NFSe: 87</t>
  </si>
  <si>
    <t>Serv.Prest. 12/01/2026 a 18/01/2026 - RPS: 2027 - NFSe: 101</t>
  </si>
  <si>
    <t>Serv.Prest. 12/01/2026 a 18/01/2026 - RPS: 2028 - NFSe: 102</t>
  </si>
  <si>
    <t>Serv.Prest. 12/01/2026 a 18/01/2026 - RPS: 2029 - NFSe: 103</t>
  </si>
  <si>
    <t>Serv.Prest. 12/01/2026 a 18/01/2026 - RPS: 2030 - NFSe: 104</t>
  </si>
  <si>
    <t>Serv.Prest. 12/01/2026 a 18/01/2026 - RPS: 2031 - NFSe: 105</t>
  </si>
  <si>
    <t>Serv.Prest. 12/01/2026 a 18/01/2026 - RPS: 2032 - NFSe: 106</t>
  </si>
  <si>
    <t>Serv.Prest. 12/01/2026 a 18/01/2026 - RPS: 2033 - NFSe: 107</t>
  </si>
  <si>
    <t>Serv.Prest. 12/01/2026 a 18/01/2026 - RPS: 2034 - NFSe: 108</t>
  </si>
  <si>
    <t>Serv.Prest. 12/01/2026 a 18/01/2026 - RPS: 2035 - NFSe: 109</t>
  </si>
  <si>
    <t>Serv.Prest. 12/01/2026 a 18/01/2026 - RPS: 2036 - NFSe: 110</t>
  </si>
  <si>
    <t>Serv.Prest. 12/01/2026 a 18/01/2026 - RPS: 2037 - NFSe: 111</t>
  </si>
  <si>
    <t>Serv.Prest. 12/01/2026 a 18/01/2026 - RPS: 2038 - NFSe: 112</t>
  </si>
  <si>
    <t>Serv.Prest. 12/01/2026 a 18/01/2026 - RPS: 2039 - NFSe: 113</t>
  </si>
  <si>
    <t>Serv.Prest. 12/01/2026 a 18/01/2026 - RPS: 2040 - NFSe: 114</t>
  </si>
  <si>
    <t>Serv.Prest. 12/01/2026 a 18/01/2026 - RPS: 2041 - NFSe: 115</t>
  </si>
  <si>
    <t>Serv.Prest. 12/01/2026 a 18/01/2026 - RPS: 2042 - NFSe: 116</t>
  </si>
  <si>
    <t>Serv.Prest. 12/01/2026 a 18/01/2026 - RPS: 2046 - NFSe: 120</t>
  </si>
  <si>
    <t>Serv.Prest. 12/01/2026 a 18/01/2026 - RPS: 2047 - NFSe: 121</t>
  </si>
  <si>
    <t>Serv.Prest. 12/01/2026 a 18/01/2026 - RPS: 2049 - NFSe: 123</t>
  </si>
  <si>
    <t>Serv.Prest. 12/01/2026 a 18/01/2026 - RPS: 2055 - NFSe: 129</t>
  </si>
  <si>
    <t>Serv.Prest. 12/01/2026 a 18/01/2026 - RPS: 2056 - NFSe: 130</t>
  </si>
  <si>
    <t>Serv.Prest. 12/01/2026 a 18/01/2026 - RPS: 2057 - NFSe: 131</t>
  </si>
  <si>
    <t>Serv.Prest. 12/01/2026 a 18/01/2026 - RPS: 2059 - NFSe: 133</t>
  </si>
  <si>
    <t>Serv.Prest. 12/01/2026 a 18/01/2026 - RPS: 2062 - NFSe: 136</t>
  </si>
  <si>
    <t>Serv.Prest. 12/01/2026 a 18/01/2026 - RPS: 2063 - NFSe: 137</t>
  </si>
  <si>
    <t>Serv.Prest. 12/01/2026 a 18/01/2026 - RPS: 2065 - NFSe: 139</t>
  </si>
  <si>
    <t>Serv.Prest. 12/01/2026 a 18/01/2026 - RPS: 2066 - NFSe: 140</t>
  </si>
  <si>
    <t>Serv.Prest. 12/01/2026 a 18/01/2026 - RPS: 2067 - NFSe: 141</t>
  </si>
  <si>
    <t>Serv.Prest. 12/01/2026 a 18/01/2026 - RPS: 2068 - NFSe: 142</t>
  </si>
  <si>
    <t>Serv.Prest. 12/01/2026 a 18/01/2026 - RPS: 2072 - NFSe: 146</t>
  </si>
  <si>
    <t>Serv.Prest. 29/12/2025 a 04/01/2026 - RPS: 1953 - NFSe: 24</t>
  </si>
  <si>
    <t>COMISSÃO DE VENDA SETUP FARMÁCIA ROSA - CHAVE PIX: 33821159804</t>
  </si>
  <si>
    <t>Serv.Prest. 12/01/2026 a 18/01/2026 - RPS: 2051 - NFSe: 125</t>
  </si>
  <si>
    <t>Serv.Prest. 12/01/2026 a 18/01/2026 - RPS: 2058 - NFSe: 132</t>
  </si>
  <si>
    <t>Serv.Prest. 12/01/2026 a 18/01/2026 - RPS: 2048 - NFSe: 122</t>
  </si>
  <si>
    <t>Serv.Prest. 29/12/2025 a 04/01/2026 - RPS: 1956 - NFSe: 27</t>
  </si>
  <si>
    <t>Serv.Prest. 12/01/2026 a 18/01/2026 - RPS: 2054 - NFSe: 128</t>
  </si>
  <si>
    <t>Serv.Prest. 12/01/2026 a 18/01/2026 - RPS: 2074 - NFSe: 148</t>
  </si>
  <si>
    <t>Serv.Prest. 05/01/2026 a 11/01/2026 - RPS: 2026 - NFSe: 100</t>
  </si>
  <si>
    <t>Serv.Prest. 12/01/2026 a 18/01/2026 - RPS: 2077 - NFSe: 151</t>
  </si>
  <si>
    <t>TAXA BOLETO CORA (01x1,7) E (02 X 0,50)</t>
  </si>
  <si>
    <t>Serv.Prest. 05/01/2026 a 11/01/2026 - RPS: 2016 - NFSe: 90</t>
  </si>
  <si>
    <t>Serv.Prest. 12/01/2026 a 18/01/2026 - RPS: 2061 - NFSe: 135</t>
  </si>
  <si>
    <t>Serv.Prest. 12/01/2026 a 18/01/2026 - RPS: 2060 - NFSe: 134</t>
  </si>
  <si>
    <t>DESPESAS COM VIAGEM LIMEIRA</t>
  </si>
  <si>
    <t>COTA PATROCINIO - EXPOSITOR FARMACIA DO FUTURO</t>
  </si>
  <si>
    <t>Serv.Prest. 19/01/2026 a 25/01/2026 - RPS: 2120 - NFSe: 195</t>
  </si>
  <si>
    <t>Serv.Prest. 12/01/2026 a 18/01/2026 - RPS: 2073 - NFSe: 147</t>
  </si>
  <si>
    <t>Serv.Prest. 05/01/2026 a 11/01/2026 - RPS: 1983 - NFSe: 57</t>
  </si>
  <si>
    <t>Serv.Prest. 12/01/2026 a 18/01/2026 - RPS: 2069 - NFSe: 143</t>
  </si>
  <si>
    <t>Serv.Prest. 12/01/2026 a 18/01/2026 - RPS: 2070 - NFSe: 144</t>
  </si>
  <si>
    <t>Serv.Prest. 12/01/2026 a 18/01/2026 - RPS: 2071 - NFSe: 145</t>
  </si>
  <si>
    <t>Serv.Prest. 19/01/2026 a 25/01/2026 - RPS: 2108 - NFSe: 183</t>
  </si>
  <si>
    <t>Serv.Prest. 19/01/2026 a 25/01/2026 - RPS: 2110 - NFSe: 185</t>
  </si>
  <si>
    <t>Serv.Prest. 12/01/2026 a 18/01/2026 - RPS: 2064 - NFSe: 138</t>
  </si>
  <si>
    <t>Serv.Prest. 12/01/2026 a 18/01/2026 - RPS: 2043 - NFSe: 117</t>
  </si>
  <si>
    <t>Serv.Prest. 12/01/2026 a 18/01/2026 - RPS: 2044 - NFSe: 118</t>
  </si>
  <si>
    <t>Serv.Prest. 12/01/2026 a 18/01/2026 - RPS: 2045 - NFSe: 119</t>
  </si>
  <si>
    <t>Serv.Prest. 19/01/2026 a 25/01/2026 - RPS: 2078 - NFSe: 152</t>
  </si>
  <si>
    <t>Serv.Prest. 19/01/2026 a 25/01/2026 - RPS: 2079 - NFSe: 153</t>
  </si>
  <si>
    <t>Serv.Prest. 19/01/2026 a 25/01/2026 - RPS: 2080 - NFSe: 154</t>
  </si>
  <si>
    <t>Serv.Prest. 19/01/2026 a 25/01/2026 - RPS: 2081 - NFSe: 155</t>
  </si>
  <si>
    <t>Serv.Prest. 19/01/2026 a 25/01/2026 - RPS: 2082 - NFSe: 156</t>
  </si>
  <si>
    <t>Serv.Prest. 19/01/2026 a 25/01/2026 - RPS: 2083 - NFSe: 157</t>
  </si>
  <si>
    <t>Serv.Prest. 19/01/2026 a 25/01/2026 - RPS: 2087 - NFSe: 162</t>
  </si>
  <si>
    <t>Serv.Prest. 19/01/2026 a 25/01/2026 - RPS: 2088 - NFSe: 163</t>
  </si>
  <si>
    <t>Serv.Prest. 19/01/2026 a 25/01/2026 - RPS: 2089 - NFSe: 164</t>
  </si>
  <si>
    <t>Serv.Prest. 19/01/2026 a 25/01/2026 - RPS: 2091 - NFSe: 166</t>
  </si>
  <si>
    <t>Serv.Prest. 19/01/2026 a 25/01/2026 - RPS: 2092 - NFSe: 167</t>
  </si>
  <si>
    <t>Serv.Prest. 19/01/2026 a 25/01/2026 - RPS: 2093 - NFSe: 168</t>
  </si>
  <si>
    <t>Serv.Prest. 19/01/2026 a 25/01/2026 - RPS: 2094 - NFSe: 169</t>
  </si>
  <si>
    <t>Serv.Prest. 19/01/2026 a 25/01/2026 - RPS: 2095 - NFSe: 170</t>
  </si>
  <si>
    <t>Serv.Prest. 19/01/2026 a 25/01/2026 - RPS: 2096 - NFSe: 171</t>
  </si>
  <si>
    <t>Serv.Prest. 19/01/2026 a 25/01/2026 - RPS: 2097 - NFSe: 172</t>
  </si>
  <si>
    <t>Serv.Prest. 19/01/2026 a 25/01/2026 - RPS: 2098 - NFSe: 173</t>
  </si>
  <si>
    <t>Serv.Prest. 19/01/2026 a 25/01/2026 - RPS: 2099 - NFSe: 174</t>
  </si>
  <si>
    <t>Serv.Prest. 19/01/2026 a 25/01/2026 - RPS: 2100 - NFSe: 175</t>
  </si>
  <si>
    <t>Serv.Prest. 19/01/2026 a 25/01/2026 - RPS: 2102 - NFSe: 177</t>
  </si>
  <si>
    <t>Serv.Prest. 19/01/2026 a 25/01/2026 - RPS: 2104 - NFSe: 179</t>
  </si>
  <si>
    <t>Serv.Prest. 19/01/2026 a 25/01/2026 - RPS: 2106 - NFSe: 181</t>
  </si>
  <si>
    <t>Serv.Prest. 19/01/2026 a 25/01/2026 - RPS: 2109 - NFSe: 184</t>
  </si>
  <si>
    <t>Serv.Prest. 19/01/2026 a 25/01/2026 - RPS: 2111 - NFSe: 186</t>
  </si>
  <si>
    <t>Serv.Prest. 19/01/2026 a 25/01/2026 - RPS: 2114 - NFSe: 189</t>
  </si>
  <si>
    <t>Serv.Prest. 19/01/2026 a 25/01/2026 - RPS: 2116 - NFSe: 191</t>
  </si>
  <si>
    <t>Serv.Prest. 19/01/2026 a 25/01/2026 - RPS: 2117 - NFSe: 192</t>
  </si>
  <si>
    <t>Serv.Prest. 19/01/2026 a 25/01/2026 - RPS: 2121 - NFSe: 196</t>
  </si>
  <si>
    <t>Serv.Prest. 19/01/2026 a 25/01/2026 - RPS: 2124 - NFSe: 199</t>
  </si>
  <si>
    <t>Serv.Prest. 19/01/2026 a 25/01/2026 - RPS: 2125 - NFSe: 200</t>
  </si>
  <si>
    <t>Serv.Prest. 19/01/2026 a 25/01/2026 - RPS: 2126 - NFSe: 201</t>
  </si>
  <si>
    <t>Serv.Prest. 19/01/2026 a 25/01/2026 - RPS: 2128 - NFSe: 203</t>
  </si>
  <si>
    <t>DESPESAS COM VIAGENS (128)</t>
  </si>
  <si>
    <t>Serv.Prest. 19/01/2026 a 25/01/2026 - RPS: 2103 - NFSe: 178</t>
  </si>
  <si>
    <t>Serv.Prest. 19/01/2026 a 25/01/2026 - RPS: 2119 - NFSe: 194</t>
  </si>
  <si>
    <t>Serv.Prest. 19/01/2026 a 25/01/2026 - RPS: 2118 - NFSe: 193</t>
  </si>
  <si>
    <t>Serv.Prest. 19/01/2026 a 25/01/2026 - RPS: 2127 - NFSe: 202</t>
  </si>
  <si>
    <t>ALUGUEL ESCRITÓRIO ASA COWORKING FEVEREIVO/26 PIX: CNPJ: 53.740.292/0001-65</t>
  </si>
  <si>
    <t>ALUGUEL</t>
  </si>
  <si>
    <t>Serv.Prest. 12/01/2026 a 18/01/2026 - RPS: 2075 - NFSe: 149</t>
  </si>
  <si>
    <t>Serv.Prest. 26/01/2026 a 01/02/2026 - RPS: 2141 - NFSe: 217</t>
  </si>
  <si>
    <t>Serv.Prest. 19/01/2026 a 25/01/2026 - RPS: 2129 - NFSe: 204</t>
  </si>
  <si>
    <t>DESPESAS COM VIAGEM LIMEIRA E RIO CLARO/SP</t>
  </si>
  <si>
    <t>Serv.Prest. 19/01/2026 a 25/01/2026 - RPS: 2084 - NFSe: 158</t>
  </si>
  <si>
    <t>Serv.Prest. 19/01/2026 a 25/01/2026 - RPS: 2085 - NFSe: 159</t>
  </si>
  <si>
    <t>Serv.Prest. 19/01/2026 a 25/01/2026 - RPS: 2086 - NFSe: 160</t>
  </si>
  <si>
    <t>Serv.Prest. 12/01/2026 a 18/01/2026 - RPS: 2076 - NFSe: 150</t>
  </si>
  <si>
    <t>Serv.Prest. 19/01/2026 a 25/01/2026 - RPS: 2112 - NFSe: 187</t>
  </si>
  <si>
    <t>Serv.Prest. 19/01/2026 a 25/01/2026 - RPS: 2113 - NFSe: 188</t>
  </si>
  <si>
    <t>Serv.Prest. 19/01/2026 a 25/01/2026 - RPS: 2115 - NFSe: 190</t>
  </si>
  <si>
    <t>Serv.Prest. 26/01/2026 a 01/02/2026 - RPS: 2130 - NFSe: 206</t>
  </si>
  <si>
    <t>Serv.Prest. 26/01/2026 a 01/02/2026 - RPS: 2132 - NFSe: 208</t>
  </si>
  <si>
    <t>Serv.Prest. 26/01/2026 a 01/02/2026 - RPS: 2133 - NFSe: 209</t>
  </si>
  <si>
    <t>Serv.Prest. 26/01/2026 a 01/02/2026 - RPS: 2143 - NFSe: 219</t>
  </si>
  <si>
    <t>Serv.Prest. 26/01/2026 a 01/02/2026 - RPS: 2135 - NFSe: 211</t>
  </si>
  <si>
    <t>Serv.Prest. 26/01/2026 a 01/02/2026 - RPS: 2136 - NFSe: 212</t>
  </si>
  <si>
    <t>Serv.Prest. 26/01/2026 a 01/02/2026 - RPS: 2137 - NFSe: 213</t>
  </si>
  <si>
    <t>Serv.Prest. 26/01/2026 a 01/02/2026 - RPS: 2138 - NFSe: 214</t>
  </si>
  <si>
    <t>Serv.Prest. 26/01/2026 a 01/02/2026 - RPS: 2139 - NFSe: 215</t>
  </si>
  <si>
    <t>Serv.Prest. 26/01/2026 a 01/02/2026 - RPS: 2144 - NFSe: 220</t>
  </si>
  <si>
    <t>Serv.Prest. 26/01/2026 a 01/02/2026 - RPS: 2145 - NFSe: 221</t>
  </si>
  <si>
    <t>Serv.Prest. 26/01/2026 a 01/02/2026 - RPS: 2146 - NFSe: 222</t>
  </si>
  <si>
    <t>Serv.Prest. 26/01/2026 a 01/02/2026 - RPS: 2147 - NFSe: 223</t>
  </si>
  <si>
    <t>Serv.Prest. 26/01/2026 a 01/02/2026 - RPS: 2152 - NFSe: 228</t>
  </si>
  <si>
    <t>Serv.Prest. 26/01/2026 a 01/02/2026 - RPS: 2154 - NFSe: 230</t>
  </si>
  <si>
    <t>Serv.Prest. 26/01/2026 a 01/02/2026 - RPS: 2155 - NFSe: 231</t>
  </si>
  <si>
    <t>Serv.Prest. 26/01/2026 a 01/02/2026 - RPS: 2170 - NFSe: 246</t>
  </si>
  <si>
    <t>Serv.Prest. 26/01/2026 a 01/02/2026 - RPS: 2157 - NFSe: 233</t>
  </si>
  <si>
    <t>Serv.Prest. 26/01/2026 a 01/02/2026 - RPS: 2158 - NFSe: 234</t>
  </si>
  <si>
    <t>Serv.Prest. 26/01/2026 a 01/02/2026 - RPS: 2159 - NFSe: 235</t>
  </si>
  <si>
    <t>Serv.Prest. 26/01/2026 a 01/02/2026 - RPS: 2160 - NFSe: 236</t>
  </si>
  <si>
    <t>Serv.Prest. 26/01/2026 a 01/02/2026 - RPS: 2161 - NFSe: 237</t>
  </si>
  <si>
    <t>Serv.Prest. 26/01/2026 a 01/02/2026 - RPS: 2162 - NFSe: 238</t>
  </si>
  <si>
    <t>Serv.Prest. 26/01/2026 a 01/02/2026 - RPS: 2163 - NFSe: 239</t>
  </si>
  <si>
    <t>Serv.Prest. 26/01/2026 a 01/02/2026 - RPS: 2164 - NFSe: 240</t>
  </si>
  <si>
    <t>Serv.Prest. 26/01/2026 a 01/02/2026 - RPS: 2165 - NFSe: 241</t>
  </si>
  <si>
    <t>Serv.Prest. 26/01/2026 a 01/02/2026 - RPS: 2166 - NFSe: 242</t>
  </si>
  <si>
    <t>Serv.Prest. 26/01/2026 a 01/02/2026 - RPS: 2167 - NFSe: 243</t>
  </si>
  <si>
    <t>Serv.Prest. 26/01/2026 a 01/02/2026 - RPS: 2168 - NFSe: 244</t>
  </si>
  <si>
    <t>Serv.Prest. 26/01/2026 a 01/02/2026 - RPS: 2169 - NFSe: 245</t>
  </si>
  <si>
    <t>Serv.Prest. 26/01/2026 a 01/02/2026 - RPS: 2177 - NFSe: 253</t>
  </si>
  <si>
    <t>Serv.Prest. 26/01/2026 a 01/02/2026 - RPS: 2179 - NFSe: 255</t>
  </si>
  <si>
    <t>Serv.Prest. 26/01/2026 a 01/02/2026 - RPS: 2180 - NFSe: 256</t>
  </si>
  <si>
    <t>PLATAFORMA GRPRO WHIZ TECNOLOGIA JANEIRO/2026</t>
  </si>
  <si>
    <t>PLATAFORMA GRPRO JANEIRO/2026</t>
  </si>
  <si>
    <t>Serv.Prest. 26/01/2026 a 01/02/2026 - RPS: 2150 - NFSe: 226</t>
  </si>
  <si>
    <t>Serv.Prest. 26/01/2026 a 01/02/2026 - RPS: 2151 - NFSe: 227</t>
  </si>
  <si>
    <t>Serv.Prest. 01/01/2026 a 31/01/2026 - RPS: 2178 - NFSe: 254</t>
  </si>
  <si>
    <t>Serv.Prest. 26/01/2026 a 01/02/2026 - RPS: 2140 - NFSe: 216</t>
  </si>
  <si>
    <t>Serv.Prest. 26/01/2026 a 01/02/2026 - RPS: 2171 - NFSe: 247</t>
  </si>
  <si>
    <t>ASSINATURA CAPCUT</t>
  </si>
  <si>
    <t xml:space="preserve">UNIODONTO REGIONAL </t>
  </si>
  <si>
    <t xml:space="preserve">TREINAMENTO DE GESTÃO </t>
  </si>
  <si>
    <t>CURSOS E TREINAMENTOS</t>
  </si>
  <si>
    <t xml:space="preserve">DESPESAS COM VIAGEM OPERACIONAL TEOFILO OTONI </t>
  </si>
  <si>
    <t>Serv.Prest. 19/01/2026 a 25/01/2026 - RPS: 2090 - NFSe: 165</t>
  </si>
  <si>
    <t>Serv.Prest. 19/01/2026 a 25/01/2026 - RPS: 2101 - NFSe: 176</t>
  </si>
  <si>
    <t>Serv.Prest. 02/02/2026 a 08/02/2026 - RPS: 2201 - NFSe: 279</t>
  </si>
  <si>
    <t>Serv.Prest. 02/02/2026 a 08/02/2026 - RPS: 2210 - NFSe: 288</t>
  </si>
  <si>
    <t>Serv.Prest. 26/01/2026 a 01/02/2026 - RPS: 2172 - NFSe: 248</t>
  </si>
  <si>
    <t>Serv.Prest. 26/01/2026 a 01/02/2026 - RPS: 2173 - NFSe: 249</t>
  </si>
  <si>
    <t>Serv.Prest. 26/01/2026 a 01/02/2026 - RPS: 2174 - NFSe: 250</t>
  </si>
  <si>
    <t>DESPESA VIAGEM LIMEIRA</t>
  </si>
  <si>
    <t>Serv.Prest. 26/01/2026 a 01/02/2026 - RPS: 2153 - NFSe: 229</t>
  </si>
  <si>
    <t>Serv.Prest. 26/01/2026 a 01/02/2026 - RPS: 2175 - NFSe: 251</t>
  </si>
  <si>
    <t>Serv.Prest. 26/01/2026 a 01/02/2026 - RPS: 2176 - NFSe: 252</t>
  </si>
  <si>
    <t>Serv.Prest. 02/02/2026 a 08/02/2026 - RPS: 2185 - NFSe: 263</t>
  </si>
  <si>
    <t>Serv.Prest. 02/02/2026 a 08/02/2026 - RPS: 2186 - NFSe: 264</t>
  </si>
  <si>
    <t>Serv.Prest. 02/02/2026 a 08/02/2026 - RPS: 2187 - NFSe: 265</t>
  </si>
  <si>
    <t>Serv.Prest. 02/02/2026 a 08/02/2026 - RPS: 2188 - NFSe: 266</t>
  </si>
  <si>
    <t>Serv.Prest. 02/02/2026 a 08/02/2026 - RPS: 2189 - NFSe: 267</t>
  </si>
  <si>
    <t>Serv.Prest. 02/02/2026 a 08/02/2026 - RPS: 2190 - NFSe: 268</t>
  </si>
  <si>
    <t>Serv.Prest. 02/02/2026 a 08/02/2026 - RPS: 2191 - NFSe: 269</t>
  </si>
  <si>
    <t>Serv.Prest. 02/02/2026 a 08/02/2026 - RPS: 2192 - NFSe: 270</t>
  </si>
  <si>
    <t>Serv.Prest. 02/02/2026 a 08/02/2026 - RPS: 2193 - NFSe: 271</t>
  </si>
  <si>
    <t>Serv.Prest. 02/02/2026 a 08/02/2026 - RPS: 2194 - NFSe: 272</t>
  </si>
  <si>
    <t>Serv.Prest. 02/02/2026 a 08/02/2026 - RPS: 2195 - NFSe: 273</t>
  </si>
  <si>
    <t>Serv.Prest. 02/02/2026 a 08/02/2026 - RPS: 2196 - NFSe: 274</t>
  </si>
  <si>
    <t>Serv.Prest. 02/02/2026 a 08/02/2026 - RPS: 2198 - NFSe: 276</t>
  </si>
  <si>
    <t>Serv.Prest. 02/02/2026 a 08/02/2026 - RPS: 2200 - NFSe: 278</t>
  </si>
  <si>
    <t>Serv.Prest. 02/02/2026 a 08/02/2026 - RPS: 2202 - NFSe: 280</t>
  </si>
  <si>
    <t>Serv.Prest. 02/02/2026 a 08/02/2026 - RPS: 2205 - NFSe: 283</t>
  </si>
  <si>
    <t>Serv.Prest. 02/02/2026 a 08/02/2026 - RPS: 2206 - NFSe: 284</t>
  </si>
  <si>
    <t>Serv.Prest. 02/02/2026 a 08/02/2026 - RPS: 2212 - NFSe: 290</t>
  </si>
  <si>
    <t>Serv.Prest. 26/01/2026 a 01/02/2026 - RPS: 2142 - NFSe: 218</t>
  </si>
  <si>
    <t>Serv.Prest. 02/02/2026 a 08/02/2026 - RPS: 2203 - NFSe: 281</t>
  </si>
  <si>
    <t>Serv.Prest. 02/02/2026 a 08/02/2026 - RPS: 2204 - NFSe: 282</t>
  </si>
  <si>
    <t>Serv.Prest. 02/02/2026 a 08/02/2026 - RPS: 2234 - NFSe: 312</t>
  </si>
  <si>
    <t>PUBLICIDADE E PROPAGANDAS (127)</t>
  </si>
  <si>
    <t>Serv.Prest. 02/02/2026 a 08/02/2026 - RPS: 2213 - NFSe: 291</t>
  </si>
  <si>
    <t>Serv.Prest. 02/02/2026 a 08/02/2026 - RPS: 2218 - NFSe: 296</t>
  </si>
  <si>
    <t>Serv.Prest. 02/02/2026 a 08/02/2026 - RPS: 2219 - NFSe: 297</t>
  </si>
  <si>
    <t>Serv.Prest. 02/02/2026 a 08/02/2026 - RPS: 2220 - NFSe: 298</t>
  </si>
  <si>
    <t>Serv.Prest. 02/02/2026 a 08/02/2026 - RPS: 2221 - NFSe: 299</t>
  </si>
  <si>
    <t>Serv.Prest. 02/02/2026 a 08/02/2026 - RPS: 2222 - NFSe: 300</t>
  </si>
  <si>
    <t>Serv.Prest. 02/02/2026 a 08/02/2026 - RPS: 2226 - NFSe: 304</t>
  </si>
  <si>
    <t>Serv.Prest. 02/02/2026 a 08/02/2026 - RPS: 2233 - NFSe: 311</t>
  </si>
  <si>
    <t>Serv.Prest. 02/02/2026 a 08/02/2026 - RPS: 2225 - NFSe: 303</t>
  </si>
  <si>
    <t>Serv.Prest. 02/02/2026 a 08/02/2026 - RPS: 2228 - NFSe: 305</t>
  </si>
  <si>
    <t>Serv.Prest. 02/02/2026 a 08/02/2026 - RPS: 2227 - NFSe: 308</t>
  </si>
  <si>
    <t>Serv.Prest. 02/02/2026 a 08/02/2026 - RPS: 2232 - NFSe: 310</t>
  </si>
  <si>
    <t>Serv.Prest. 02/02/2026 a 08/02/2026 - RPS: 2231 - NFSe: 309</t>
  </si>
  <si>
    <t>Serv.Prest. 02/02/2026 a 08/02/2026 - RPS: 2230 - NFSe: 307</t>
  </si>
  <si>
    <t>Serv.Prest. 02/02/2026 a 08/02/2026 - RPS: 2224 - NFSe: 302</t>
  </si>
  <si>
    <t>Serv.Prest. 29/12/2025 a 04/01/2026 - RPS: 1933 - NFSe: 6</t>
  </si>
  <si>
    <t>Serv.Prest. 02/02/2026 a 08/02/2026 - RPS: 2216 - NFSe: 294</t>
  </si>
  <si>
    <t>Serv.Prest. 02/02/2026 a 08/02/2026 - RPS: 2215 - NFSe: 293</t>
  </si>
  <si>
    <t>Serv.Prest. 02/02/2026 a 08/02/2026 - RPS: 2182 - NFSe: 260</t>
  </si>
  <si>
    <t>Serv.Prest. 02/02/2026 a 08/02/2026 - RPS: 2183 - NFSe: 261</t>
  </si>
  <si>
    <t>Serv.Prest. 02/02/2026 a 08/02/2026 - RPS: 2184 - NFSe: 262</t>
  </si>
  <si>
    <t>Serv.Prest. 09/02/2026 a 15/02/2026 - RPS: 2238 - NFSe: 316</t>
  </si>
  <si>
    <t>Serv.Prest. 09/02/2026 a 15/02/2026 - RPS: 2240 - NFSe: 318</t>
  </si>
  <si>
    <t>Serv.Prest. 09/02/2026 a 15/02/2026 - RPS: 2241 - NFSe: 319</t>
  </si>
  <si>
    <t>Serv.Prest. 09/02/2026 a 15/02/2026 - RPS: 2242 - NFSe: 320</t>
  </si>
  <si>
    <t>Serv.Prest. 09/02/2026 a 15/02/2026 - RPS: 2243 - NFSe: 321</t>
  </si>
  <si>
    <t>Serv.Prest. 09/02/2026 a 15/02/2026 - RPS: 2244 - NFSe: 322</t>
  </si>
  <si>
    <t>Serv.Prest. 09/02/2026 a 15/02/2026 - RPS: 2245 - NFSe: 323</t>
  </si>
  <si>
    <t>Serv.Prest. 09/02/2026 a 15/02/2026 - RPS: 2246 - NFSe: 324</t>
  </si>
  <si>
    <t>Serv.Prest. 09/02/2026 a 15/02/2026 - RPS: 2247 - NFSe: 325</t>
  </si>
  <si>
    <t>Serv.Prest. 09/02/2026 a 15/02/2026 - RPS: 2248 - NFSe: 326</t>
  </si>
  <si>
    <t>Serv.Prest. 09/02/2026 a 15/02/2026 - RPS: 2250 - NFSe: 328</t>
  </si>
  <si>
    <t>Serv.Prest. 09/02/2026 a 15/02/2026 - RPS: 2251 - NFSe: 329</t>
  </si>
  <si>
    <t>Serv.Prest. 09/02/2026 a 15/02/2026 - RPS: 2252 - NFSe: 330</t>
  </si>
  <si>
    <t>Serv.Prest. 09/02/2026 a 15/02/2026 - RPS: 2253 - NFSe: 331</t>
  </si>
  <si>
    <t>Serv.Prest. 09/02/2026 a 15/02/2026 - RPS: 2254 - NFSe: 332</t>
  </si>
  <si>
    <t>Serv.Prest. 09/02/2026 a 15/02/2026 - RPS: 2257 - NFSe: 335</t>
  </si>
  <si>
    <t>Serv.Prest. 09/02/2026 a 15/02/2026 - RPS: 2259 - NFSe: 337</t>
  </si>
  <si>
    <t>Serv.Prest. 09/02/2026 a 15/02/2026 - RPS: 2258 - NFSe: 336</t>
  </si>
  <si>
    <t>Serv.Prest. 09/02/2026 a 15/02/2026 - RPS: 2260 - NFSe: 338</t>
  </si>
  <si>
    <t>Serv.Prest. 09/02/2026 a 15/02/2026 - RPS: 2262 - NFSe: 340</t>
  </si>
  <si>
    <t>Serv.Prest. 09/02/2026 a 15/02/2026 - RPS: 2263 - NFSe: 341</t>
  </si>
  <si>
    <t>Serv.Prest. 09/02/2026 a 15/02/2026 - RPS: 2265 - NFSe: 343</t>
  </si>
  <si>
    <t>Serv.Prest. 09/02/2026 a 15/02/2026 - RPS: 2266 - NFSe: 344</t>
  </si>
  <si>
    <t>Serv.Prest. 09/02/2026 a 15/02/2026 - RPS: 2267 - NFSe: 345</t>
  </si>
  <si>
    <t>Serv.Prest. 09/02/2026 a 15/02/2026 - RPS: 2268 - NFSe: 346</t>
  </si>
  <si>
    <t>Serv.Prest. 09/02/2026 a 15/02/2026 - RPS: 2269 - NFSe: 347</t>
  </si>
  <si>
    <t>Serv.Prest. 09/02/2026 a 15/02/2026 - RPS: 2270 - NFSe: 348</t>
  </si>
  <si>
    <t>Serv.Prest. 09/02/2026 a 15/02/2026 - RPS: 2271 - NFSe: 349</t>
  </si>
  <si>
    <t>Serv.Prest. 09/02/2026 a 15/02/2026 - RPS: 2272 - NFSe: 350</t>
  </si>
  <si>
    <t>Serv.Prest. 09/02/2026 a 15/02/2026 - RPS: 2273 - NFSe: 351</t>
  </si>
  <si>
    <t>Serv.Prest. 09/02/2026 a 15/02/2026 - RPS: 2274 - NFSe: 352</t>
  </si>
  <si>
    <t>Serv.Prest. 09/02/2026 a 15/02/2026 - RPS: 2275 - NFSe: 353</t>
  </si>
  <si>
    <t>Serv.Prest. 09/02/2026 a 15/02/2026 - RPS: 2276 - NFSe: 354</t>
  </si>
  <si>
    <t>Serv.Prest. 09/02/2026 a 15/02/2026 - RPS: 2277 - NFSe: 355</t>
  </si>
  <si>
    <t>Serv.Prest. 09/02/2026 a 15/02/2026 - RPS: 2278 - NFSe: 356</t>
  </si>
  <si>
    <t>Serv.Prest. 09/02/2026 a 15/02/2026 - RPS: 2279 - NFSe: 357</t>
  </si>
  <si>
    <t>Serv.Prest. 09/02/2026 a 15/02/2026 - RPS: 2284 - NFSe: 362</t>
  </si>
  <si>
    <t>LOCAÇÃO AIRBNB PARA FEIRA EM SAO PAULO</t>
  </si>
  <si>
    <t>DESPESAS COM EVENTOS (129)</t>
  </si>
  <si>
    <t>Serv.Prest. 09/02/2026 a 15/02/2026 - RPS: 2255 - NFSe: 333</t>
  </si>
  <si>
    <t>Serv.Prest. 09/02/2026 a 15/02/2026 - RPS: 2256 - NFSe: 334</t>
  </si>
  <si>
    <t>Serv.Prest. 02/02/2026 a 08/02/2026 - RPS: 2217 - NFSe: 295</t>
  </si>
  <si>
    <t>Serv.Prest. 09/02/2026 a 15/02/2026 - RPS: 2239 - NFSe: 317</t>
  </si>
  <si>
    <t>Serv.Prest. 09/02/2026 a 15/02/2026 - RPS: 2264 - NFSe: 342</t>
  </si>
  <si>
    <t>SIMPLES NACIONAL MES JANEIRO/2026</t>
  </si>
  <si>
    <t>Serv.Prest. 26/01/2026 a 01/02/2026 - RPS: 2148 - NFSe: 224</t>
  </si>
  <si>
    <t>Serv.Prest. 26/01/2026 a 01/02/2026 - RPS: 2149 - NFSe: 225</t>
  </si>
  <si>
    <t>Serv.Prest. 02/02/2026 a 08/02/2026 - RPS: 2197 - NFSe: 275</t>
  </si>
  <si>
    <t>Serv.Prest. 09/02/2026 a 15/02/2026 - RPS: 2282 - NFSe: 360</t>
  </si>
  <si>
    <t>Serv.Prest. 09/02/2026 a 15/02/2026 - RPS: 2283 - NFSe: 361</t>
  </si>
  <si>
    <t>Serv.Prest. 09/02/2026 a 15/02/2026 - RPS: 2286 - NFSe: 364</t>
  </si>
  <si>
    <t>BANNER CHAVE PIX: CNPJ: 47.141.511/0001-97</t>
  </si>
  <si>
    <t>Serv.Prest. 21/07/2025 a 27/07/2025 - RPS: 1058 - NFSe: 3291</t>
  </si>
  <si>
    <t>Serv.Prest. 28/07/2025 a 03/08/2025 - RPS: 1087 - NFSe: 3321</t>
  </si>
  <si>
    <t>Serv.Prest. 04/08/2025 a 10/08/2025 - RPS: 1101 - NFSe: 3335</t>
  </si>
  <si>
    <t>Serv.Prest. 09/02/2026 a 15/02/2026 - RPS: 2249 - NFSe: 327</t>
  </si>
  <si>
    <t>Serv.Prest. 02/02/2026 a 08/02/2026 - RPS: 2229 - NFSe: 306</t>
  </si>
  <si>
    <t>Serv.Prest. 16/02/2026 a 22/02/2026 - RPS: 2306 - NFSe: 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</si>
</sst>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72"/>
  <sheetViews>
    <sheetView tabSelected="1" workbookViewId="0">
      <pane activePane="bottomRight" state="frozen"/>
      <selection activeCell="H1258" sqref="H1258"/>
    </sheetView>
  </sheetViews>
  <sheetFormatPr defaultColWidth="9.109375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 t="shared" ref="A2:A33" si="0">("02/01/2026")</f>
        <v>02/01/2026</v>
      </c>
      <c r="B2" t="str">
        <f>"SAÍDA"</f>
        <v>SAÍDA</v>
      </c>
      <c r="C2" t="str">
        <f>"BOLETO"</f>
        <v>BOLETO</v>
      </c>
      <c r="D2" t="str">
        <f>"19983"</f>
        <v>19983</v>
      </c>
      <c r="E2" t="str">
        <f>"10"</f>
        <v>10</v>
      </c>
      <c r="F2" t="str">
        <f t="shared" ref="F2:F33" si="1">"COM"</f>
        <v>COM</v>
      </c>
      <c r="G2" t="str">
        <f>"SUL AMERICA COMPANHIA DE SEGURO SAUDE (20080)"</f>
        <v>SUL AMERICA COMPANHIA DE SEGURO SAUDE (20080)</v>
      </c>
      <c r="H2" t="str">
        <f>"CONVENIO MEDICO SOCIOS E DEPENDENTES"</f>
        <v>CONVENIO MEDICO SOCIOS E DEPENDENTES</v>
      </c>
      <c r="I2" t="str">
        <f>("02/01/2026")</f>
        <v>02/01/2026</v>
      </c>
      <c r="J2" t="str">
        <f>("09/12/2025")</f>
        <v>09/12/2025</v>
      </c>
      <c r="K2" t="str">
        <f>("02/01/2026")</f>
        <v>02/01/2026</v>
      </c>
      <c r="L2">
        <v>3062.22</v>
      </c>
      <c r="M2">
        <v>3062.22</v>
      </c>
      <c r="N2">
        <v>192</v>
      </c>
      <c r="O2" t="str">
        <f>"PLANOS E SEGUROS"</f>
        <v>PLANOS E SEGUROS</v>
      </c>
      <c r="P2">
        <v>3062.22</v>
      </c>
      <c r="S2" t="str">
        <f>"BANCO CORA (102)"</f>
        <v>BANCO CORA (102)</v>
      </c>
      <c r="T2">
        <v>3695</v>
      </c>
      <c r="U2">
        <v>2213</v>
      </c>
      <c r="V2" t="s">
        <v>22</v>
      </c>
    </row>
    <row r="3" spans="1:22">
      <c r="A3" t="str">
        <f t="shared" si="0"/>
        <v>02/01/2026</v>
      </c>
      <c r="B3" t="str">
        <f>"SAÍDA"</f>
        <v>SAÍDA</v>
      </c>
      <c r="C3" t="str">
        <f>"BOLETO"</f>
        <v>BOLETO</v>
      </c>
      <c r="D3" t="str">
        <f>"19983"</f>
        <v>19983</v>
      </c>
      <c r="E3" t="str">
        <f>"10"</f>
        <v>10</v>
      </c>
      <c r="F3" t="str">
        <f t="shared" si="1"/>
        <v>COM</v>
      </c>
      <c r="G3" t="str">
        <f>"SUL AMERICA COMPANHIA DE SEGURO SAUDE (20080)"</f>
        <v>SUL AMERICA COMPANHIA DE SEGURO SAUDE (20080)</v>
      </c>
      <c r="H3" t="s">
        <v>23</v>
      </c>
      <c r="I3" t="str">
        <f>("02/01/2026")</f>
        <v>02/01/2026</v>
      </c>
      <c r="J3" t="str">
        <f>("09/12/2025")</f>
        <v>09/12/2025</v>
      </c>
      <c r="K3">
        <v>46024</v>
      </c>
      <c r="N3">
        <v>192</v>
      </c>
      <c r="O3" t="s">
        <v>24</v>
      </c>
      <c r="Q3">
        <v>3062.22</v>
      </c>
      <c r="R3" t="str">
        <f>"SUL AMERICA COMPANHIA DE SEGURO SAUDE (20080)"</f>
        <v>SUL AMERICA COMPANHIA DE SEGURO SAUDE (20080)</v>
      </c>
      <c r="S3" t="s">
        <v>22</v>
      </c>
      <c r="T3">
        <v>3695</v>
      </c>
      <c r="U3">
        <v>2213</v>
      </c>
      <c r="V3" t="s">
        <v>22</v>
      </c>
    </row>
    <row r="4" spans="1:22">
      <c r="A4" t="str">
        <f t="shared" si="0"/>
        <v>02/01/2026</v>
      </c>
      <c r="B4" t="str">
        <f t="shared" ref="B4:B35" si="2">"ENTRADA"</f>
        <v>ENTRADA</v>
      </c>
      <c r="C4" t="str">
        <f t="shared" ref="C4:C35" si="3">"NFSE"</f>
        <v>NFSE</v>
      </c>
      <c r="D4" t="str">
        <f t="shared" ref="D4:D51" si="4">"4111"</f>
        <v>4111</v>
      </c>
      <c r="E4" t="str">
        <f t="shared" ref="E4:E35" si="5">"1"</f>
        <v>1</v>
      </c>
      <c r="F4" t="str">
        <f t="shared" si="1"/>
        <v>COM</v>
      </c>
      <c r="G4" t="str">
        <f t="shared" ref="G4:G51" si="6">"FARMÁCIA INDIANA LJ 1 (10126)"</f>
        <v>FARMÁCIA INDIANA LJ 1 (10126)</v>
      </c>
      <c r="H4" t="str">
        <f>"Serv.Prest. 15/12/2025 a 21/12/2025 - RPS: 1873 - NFSe: 4111"</f>
        <v>Serv.Prest. 15/12/2025 a 21/12/2025 - RPS: 1873 - NFSe: 4111</v>
      </c>
      <c r="I4" t="str">
        <f t="shared" ref="I4:I35" si="7">("31/12/2025")</f>
        <v>31/12/2025</v>
      </c>
      <c r="J4" t="str">
        <f t="shared" ref="J4:J35" si="8">("23/12/2025")</f>
        <v>23/12/2025</v>
      </c>
      <c r="K4" t="str">
        <f>("02/01/2026")</f>
        <v>02/01/2026</v>
      </c>
      <c r="L4">
        <v>12858.01</v>
      </c>
      <c r="M4">
        <v>12858.01</v>
      </c>
      <c r="N4">
        <v>303</v>
      </c>
      <c r="O4" t="str">
        <f>"RECEITAS COM ENTREGAS"</f>
        <v>RECEITAS COM ENTREGAS</v>
      </c>
      <c r="P4">
        <v>12858.01</v>
      </c>
      <c r="S4" t="str">
        <f>"RECEITAS COM ENTREGAS (303)"</f>
        <v>RECEITAS COM ENTREGAS (303)</v>
      </c>
      <c r="T4">
        <v>3696</v>
      </c>
      <c r="U4">
        <v>3129</v>
      </c>
      <c r="V4" t="s">
        <v>22</v>
      </c>
    </row>
    <row r="5" spans="1:22">
      <c r="A5" t="str">
        <f t="shared" si="0"/>
        <v>02/01/2026</v>
      </c>
      <c r="B5" t="str">
        <f t="shared" si="2"/>
        <v>ENTRADA</v>
      </c>
      <c r="C5" t="str">
        <f t="shared" si="3"/>
        <v>NFSE</v>
      </c>
      <c r="D5" t="str">
        <f t="shared" si="4"/>
        <v>4111</v>
      </c>
      <c r="E5" t="str">
        <f t="shared" si="5"/>
        <v>1</v>
      </c>
      <c r="F5" t="str">
        <f t="shared" si="1"/>
        <v>COM</v>
      </c>
      <c r="G5" t="str">
        <f t="shared" si="6"/>
        <v>FARMÁCIA INDIANA LJ 1 (10126)</v>
      </c>
      <c r="H5" t="s">
        <v>25</v>
      </c>
      <c r="I5" t="str">
        <f t="shared" si="7"/>
        <v>31/12/2025</v>
      </c>
      <c r="J5" t="str">
        <f t="shared" si="8"/>
        <v>23/12/2025</v>
      </c>
      <c r="K5">
        <v>46024</v>
      </c>
      <c r="N5">
        <v>303</v>
      </c>
      <c r="O5" t="s">
        <v>26</v>
      </c>
      <c r="Q5">
        <v>1897.83</v>
      </c>
      <c r="R5" t="str">
        <f>"FARMÁCIA INDIANA LJ 06 (10006)"</f>
        <v>FARMÁCIA INDIANA LJ 06 (10006)</v>
      </c>
      <c r="S5" t="s">
        <v>27</v>
      </c>
      <c r="T5">
        <v>3696</v>
      </c>
      <c r="U5">
        <v>3129</v>
      </c>
      <c r="V5" t="s">
        <v>22</v>
      </c>
    </row>
    <row r="6" spans="1:22">
      <c r="A6" t="str">
        <f t="shared" si="0"/>
        <v>02/01/2026</v>
      </c>
      <c r="B6" t="str">
        <f t="shared" si="2"/>
        <v>ENTRADA</v>
      </c>
      <c r="C6" t="str">
        <f t="shared" si="3"/>
        <v>NFSE</v>
      </c>
      <c r="D6" t="str">
        <f t="shared" si="4"/>
        <v>4111</v>
      </c>
      <c r="E6" t="str">
        <f t="shared" si="5"/>
        <v>1</v>
      </c>
      <c r="F6" t="str">
        <f t="shared" si="1"/>
        <v>COM</v>
      </c>
      <c r="G6" t="str">
        <f t="shared" si="6"/>
        <v>FARMÁCIA INDIANA LJ 1 (10126)</v>
      </c>
      <c r="H6" t="s">
        <v>25</v>
      </c>
      <c r="I6" t="str">
        <f t="shared" si="7"/>
        <v>31/12/2025</v>
      </c>
      <c r="J6" t="str">
        <f t="shared" si="8"/>
        <v>23/12/2025</v>
      </c>
      <c r="K6">
        <v>46024</v>
      </c>
      <c r="N6">
        <v>303</v>
      </c>
      <c r="O6" t="s">
        <v>26</v>
      </c>
      <c r="Q6">
        <v>1407.95</v>
      </c>
      <c r="R6" t="str">
        <f>"FARMÁCIA INDIANA LJ 07 (10007)"</f>
        <v>FARMÁCIA INDIANA LJ 07 (10007)</v>
      </c>
      <c r="S6" t="s">
        <v>27</v>
      </c>
      <c r="T6">
        <v>3696</v>
      </c>
      <c r="U6">
        <v>3129</v>
      </c>
      <c r="V6" t="s">
        <v>22</v>
      </c>
    </row>
    <row r="7" spans="1:22">
      <c r="A7" t="str">
        <f t="shared" si="0"/>
        <v>02/01/2026</v>
      </c>
      <c r="B7" t="str">
        <f t="shared" si="2"/>
        <v>ENTRADA</v>
      </c>
      <c r="C7" t="str">
        <f t="shared" si="3"/>
        <v>NFSE</v>
      </c>
      <c r="D7" t="str">
        <f t="shared" si="4"/>
        <v>4111</v>
      </c>
      <c r="E7" t="str">
        <f t="shared" si="5"/>
        <v>1</v>
      </c>
      <c r="F7" t="str">
        <f t="shared" si="1"/>
        <v>COM</v>
      </c>
      <c r="G7" t="str">
        <f t="shared" si="6"/>
        <v>FARMÁCIA INDIANA LJ 1 (10126)</v>
      </c>
      <c r="H7" t="s">
        <v>25</v>
      </c>
      <c r="I7" t="str">
        <f t="shared" si="7"/>
        <v>31/12/2025</v>
      </c>
      <c r="J7" t="str">
        <f t="shared" si="8"/>
        <v>23/12/2025</v>
      </c>
      <c r="K7">
        <v>46024</v>
      </c>
      <c r="N7">
        <v>303</v>
      </c>
      <c r="O7" t="s">
        <v>26</v>
      </c>
      <c r="Q7">
        <v>945.06</v>
      </c>
      <c r="R7" t="str">
        <f>"FARMÁCIA INDIANA LJ 11 (10008)"</f>
        <v>FARMÁCIA INDIANA LJ 11 (10008)</v>
      </c>
      <c r="S7" t="s">
        <v>27</v>
      </c>
      <c r="T7">
        <v>3696</v>
      </c>
      <c r="U7">
        <v>3129</v>
      </c>
      <c r="V7" t="s">
        <v>22</v>
      </c>
    </row>
    <row r="8" spans="1:22">
      <c r="A8" t="str">
        <f t="shared" si="0"/>
        <v>02/01/2026</v>
      </c>
      <c r="B8" t="str">
        <f t="shared" si="2"/>
        <v>ENTRADA</v>
      </c>
      <c r="C8" t="str">
        <f t="shared" si="3"/>
        <v>NFSE</v>
      </c>
      <c r="D8" t="str">
        <f t="shared" si="4"/>
        <v>4111</v>
      </c>
      <c r="E8" t="str">
        <f t="shared" si="5"/>
        <v>1</v>
      </c>
      <c r="F8" t="str">
        <f t="shared" si="1"/>
        <v>COM</v>
      </c>
      <c r="G8" t="str">
        <f t="shared" si="6"/>
        <v>FARMÁCIA INDIANA LJ 1 (10126)</v>
      </c>
      <c r="H8" t="s">
        <v>25</v>
      </c>
      <c r="I8" t="str">
        <f t="shared" si="7"/>
        <v>31/12/2025</v>
      </c>
      <c r="J8" t="str">
        <f t="shared" si="8"/>
        <v>23/12/2025</v>
      </c>
      <c r="K8">
        <v>46024</v>
      </c>
      <c r="N8">
        <v>303</v>
      </c>
      <c r="O8" t="s">
        <v>26</v>
      </c>
      <c r="Q8">
        <v>411.46</v>
      </c>
      <c r="R8" t="str">
        <f>"FARMÁCIA INDIANA LJ 14 (10009)"</f>
        <v>FARMÁCIA INDIANA LJ 14 (10009)</v>
      </c>
      <c r="S8" t="s">
        <v>27</v>
      </c>
      <c r="T8">
        <v>3696</v>
      </c>
      <c r="U8">
        <v>3129</v>
      </c>
      <c r="V8" t="s">
        <v>22</v>
      </c>
    </row>
    <row r="9" spans="1:22">
      <c r="A9" t="str">
        <f t="shared" si="0"/>
        <v>02/01/2026</v>
      </c>
      <c r="B9" t="str">
        <f t="shared" si="2"/>
        <v>ENTRADA</v>
      </c>
      <c r="C9" t="str">
        <f t="shared" si="3"/>
        <v>NFSE</v>
      </c>
      <c r="D9" t="str">
        <f t="shared" si="4"/>
        <v>4111</v>
      </c>
      <c r="E9" t="str">
        <f t="shared" si="5"/>
        <v>1</v>
      </c>
      <c r="F9" t="str">
        <f t="shared" si="1"/>
        <v>COM</v>
      </c>
      <c r="G9" t="str">
        <f t="shared" si="6"/>
        <v>FARMÁCIA INDIANA LJ 1 (10126)</v>
      </c>
      <c r="H9" t="s">
        <v>25</v>
      </c>
      <c r="I9" t="str">
        <f t="shared" si="7"/>
        <v>31/12/2025</v>
      </c>
      <c r="J9" t="str">
        <f t="shared" si="8"/>
        <v>23/12/2025</v>
      </c>
      <c r="K9">
        <v>46024</v>
      </c>
      <c r="N9">
        <v>303</v>
      </c>
      <c r="O9" t="s">
        <v>26</v>
      </c>
      <c r="Q9">
        <v>249.45</v>
      </c>
      <c r="R9" t="str">
        <f>"FARMÁCIA INDIANA LJ 18 (10011)"</f>
        <v>FARMÁCIA INDIANA LJ 18 (10011)</v>
      </c>
      <c r="S9" t="s">
        <v>27</v>
      </c>
      <c r="T9">
        <v>3696</v>
      </c>
      <c r="U9">
        <v>3129</v>
      </c>
      <c r="V9" t="s">
        <v>22</v>
      </c>
    </row>
    <row r="10" spans="1:22">
      <c r="A10" t="str">
        <f t="shared" si="0"/>
        <v>02/01/2026</v>
      </c>
      <c r="B10" t="str">
        <f t="shared" si="2"/>
        <v>ENTRADA</v>
      </c>
      <c r="C10" t="str">
        <f t="shared" si="3"/>
        <v>NFSE</v>
      </c>
      <c r="D10" t="str">
        <f t="shared" si="4"/>
        <v>4111</v>
      </c>
      <c r="E10" t="str">
        <f t="shared" si="5"/>
        <v>1</v>
      </c>
      <c r="F10" t="str">
        <f t="shared" si="1"/>
        <v>COM</v>
      </c>
      <c r="G10" t="str">
        <f t="shared" si="6"/>
        <v>FARMÁCIA INDIANA LJ 1 (10126)</v>
      </c>
      <c r="H10" t="s">
        <v>25</v>
      </c>
      <c r="I10" t="str">
        <f t="shared" si="7"/>
        <v>31/12/2025</v>
      </c>
      <c r="J10" t="str">
        <f t="shared" si="8"/>
        <v>23/12/2025</v>
      </c>
      <c r="K10">
        <v>46024</v>
      </c>
      <c r="N10">
        <v>303</v>
      </c>
      <c r="O10" t="s">
        <v>26</v>
      </c>
      <c r="Q10">
        <v>352.31</v>
      </c>
      <c r="R10" t="str">
        <f>"FARMÁCIA INDIANA LJ 19 (10012)"</f>
        <v>FARMÁCIA INDIANA LJ 19 (10012)</v>
      </c>
      <c r="S10" t="s">
        <v>27</v>
      </c>
      <c r="T10">
        <v>3696</v>
      </c>
      <c r="U10">
        <v>3129</v>
      </c>
      <c r="V10" t="s">
        <v>22</v>
      </c>
    </row>
    <row r="11" spans="1:22">
      <c r="A11" t="str">
        <f t="shared" si="0"/>
        <v>02/01/2026</v>
      </c>
      <c r="B11" t="str">
        <f t="shared" si="2"/>
        <v>ENTRADA</v>
      </c>
      <c r="C11" t="str">
        <f t="shared" si="3"/>
        <v>NFSE</v>
      </c>
      <c r="D11" t="str">
        <f t="shared" si="4"/>
        <v>4111</v>
      </c>
      <c r="E11" t="str">
        <f t="shared" si="5"/>
        <v>1</v>
      </c>
      <c r="F11" t="str">
        <f t="shared" si="1"/>
        <v>COM</v>
      </c>
      <c r="G11" t="str">
        <f t="shared" si="6"/>
        <v>FARMÁCIA INDIANA LJ 1 (10126)</v>
      </c>
      <c r="H11" t="s">
        <v>25</v>
      </c>
      <c r="I11" t="str">
        <f t="shared" si="7"/>
        <v>31/12/2025</v>
      </c>
      <c r="J11" t="str">
        <f t="shared" si="8"/>
        <v>23/12/2025</v>
      </c>
      <c r="K11">
        <v>46024</v>
      </c>
      <c r="N11">
        <v>303</v>
      </c>
      <c r="O11" t="s">
        <v>26</v>
      </c>
      <c r="Q11">
        <v>561.9</v>
      </c>
      <c r="R11" t="str">
        <f>"FARMÁCIA INDIANA LJ 40 (10016)"</f>
        <v>FARMÁCIA INDIANA LJ 40 (10016)</v>
      </c>
      <c r="S11" t="s">
        <v>27</v>
      </c>
      <c r="T11">
        <v>3696</v>
      </c>
      <c r="U11">
        <v>3129</v>
      </c>
      <c r="V11" t="s">
        <v>22</v>
      </c>
    </row>
    <row r="12" spans="1:22">
      <c r="A12" t="str">
        <f t="shared" si="0"/>
        <v>02/01/2026</v>
      </c>
      <c r="B12" t="str">
        <f t="shared" si="2"/>
        <v>ENTRADA</v>
      </c>
      <c r="C12" t="str">
        <f t="shared" si="3"/>
        <v>NFSE</v>
      </c>
      <c r="D12" t="str">
        <f t="shared" si="4"/>
        <v>4111</v>
      </c>
      <c r="E12" t="str">
        <f t="shared" si="5"/>
        <v>1</v>
      </c>
      <c r="F12" t="str">
        <f t="shared" si="1"/>
        <v>COM</v>
      </c>
      <c r="G12" t="str">
        <f t="shared" si="6"/>
        <v>FARMÁCIA INDIANA LJ 1 (10126)</v>
      </c>
      <c r="H12" t="s">
        <v>25</v>
      </c>
      <c r="I12" t="str">
        <f t="shared" si="7"/>
        <v>31/12/2025</v>
      </c>
      <c r="J12" t="str">
        <f t="shared" si="8"/>
        <v>23/12/2025</v>
      </c>
      <c r="K12">
        <v>46024</v>
      </c>
      <c r="N12">
        <v>303</v>
      </c>
      <c r="O12" t="s">
        <v>26</v>
      </c>
      <c r="Q12">
        <v>192.87</v>
      </c>
      <c r="R12" t="str">
        <f>"FARMÁCIA INDIANA LJ 59 (10026)"</f>
        <v>FARMÁCIA INDIANA LJ 59 (10026)</v>
      </c>
      <c r="S12" t="s">
        <v>27</v>
      </c>
      <c r="T12">
        <v>3696</v>
      </c>
      <c r="U12">
        <v>3129</v>
      </c>
      <c r="V12" t="s">
        <v>22</v>
      </c>
    </row>
    <row r="13" spans="1:22">
      <c r="A13" t="str">
        <f t="shared" si="0"/>
        <v>02/01/2026</v>
      </c>
      <c r="B13" t="str">
        <f t="shared" si="2"/>
        <v>ENTRADA</v>
      </c>
      <c r="C13" t="str">
        <f t="shared" si="3"/>
        <v>NFSE</v>
      </c>
      <c r="D13" t="str">
        <f t="shared" si="4"/>
        <v>4111</v>
      </c>
      <c r="E13" t="str">
        <f t="shared" si="5"/>
        <v>1</v>
      </c>
      <c r="F13" t="str">
        <f t="shared" si="1"/>
        <v>COM</v>
      </c>
      <c r="G13" t="str">
        <f t="shared" si="6"/>
        <v>FARMÁCIA INDIANA LJ 1 (10126)</v>
      </c>
      <c r="H13" t="s">
        <v>25</v>
      </c>
      <c r="I13" t="str">
        <f t="shared" si="7"/>
        <v>31/12/2025</v>
      </c>
      <c r="J13" t="str">
        <f t="shared" si="8"/>
        <v>23/12/2025</v>
      </c>
      <c r="K13">
        <v>46024</v>
      </c>
      <c r="N13">
        <v>303</v>
      </c>
      <c r="O13" t="s">
        <v>26</v>
      </c>
      <c r="Q13">
        <v>505.32</v>
      </c>
      <c r="R13" t="str">
        <f>"FARMÁCIA INDIANA LJ 61 (10027)"</f>
        <v>FARMÁCIA INDIANA LJ 61 (10027)</v>
      </c>
      <c r="S13" t="s">
        <v>27</v>
      </c>
      <c r="T13">
        <v>3696</v>
      </c>
      <c r="U13">
        <v>3129</v>
      </c>
      <c r="V13" t="s">
        <v>22</v>
      </c>
    </row>
    <row r="14" spans="1:22">
      <c r="A14" t="str">
        <f t="shared" si="0"/>
        <v>02/01/2026</v>
      </c>
      <c r="B14" t="str">
        <f t="shared" si="2"/>
        <v>ENTRADA</v>
      </c>
      <c r="C14" t="str">
        <f t="shared" si="3"/>
        <v>NFSE</v>
      </c>
      <c r="D14" t="str">
        <f t="shared" si="4"/>
        <v>4111</v>
      </c>
      <c r="E14" t="str">
        <f t="shared" si="5"/>
        <v>1</v>
      </c>
      <c r="F14" t="str">
        <f t="shared" si="1"/>
        <v>COM</v>
      </c>
      <c r="G14" t="str">
        <f t="shared" si="6"/>
        <v>FARMÁCIA INDIANA LJ 1 (10126)</v>
      </c>
      <c r="H14" t="s">
        <v>25</v>
      </c>
      <c r="I14" t="str">
        <f t="shared" si="7"/>
        <v>31/12/2025</v>
      </c>
      <c r="J14" t="str">
        <f t="shared" si="8"/>
        <v>23/12/2025</v>
      </c>
      <c r="K14">
        <v>46024</v>
      </c>
      <c r="N14">
        <v>303</v>
      </c>
      <c r="O14" t="s">
        <v>26</v>
      </c>
      <c r="Q14">
        <v>293.16000000000003</v>
      </c>
      <c r="R14" t="str">
        <f>"FARMÁCIA INDIANA LJ 62 (10028)"</f>
        <v>FARMÁCIA INDIANA LJ 62 (10028)</v>
      </c>
      <c r="S14" t="s">
        <v>27</v>
      </c>
      <c r="T14">
        <v>3696</v>
      </c>
      <c r="U14">
        <v>3129</v>
      </c>
      <c r="V14" t="s">
        <v>22</v>
      </c>
    </row>
    <row r="15" spans="1:22">
      <c r="A15" t="str">
        <f t="shared" si="0"/>
        <v>02/01/2026</v>
      </c>
      <c r="B15" t="str">
        <f t="shared" si="2"/>
        <v>ENTRADA</v>
      </c>
      <c r="C15" t="str">
        <f t="shared" si="3"/>
        <v>NFSE</v>
      </c>
      <c r="D15" t="str">
        <f t="shared" si="4"/>
        <v>4111</v>
      </c>
      <c r="E15" t="str">
        <f t="shared" si="5"/>
        <v>1</v>
      </c>
      <c r="F15" t="str">
        <f t="shared" si="1"/>
        <v>COM</v>
      </c>
      <c r="G15" t="str">
        <f t="shared" si="6"/>
        <v>FARMÁCIA INDIANA LJ 1 (10126)</v>
      </c>
      <c r="H15" t="s">
        <v>25</v>
      </c>
      <c r="I15" t="str">
        <f t="shared" si="7"/>
        <v>31/12/2025</v>
      </c>
      <c r="J15" t="str">
        <f t="shared" si="8"/>
        <v>23/12/2025</v>
      </c>
      <c r="K15">
        <v>46024</v>
      </c>
      <c r="N15">
        <v>303</v>
      </c>
      <c r="O15" t="s">
        <v>26</v>
      </c>
      <c r="Q15">
        <v>86.15</v>
      </c>
      <c r="R15" t="str">
        <f>"FARMÁCIA INDIANA LJ 64 (10029)"</f>
        <v>FARMÁCIA INDIANA LJ 64 (10029)</v>
      </c>
      <c r="S15" t="s">
        <v>27</v>
      </c>
      <c r="T15">
        <v>3696</v>
      </c>
      <c r="U15">
        <v>3129</v>
      </c>
      <c r="V15" t="s">
        <v>22</v>
      </c>
    </row>
    <row r="16" spans="1:22">
      <c r="A16" t="str">
        <f t="shared" si="0"/>
        <v>02/01/2026</v>
      </c>
      <c r="B16" t="str">
        <f t="shared" si="2"/>
        <v>ENTRADA</v>
      </c>
      <c r="C16" t="str">
        <f t="shared" si="3"/>
        <v>NFSE</v>
      </c>
      <c r="D16" t="str">
        <f t="shared" si="4"/>
        <v>4111</v>
      </c>
      <c r="E16" t="str">
        <f t="shared" si="5"/>
        <v>1</v>
      </c>
      <c r="F16" t="str">
        <f t="shared" si="1"/>
        <v>COM</v>
      </c>
      <c r="G16" t="str">
        <f t="shared" si="6"/>
        <v>FARMÁCIA INDIANA LJ 1 (10126)</v>
      </c>
      <c r="H16" t="s">
        <v>25</v>
      </c>
      <c r="I16" t="str">
        <f t="shared" si="7"/>
        <v>31/12/2025</v>
      </c>
      <c r="J16" t="str">
        <f t="shared" si="8"/>
        <v>23/12/2025</v>
      </c>
      <c r="K16">
        <v>46024</v>
      </c>
      <c r="N16">
        <v>303</v>
      </c>
      <c r="O16" t="s">
        <v>26</v>
      </c>
      <c r="Q16">
        <v>66.86</v>
      </c>
      <c r="R16" t="str">
        <f>"FARMÁCIA INDIANA LJ 97 (10040)"</f>
        <v>FARMÁCIA INDIANA LJ 97 (10040)</v>
      </c>
      <c r="S16" t="s">
        <v>27</v>
      </c>
      <c r="T16">
        <v>3696</v>
      </c>
      <c r="U16">
        <v>3129</v>
      </c>
      <c r="V16" t="s">
        <v>22</v>
      </c>
    </row>
    <row r="17" spans="1:22">
      <c r="A17" t="str">
        <f t="shared" si="0"/>
        <v>02/01/2026</v>
      </c>
      <c r="B17" t="str">
        <f t="shared" si="2"/>
        <v>ENTRADA</v>
      </c>
      <c r="C17" t="str">
        <f t="shared" si="3"/>
        <v>NFSE</v>
      </c>
      <c r="D17" t="str">
        <f t="shared" si="4"/>
        <v>4111</v>
      </c>
      <c r="E17" t="str">
        <f t="shared" si="5"/>
        <v>1</v>
      </c>
      <c r="F17" t="str">
        <f t="shared" si="1"/>
        <v>COM</v>
      </c>
      <c r="G17" t="str">
        <f t="shared" si="6"/>
        <v>FARMÁCIA INDIANA LJ 1 (10126)</v>
      </c>
      <c r="H17" t="s">
        <v>25</v>
      </c>
      <c r="I17" t="str">
        <f t="shared" si="7"/>
        <v>31/12/2025</v>
      </c>
      <c r="J17" t="str">
        <f t="shared" si="8"/>
        <v>23/12/2025</v>
      </c>
      <c r="K17">
        <v>46024</v>
      </c>
      <c r="N17">
        <v>303</v>
      </c>
      <c r="O17" t="s">
        <v>26</v>
      </c>
      <c r="Q17">
        <v>200.58</v>
      </c>
      <c r="R17" t="str">
        <f>"FARMÁCIA INDIANA LJ 100 (10042)"</f>
        <v>FARMÁCIA INDIANA LJ 100 (10042)</v>
      </c>
      <c r="S17" t="s">
        <v>27</v>
      </c>
      <c r="T17">
        <v>3696</v>
      </c>
      <c r="U17">
        <v>3129</v>
      </c>
      <c r="V17" t="s">
        <v>22</v>
      </c>
    </row>
    <row r="18" spans="1:22">
      <c r="A18" t="str">
        <f t="shared" si="0"/>
        <v>02/01/2026</v>
      </c>
      <c r="B18" t="str">
        <f t="shared" si="2"/>
        <v>ENTRADA</v>
      </c>
      <c r="C18" t="str">
        <f t="shared" si="3"/>
        <v>NFSE</v>
      </c>
      <c r="D18" t="str">
        <f t="shared" si="4"/>
        <v>4111</v>
      </c>
      <c r="E18" t="str">
        <f t="shared" si="5"/>
        <v>1</v>
      </c>
      <c r="F18" t="str">
        <f t="shared" si="1"/>
        <v>COM</v>
      </c>
      <c r="G18" t="str">
        <f t="shared" si="6"/>
        <v>FARMÁCIA INDIANA LJ 1 (10126)</v>
      </c>
      <c r="H18" t="s">
        <v>25</v>
      </c>
      <c r="I18" t="str">
        <f t="shared" si="7"/>
        <v>31/12/2025</v>
      </c>
      <c r="J18" t="str">
        <f t="shared" si="8"/>
        <v>23/12/2025</v>
      </c>
      <c r="K18">
        <v>46024</v>
      </c>
      <c r="N18">
        <v>303</v>
      </c>
      <c r="O18" t="s">
        <v>26</v>
      </c>
      <c r="Q18">
        <v>732.91</v>
      </c>
      <c r="R18" t="str">
        <f>"FARMÁCIA INDIANA LJ 101 (10043)"</f>
        <v>FARMÁCIA INDIANA LJ 101 (10043)</v>
      </c>
      <c r="S18" t="s">
        <v>27</v>
      </c>
      <c r="T18">
        <v>3696</v>
      </c>
      <c r="U18">
        <v>3129</v>
      </c>
      <c r="V18" t="s">
        <v>22</v>
      </c>
    </row>
    <row r="19" spans="1:22">
      <c r="A19" t="str">
        <f t="shared" si="0"/>
        <v>02/01/2026</v>
      </c>
      <c r="B19" t="str">
        <f t="shared" si="2"/>
        <v>ENTRADA</v>
      </c>
      <c r="C19" t="str">
        <f t="shared" si="3"/>
        <v>NFSE</v>
      </c>
      <c r="D19" t="str">
        <f t="shared" si="4"/>
        <v>4111</v>
      </c>
      <c r="E19" t="str">
        <f t="shared" si="5"/>
        <v>1</v>
      </c>
      <c r="F19" t="str">
        <f t="shared" si="1"/>
        <v>COM</v>
      </c>
      <c r="G19" t="str">
        <f t="shared" si="6"/>
        <v>FARMÁCIA INDIANA LJ 1 (10126)</v>
      </c>
      <c r="H19" t="s">
        <v>25</v>
      </c>
      <c r="I19" t="str">
        <f t="shared" si="7"/>
        <v>31/12/2025</v>
      </c>
      <c r="J19" t="str">
        <f t="shared" si="8"/>
        <v>23/12/2025</v>
      </c>
      <c r="K19">
        <v>46024</v>
      </c>
      <c r="N19">
        <v>303</v>
      </c>
      <c r="O19" t="s">
        <v>26</v>
      </c>
      <c r="Q19">
        <v>45</v>
      </c>
      <c r="R19" t="str">
        <f>"FARMÁCIA INDIANA LJ 103 (10044)"</f>
        <v>FARMÁCIA INDIANA LJ 103 (10044)</v>
      </c>
      <c r="S19" t="s">
        <v>27</v>
      </c>
      <c r="T19">
        <v>3696</v>
      </c>
      <c r="U19">
        <v>3129</v>
      </c>
      <c r="V19" t="s">
        <v>22</v>
      </c>
    </row>
    <row r="20" spans="1:22">
      <c r="A20" t="str">
        <f t="shared" si="0"/>
        <v>02/01/2026</v>
      </c>
      <c r="B20" t="str">
        <f t="shared" si="2"/>
        <v>ENTRADA</v>
      </c>
      <c r="C20" t="str">
        <f t="shared" si="3"/>
        <v>NFSE</v>
      </c>
      <c r="D20" t="str">
        <f t="shared" si="4"/>
        <v>4111</v>
      </c>
      <c r="E20" t="str">
        <f t="shared" si="5"/>
        <v>1</v>
      </c>
      <c r="F20" t="str">
        <f t="shared" si="1"/>
        <v>COM</v>
      </c>
      <c r="G20" t="str">
        <f t="shared" si="6"/>
        <v>FARMÁCIA INDIANA LJ 1 (10126)</v>
      </c>
      <c r="H20" t="s">
        <v>25</v>
      </c>
      <c r="I20" t="str">
        <f t="shared" si="7"/>
        <v>31/12/2025</v>
      </c>
      <c r="J20" t="str">
        <f t="shared" si="8"/>
        <v>23/12/2025</v>
      </c>
      <c r="K20">
        <v>46024</v>
      </c>
      <c r="N20">
        <v>303</v>
      </c>
      <c r="O20" t="s">
        <v>26</v>
      </c>
      <c r="Q20">
        <v>218.59</v>
      </c>
      <c r="R20" t="str">
        <f>"FARMÁCIA INDIANA LJ 109 (10047)"</f>
        <v>FARMÁCIA INDIANA LJ 109 (10047)</v>
      </c>
      <c r="S20" t="s">
        <v>27</v>
      </c>
      <c r="T20">
        <v>3696</v>
      </c>
      <c r="U20">
        <v>3129</v>
      </c>
      <c r="V20" t="s">
        <v>22</v>
      </c>
    </row>
    <row r="21" spans="1:22">
      <c r="A21" t="str">
        <f t="shared" si="0"/>
        <v>02/01/2026</v>
      </c>
      <c r="B21" t="str">
        <f t="shared" si="2"/>
        <v>ENTRADA</v>
      </c>
      <c r="C21" t="str">
        <f t="shared" si="3"/>
        <v>NFSE</v>
      </c>
      <c r="D21" t="str">
        <f t="shared" si="4"/>
        <v>4111</v>
      </c>
      <c r="E21" t="str">
        <f t="shared" si="5"/>
        <v>1</v>
      </c>
      <c r="F21" t="str">
        <f t="shared" si="1"/>
        <v>COM</v>
      </c>
      <c r="G21" t="str">
        <f t="shared" si="6"/>
        <v>FARMÁCIA INDIANA LJ 1 (10126)</v>
      </c>
      <c r="H21" t="s">
        <v>25</v>
      </c>
      <c r="I21" t="str">
        <f t="shared" si="7"/>
        <v>31/12/2025</v>
      </c>
      <c r="J21" t="str">
        <f t="shared" si="8"/>
        <v>23/12/2025</v>
      </c>
      <c r="K21">
        <v>46024</v>
      </c>
      <c r="N21">
        <v>303</v>
      </c>
      <c r="O21" t="s">
        <v>26</v>
      </c>
      <c r="Q21">
        <v>375.45</v>
      </c>
      <c r="R21" t="str">
        <f>"FARMÁCIA INDIANA LJ 110 (10048)"</f>
        <v>FARMÁCIA INDIANA LJ 110 (10048)</v>
      </c>
      <c r="S21" t="s">
        <v>27</v>
      </c>
      <c r="T21">
        <v>3696</v>
      </c>
      <c r="U21">
        <v>3129</v>
      </c>
      <c r="V21" t="s">
        <v>22</v>
      </c>
    </row>
    <row r="22" spans="1:22">
      <c r="A22" t="str">
        <f t="shared" si="0"/>
        <v>02/01/2026</v>
      </c>
      <c r="B22" t="str">
        <f t="shared" si="2"/>
        <v>ENTRADA</v>
      </c>
      <c r="C22" t="str">
        <f t="shared" si="3"/>
        <v>NFSE</v>
      </c>
      <c r="D22" t="str">
        <f t="shared" si="4"/>
        <v>4111</v>
      </c>
      <c r="E22" t="str">
        <f t="shared" si="5"/>
        <v>1</v>
      </c>
      <c r="F22" t="str">
        <f t="shared" si="1"/>
        <v>COM</v>
      </c>
      <c r="G22" t="str">
        <f t="shared" si="6"/>
        <v>FARMÁCIA INDIANA LJ 1 (10126)</v>
      </c>
      <c r="H22" t="s">
        <v>25</v>
      </c>
      <c r="I22" t="str">
        <f t="shared" si="7"/>
        <v>31/12/2025</v>
      </c>
      <c r="J22" t="str">
        <f t="shared" si="8"/>
        <v>23/12/2025</v>
      </c>
      <c r="K22">
        <v>46024</v>
      </c>
      <c r="N22">
        <v>303</v>
      </c>
      <c r="O22" t="s">
        <v>26</v>
      </c>
      <c r="Q22">
        <v>65.58</v>
      </c>
      <c r="R22" t="str">
        <f>"FARMÁCIA INDIANA LJ 111 (10049)"</f>
        <v>FARMÁCIA INDIANA LJ 111 (10049)</v>
      </c>
      <c r="S22" t="s">
        <v>27</v>
      </c>
      <c r="T22">
        <v>3696</v>
      </c>
      <c r="U22">
        <v>3129</v>
      </c>
      <c r="V22" t="s">
        <v>22</v>
      </c>
    </row>
    <row r="23" spans="1:22">
      <c r="A23" t="str">
        <f t="shared" si="0"/>
        <v>02/01/2026</v>
      </c>
      <c r="B23" t="str">
        <f t="shared" si="2"/>
        <v>ENTRADA</v>
      </c>
      <c r="C23" t="str">
        <f t="shared" si="3"/>
        <v>NFSE</v>
      </c>
      <c r="D23" t="str">
        <f t="shared" si="4"/>
        <v>4111</v>
      </c>
      <c r="E23" t="str">
        <f t="shared" si="5"/>
        <v>1</v>
      </c>
      <c r="F23" t="str">
        <f t="shared" si="1"/>
        <v>COM</v>
      </c>
      <c r="G23" t="str">
        <f t="shared" si="6"/>
        <v>FARMÁCIA INDIANA LJ 1 (10126)</v>
      </c>
      <c r="H23" t="s">
        <v>25</v>
      </c>
      <c r="I23" t="str">
        <f t="shared" si="7"/>
        <v>31/12/2025</v>
      </c>
      <c r="J23" t="str">
        <f t="shared" si="8"/>
        <v>23/12/2025</v>
      </c>
      <c r="K23">
        <v>46024</v>
      </c>
      <c r="N23">
        <v>303</v>
      </c>
      <c r="O23" t="s">
        <v>26</v>
      </c>
      <c r="Q23">
        <v>100.29</v>
      </c>
      <c r="R23" t="str">
        <f>"FARMÁCIA INDIANA LJ 112 (10050)"</f>
        <v>FARMÁCIA INDIANA LJ 112 (10050)</v>
      </c>
      <c r="S23" t="s">
        <v>27</v>
      </c>
      <c r="T23">
        <v>3696</v>
      </c>
      <c r="U23">
        <v>3129</v>
      </c>
      <c r="V23" t="s">
        <v>22</v>
      </c>
    </row>
    <row r="24" spans="1:22">
      <c r="A24" t="str">
        <f t="shared" si="0"/>
        <v>02/01/2026</v>
      </c>
      <c r="B24" t="str">
        <f t="shared" si="2"/>
        <v>ENTRADA</v>
      </c>
      <c r="C24" t="str">
        <f t="shared" si="3"/>
        <v>NFSE</v>
      </c>
      <c r="D24" t="str">
        <f t="shared" si="4"/>
        <v>4111</v>
      </c>
      <c r="E24" t="str">
        <f t="shared" si="5"/>
        <v>1</v>
      </c>
      <c r="F24" t="str">
        <f t="shared" si="1"/>
        <v>COM</v>
      </c>
      <c r="G24" t="str">
        <f t="shared" si="6"/>
        <v>FARMÁCIA INDIANA LJ 1 (10126)</v>
      </c>
      <c r="H24" t="s">
        <v>25</v>
      </c>
      <c r="I24" t="str">
        <f t="shared" si="7"/>
        <v>31/12/2025</v>
      </c>
      <c r="J24" t="str">
        <f t="shared" si="8"/>
        <v>23/12/2025</v>
      </c>
      <c r="K24">
        <v>46024</v>
      </c>
      <c r="N24">
        <v>303</v>
      </c>
      <c r="O24" t="s">
        <v>26</v>
      </c>
      <c r="Q24">
        <v>100.29</v>
      </c>
      <c r="R24" t="str">
        <f>"FARMÁCIA INDIANA LJ 116 (10051)"</f>
        <v>FARMÁCIA INDIANA LJ 116 (10051)</v>
      </c>
      <c r="S24" t="s">
        <v>27</v>
      </c>
      <c r="T24">
        <v>3696</v>
      </c>
      <c r="U24">
        <v>3129</v>
      </c>
      <c r="V24" t="s">
        <v>22</v>
      </c>
    </row>
    <row r="25" spans="1:22">
      <c r="A25" t="str">
        <f t="shared" si="0"/>
        <v>02/01/2026</v>
      </c>
      <c r="B25" t="str">
        <f t="shared" si="2"/>
        <v>ENTRADA</v>
      </c>
      <c r="C25" t="str">
        <f t="shared" si="3"/>
        <v>NFSE</v>
      </c>
      <c r="D25" t="str">
        <f t="shared" si="4"/>
        <v>4111</v>
      </c>
      <c r="E25" t="str">
        <f t="shared" si="5"/>
        <v>1</v>
      </c>
      <c r="F25" t="str">
        <f t="shared" si="1"/>
        <v>COM</v>
      </c>
      <c r="G25" t="str">
        <f t="shared" si="6"/>
        <v>FARMÁCIA INDIANA LJ 1 (10126)</v>
      </c>
      <c r="H25" t="s">
        <v>25</v>
      </c>
      <c r="I25" t="str">
        <f t="shared" si="7"/>
        <v>31/12/2025</v>
      </c>
      <c r="J25" t="str">
        <f t="shared" si="8"/>
        <v>23/12/2025</v>
      </c>
      <c r="K25">
        <v>46024</v>
      </c>
      <c r="N25">
        <v>303</v>
      </c>
      <c r="O25" t="s">
        <v>26</v>
      </c>
      <c r="Q25">
        <v>96.44</v>
      </c>
      <c r="R25" t="str">
        <f>"FARMÁCIA INDIANA LJ 118 (10052)"</f>
        <v>FARMÁCIA INDIANA LJ 118 (10052)</v>
      </c>
      <c r="S25" t="s">
        <v>27</v>
      </c>
      <c r="T25">
        <v>3696</v>
      </c>
      <c r="U25">
        <v>3129</v>
      </c>
      <c r="V25" t="s">
        <v>22</v>
      </c>
    </row>
    <row r="26" spans="1:22">
      <c r="A26" t="str">
        <f t="shared" si="0"/>
        <v>02/01/2026</v>
      </c>
      <c r="B26" t="str">
        <f t="shared" si="2"/>
        <v>ENTRADA</v>
      </c>
      <c r="C26" t="str">
        <f t="shared" si="3"/>
        <v>NFSE</v>
      </c>
      <c r="D26" t="str">
        <f t="shared" si="4"/>
        <v>4111</v>
      </c>
      <c r="E26" t="str">
        <f t="shared" si="5"/>
        <v>1</v>
      </c>
      <c r="F26" t="str">
        <f t="shared" si="1"/>
        <v>COM</v>
      </c>
      <c r="G26" t="str">
        <f t="shared" si="6"/>
        <v>FARMÁCIA INDIANA LJ 1 (10126)</v>
      </c>
      <c r="H26" t="s">
        <v>25</v>
      </c>
      <c r="I26" t="str">
        <f t="shared" si="7"/>
        <v>31/12/2025</v>
      </c>
      <c r="J26" t="str">
        <f t="shared" si="8"/>
        <v>23/12/2025</v>
      </c>
      <c r="K26">
        <v>46024</v>
      </c>
      <c r="N26">
        <v>303</v>
      </c>
      <c r="O26" t="s">
        <v>26</v>
      </c>
      <c r="Q26">
        <v>100.29</v>
      </c>
      <c r="R26" t="str">
        <f>"FARMÁCIA INDIANA LJ 121 (10054)"</f>
        <v>FARMÁCIA INDIANA LJ 121 (10054)</v>
      </c>
      <c r="S26" t="s">
        <v>27</v>
      </c>
      <c r="T26">
        <v>3696</v>
      </c>
      <c r="U26">
        <v>3129</v>
      </c>
      <c r="V26" t="s">
        <v>22</v>
      </c>
    </row>
    <row r="27" spans="1:22">
      <c r="A27" t="str">
        <f t="shared" si="0"/>
        <v>02/01/2026</v>
      </c>
      <c r="B27" t="str">
        <f t="shared" si="2"/>
        <v>ENTRADA</v>
      </c>
      <c r="C27" t="str">
        <f t="shared" si="3"/>
        <v>NFSE</v>
      </c>
      <c r="D27" t="str">
        <f t="shared" si="4"/>
        <v>4111</v>
      </c>
      <c r="E27" t="str">
        <f t="shared" si="5"/>
        <v>1</v>
      </c>
      <c r="F27" t="str">
        <f t="shared" si="1"/>
        <v>COM</v>
      </c>
      <c r="G27" t="str">
        <f t="shared" si="6"/>
        <v>FARMÁCIA INDIANA LJ 1 (10126)</v>
      </c>
      <c r="H27" t="s">
        <v>25</v>
      </c>
      <c r="I27" t="str">
        <f t="shared" si="7"/>
        <v>31/12/2025</v>
      </c>
      <c r="J27" t="str">
        <f t="shared" si="8"/>
        <v>23/12/2025</v>
      </c>
      <c r="K27">
        <v>46024</v>
      </c>
      <c r="N27">
        <v>303</v>
      </c>
      <c r="O27" t="s">
        <v>26</v>
      </c>
      <c r="Q27">
        <v>100.29</v>
      </c>
      <c r="R27" t="str">
        <f>"FARMÁCIA INDIANA LJ 128 (10057)"</f>
        <v>FARMÁCIA INDIANA LJ 128 (10057)</v>
      </c>
      <c r="S27" t="s">
        <v>27</v>
      </c>
      <c r="T27">
        <v>3696</v>
      </c>
      <c r="U27">
        <v>3129</v>
      </c>
      <c r="V27" t="s">
        <v>22</v>
      </c>
    </row>
    <row r="28" spans="1:22">
      <c r="A28" t="str">
        <f t="shared" si="0"/>
        <v>02/01/2026</v>
      </c>
      <c r="B28" t="str">
        <f t="shared" si="2"/>
        <v>ENTRADA</v>
      </c>
      <c r="C28" t="str">
        <f t="shared" si="3"/>
        <v>NFSE</v>
      </c>
      <c r="D28" t="str">
        <f t="shared" si="4"/>
        <v>4111</v>
      </c>
      <c r="E28" t="str">
        <f t="shared" si="5"/>
        <v>1</v>
      </c>
      <c r="F28" t="str">
        <f t="shared" si="1"/>
        <v>COM</v>
      </c>
      <c r="G28" t="str">
        <f t="shared" si="6"/>
        <v>FARMÁCIA INDIANA LJ 1 (10126)</v>
      </c>
      <c r="H28" t="s">
        <v>25</v>
      </c>
      <c r="I28" t="str">
        <f t="shared" si="7"/>
        <v>31/12/2025</v>
      </c>
      <c r="J28" t="str">
        <f t="shared" si="8"/>
        <v>23/12/2025</v>
      </c>
      <c r="K28">
        <v>46024</v>
      </c>
      <c r="N28">
        <v>303</v>
      </c>
      <c r="O28" t="s">
        <v>26</v>
      </c>
      <c r="Q28">
        <v>18</v>
      </c>
      <c r="R28" t="str">
        <f>"FARMÁCIA INDIANA LJ 140 (10064)"</f>
        <v>FARMÁCIA INDIANA LJ 140 (10064)</v>
      </c>
      <c r="S28" t="s">
        <v>27</v>
      </c>
      <c r="T28">
        <v>3696</v>
      </c>
      <c r="U28">
        <v>3129</v>
      </c>
      <c r="V28" t="s">
        <v>22</v>
      </c>
    </row>
    <row r="29" spans="1:22">
      <c r="A29" t="str">
        <f t="shared" si="0"/>
        <v>02/01/2026</v>
      </c>
      <c r="B29" t="str">
        <f t="shared" si="2"/>
        <v>ENTRADA</v>
      </c>
      <c r="C29" t="str">
        <f t="shared" si="3"/>
        <v>NFSE</v>
      </c>
      <c r="D29" t="str">
        <f t="shared" si="4"/>
        <v>4111</v>
      </c>
      <c r="E29" t="str">
        <f t="shared" si="5"/>
        <v>1</v>
      </c>
      <c r="F29" t="str">
        <f t="shared" si="1"/>
        <v>COM</v>
      </c>
      <c r="G29" t="str">
        <f t="shared" si="6"/>
        <v>FARMÁCIA INDIANA LJ 1 (10126)</v>
      </c>
      <c r="H29" t="s">
        <v>25</v>
      </c>
      <c r="I29" t="str">
        <f t="shared" si="7"/>
        <v>31/12/2025</v>
      </c>
      <c r="J29" t="str">
        <f t="shared" si="8"/>
        <v>23/12/2025</v>
      </c>
      <c r="K29">
        <v>46024</v>
      </c>
      <c r="N29">
        <v>303</v>
      </c>
      <c r="O29" t="s">
        <v>26</v>
      </c>
      <c r="Q29">
        <v>12.86</v>
      </c>
      <c r="R29" t="str">
        <f>"FARMÁCIA INDIANA LJ 141 (10065)"</f>
        <v>FARMÁCIA INDIANA LJ 141 (10065)</v>
      </c>
      <c r="S29" t="s">
        <v>27</v>
      </c>
      <c r="T29">
        <v>3696</v>
      </c>
      <c r="U29">
        <v>3129</v>
      </c>
      <c r="V29" t="s">
        <v>22</v>
      </c>
    </row>
    <row r="30" spans="1:22">
      <c r="A30" t="str">
        <f t="shared" si="0"/>
        <v>02/01/2026</v>
      </c>
      <c r="B30" t="str">
        <f t="shared" si="2"/>
        <v>ENTRADA</v>
      </c>
      <c r="C30" t="str">
        <f t="shared" si="3"/>
        <v>NFSE</v>
      </c>
      <c r="D30" t="str">
        <f t="shared" si="4"/>
        <v>4111</v>
      </c>
      <c r="E30" t="str">
        <f t="shared" si="5"/>
        <v>1</v>
      </c>
      <c r="F30" t="str">
        <f t="shared" si="1"/>
        <v>COM</v>
      </c>
      <c r="G30" t="str">
        <f t="shared" si="6"/>
        <v>FARMÁCIA INDIANA LJ 1 (10126)</v>
      </c>
      <c r="H30" t="s">
        <v>25</v>
      </c>
      <c r="I30" t="str">
        <f t="shared" si="7"/>
        <v>31/12/2025</v>
      </c>
      <c r="J30" t="str">
        <f t="shared" si="8"/>
        <v>23/12/2025</v>
      </c>
      <c r="K30">
        <v>46024</v>
      </c>
      <c r="N30">
        <v>303</v>
      </c>
      <c r="O30" t="s">
        <v>26</v>
      </c>
      <c r="Q30">
        <v>725.19</v>
      </c>
      <c r="R30" t="str">
        <f>"FARMÁCIA INDIANA LJ 142 (10066)"</f>
        <v>FARMÁCIA INDIANA LJ 142 (10066)</v>
      </c>
      <c r="S30" t="s">
        <v>27</v>
      </c>
      <c r="T30">
        <v>3696</v>
      </c>
      <c r="U30">
        <v>3129</v>
      </c>
      <c r="V30" t="s">
        <v>22</v>
      </c>
    </row>
    <row r="31" spans="1:22">
      <c r="A31" t="str">
        <f t="shared" si="0"/>
        <v>02/01/2026</v>
      </c>
      <c r="B31" t="str">
        <f t="shared" si="2"/>
        <v>ENTRADA</v>
      </c>
      <c r="C31" t="str">
        <f t="shared" si="3"/>
        <v>NFSE</v>
      </c>
      <c r="D31" t="str">
        <f t="shared" si="4"/>
        <v>4111</v>
      </c>
      <c r="E31" t="str">
        <f t="shared" si="5"/>
        <v>1</v>
      </c>
      <c r="F31" t="str">
        <f t="shared" si="1"/>
        <v>COM</v>
      </c>
      <c r="G31" t="str">
        <f t="shared" si="6"/>
        <v>FARMÁCIA INDIANA LJ 1 (10126)</v>
      </c>
      <c r="H31" t="s">
        <v>25</v>
      </c>
      <c r="I31" t="str">
        <f t="shared" si="7"/>
        <v>31/12/2025</v>
      </c>
      <c r="J31" t="str">
        <f t="shared" si="8"/>
        <v>23/12/2025</v>
      </c>
      <c r="K31">
        <v>46024</v>
      </c>
      <c r="N31">
        <v>303</v>
      </c>
      <c r="O31" t="s">
        <v>26</v>
      </c>
      <c r="Q31">
        <v>66.86</v>
      </c>
      <c r="R31" t="str">
        <f>"FARMÁCIA INDIANA LJ 143 (10067)"</f>
        <v>FARMÁCIA INDIANA LJ 143 (10067)</v>
      </c>
      <c r="S31" t="s">
        <v>27</v>
      </c>
      <c r="T31">
        <v>3696</v>
      </c>
      <c r="U31">
        <v>3129</v>
      </c>
      <c r="V31" t="s">
        <v>22</v>
      </c>
    </row>
    <row r="32" spans="1:22">
      <c r="A32" t="str">
        <f t="shared" si="0"/>
        <v>02/01/2026</v>
      </c>
      <c r="B32" t="str">
        <f t="shared" si="2"/>
        <v>ENTRADA</v>
      </c>
      <c r="C32" t="str">
        <f t="shared" si="3"/>
        <v>NFSE</v>
      </c>
      <c r="D32" t="str">
        <f t="shared" si="4"/>
        <v>4111</v>
      </c>
      <c r="E32" t="str">
        <f t="shared" si="5"/>
        <v>1</v>
      </c>
      <c r="F32" t="str">
        <f t="shared" si="1"/>
        <v>COM</v>
      </c>
      <c r="G32" t="str">
        <f t="shared" si="6"/>
        <v>FARMÁCIA INDIANA LJ 1 (10126)</v>
      </c>
      <c r="H32" t="s">
        <v>25</v>
      </c>
      <c r="I32" t="str">
        <f t="shared" si="7"/>
        <v>31/12/2025</v>
      </c>
      <c r="J32" t="str">
        <f t="shared" si="8"/>
        <v>23/12/2025</v>
      </c>
      <c r="K32">
        <v>46024</v>
      </c>
      <c r="N32">
        <v>303</v>
      </c>
      <c r="O32" t="s">
        <v>26</v>
      </c>
      <c r="Q32">
        <v>375.45</v>
      </c>
      <c r="R32" t="str">
        <f>"FARMÁCIA INDIANA LJ 152 (10069)"</f>
        <v>FARMÁCIA INDIANA LJ 152 (10069)</v>
      </c>
      <c r="S32" t="s">
        <v>27</v>
      </c>
      <c r="T32">
        <v>3696</v>
      </c>
      <c r="U32">
        <v>3129</v>
      </c>
      <c r="V32" t="s">
        <v>22</v>
      </c>
    </row>
    <row r="33" spans="1:22">
      <c r="A33" t="str">
        <f t="shared" si="0"/>
        <v>02/01/2026</v>
      </c>
      <c r="B33" t="str">
        <f t="shared" si="2"/>
        <v>ENTRADA</v>
      </c>
      <c r="C33" t="str">
        <f t="shared" si="3"/>
        <v>NFSE</v>
      </c>
      <c r="D33" t="str">
        <f t="shared" si="4"/>
        <v>4111</v>
      </c>
      <c r="E33" t="str">
        <f t="shared" si="5"/>
        <v>1</v>
      </c>
      <c r="F33" t="str">
        <f t="shared" si="1"/>
        <v>COM</v>
      </c>
      <c r="G33" t="str">
        <f t="shared" si="6"/>
        <v>FARMÁCIA INDIANA LJ 1 (10126)</v>
      </c>
      <c r="H33" t="s">
        <v>25</v>
      </c>
      <c r="I33" t="str">
        <f t="shared" si="7"/>
        <v>31/12/2025</v>
      </c>
      <c r="J33" t="str">
        <f t="shared" si="8"/>
        <v>23/12/2025</v>
      </c>
      <c r="K33">
        <v>46024</v>
      </c>
      <c r="N33">
        <v>303</v>
      </c>
      <c r="O33" t="s">
        <v>26</v>
      </c>
      <c r="Q33">
        <v>29.57</v>
      </c>
      <c r="R33" t="str">
        <f>"FARMÁCIA INDIANA LJ 154 (10070)"</f>
        <v>FARMÁCIA INDIANA LJ 154 (10070)</v>
      </c>
      <c r="S33" t="s">
        <v>27</v>
      </c>
      <c r="T33">
        <v>3696</v>
      </c>
      <c r="U33">
        <v>3129</v>
      </c>
      <c r="V33" t="s">
        <v>22</v>
      </c>
    </row>
    <row r="34" spans="1:22">
      <c r="A34" t="str">
        <f t="shared" ref="A34:A65" si="9">("02/01/2026")</f>
        <v>02/01/2026</v>
      </c>
      <c r="B34" t="str">
        <f t="shared" si="2"/>
        <v>ENTRADA</v>
      </c>
      <c r="C34" t="str">
        <f t="shared" si="3"/>
        <v>NFSE</v>
      </c>
      <c r="D34" t="str">
        <f t="shared" si="4"/>
        <v>4111</v>
      </c>
      <c r="E34" t="str">
        <f t="shared" si="5"/>
        <v>1</v>
      </c>
      <c r="F34" t="str">
        <f t="shared" ref="F34:F65" si="10">"COM"</f>
        <v>COM</v>
      </c>
      <c r="G34" t="str">
        <f t="shared" si="6"/>
        <v>FARMÁCIA INDIANA LJ 1 (10126)</v>
      </c>
      <c r="H34" t="s">
        <v>25</v>
      </c>
      <c r="I34" t="str">
        <f t="shared" si="7"/>
        <v>31/12/2025</v>
      </c>
      <c r="J34" t="str">
        <f t="shared" si="8"/>
        <v>23/12/2025</v>
      </c>
      <c r="K34">
        <v>46024</v>
      </c>
      <c r="N34">
        <v>303</v>
      </c>
      <c r="O34" t="s">
        <v>26</v>
      </c>
      <c r="Q34">
        <v>214.73</v>
      </c>
      <c r="R34" t="str">
        <f>"FARMÁCIA INDIANA LJ 171 (10074)"</f>
        <v>FARMÁCIA INDIANA LJ 171 (10074)</v>
      </c>
      <c r="S34" t="s">
        <v>27</v>
      </c>
      <c r="T34">
        <v>3696</v>
      </c>
      <c r="U34">
        <v>3129</v>
      </c>
      <c r="V34" t="s">
        <v>22</v>
      </c>
    </row>
    <row r="35" spans="1:22">
      <c r="A35" t="str">
        <f t="shared" si="9"/>
        <v>02/01/2026</v>
      </c>
      <c r="B35" t="str">
        <f t="shared" si="2"/>
        <v>ENTRADA</v>
      </c>
      <c r="C35" t="str">
        <f t="shared" si="3"/>
        <v>NFSE</v>
      </c>
      <c r="D35" t="str">
        <f t="shared" si="4"/>
        <v>4111</v>
      </c>
      <c r="E35" t="str">
        <f t="shared" si="5"/>
        <v>1</v>
      </c>
      <c r="F35" t="str">
        <f t="shared" si="10"/>
        <v>COM</v>
      </c>
      <c r="G35" t="str">
        <f t="shared" si="6"/>
        <v>FARMÁCIA INDIANA LJ 1 (10126)</v>
      </c>
      <c r="H35" t="s">
        <v>25</v>
      </c>
      <c r="I35" t="str">
        <f t="shared" si="7"/>
        <v>31/12/2025</v>
      </c>
      <c r="J35" t="str">
        <f t="shared" si="8"/>
        <v>23/12/2025</v>
      </c>
      <c r="K35">
        <v>46024</v>
      </c>
      <c r="N35">
        <v>303</v>
      </c>
      <c r="O35" t="s">
        <v>26</v>
      </c>
      <c r="Q35">
        <v>82.29</v>
      </c>
      <c r="R35" t="str">
        <f>"FARMÁCIA INDIANA LJ 175 (10076)"</f>
        <v>FARMÁCIA INDIANA LJ 175 (10076)</v>
      </c>
      <c r="S35" t="s">
        <v>27</v>
      </c>
      <c r="T35">
        <v>3696</v>
      </c>
      <c r="U35">
        <v>3129</v>
      </c>
      <c r="V35" t="s">
        <v>22</v>
      </c>
    </row>
    <row r="36" spans="1:22">
      <c r="A36" t="str">
        <f t="shared" si="9"/>
        <v>02/01/2026</v>
      </c>
      <c r="B36" t="str">
        <f t="shared" ref="B36:B67" si="11">"ENTRADA"</f>
        <v>ENTRADA</v>
      </c>
      <c r="C36" t="str">
        <f t="shared" ref="C36:C67" si="12">"NFSE"</f>
        <v>NFSE</v>
      </c>
      <c r="D36" t="str">
        <f t="shared" si="4"/>
        <v>4111</v>
      </c>
      <c r="E36" t="str">
        <f t="shared" ref="E36:E67" si="13">"1"</f>
        <v>1</v>
      </c>
      <c r="F36" t="str">
        <f t="shared" si="10"/>
        <v>COM</v>
      </c>
      <c r="G36" t="str">
        <f t="shared" si="6"/>
        <v>FARMÁCIA INDIANA LJ 1 (10126)</v>
      </c>
      <c r="H36" t="s">
        <v>25</v>
      </c>
      <c r="I36" t="str">
        <f t="shared" ref="I36:I67" si="14">("31/12/2025")</f>
        <v>31/12/2025</v>
      </c>
      <c r="J36" t="str">
        <f t="shared" ref="J36:J67" si="15">("23/12/2025")</f>
        <v>23/12/2025</v>
      </c>
      <c r="K36">
        <v>46024</v>
      </c>
      <c r="N36">
        <v>303</v>
      </c>
      <c r="O36" t="s">
        <v>26</v>
      </c>
      <c r="Q36">
        <v>50.15</v>
      </c>
      <c r="R36" t="str">
        <f>"FARMÁCIA INDIANA LJ 182 (10079)"</f>
        <v>FARMÁCIA INDIANA LJ 182 (10079)</v>
      </c>
      <c r="S36" t="s">
        <v>27</v>
      </c>
      <c r="T36">
        <v>3696</v>
      </c>
      <c r="U36">
        <v>3129</v>
      </c>
      <c r="V36" t="s">
        <v>22</v>
      </c>
    </row>
    <row r="37" spans="1:22">
      <c r="A37" t="str">
        <f t="shared" si="9"/>
        <v>02/01/2026</v>
      </c>
      <c r="B37" t="str">
        <f t="shared" si="11"/>
        <v>ENTRADA</v>
      </c>
      <c r="C37" t="str">
        <f t="shared" si="12"/>
        <v>NFSE</v>
      </c>
      <c r="D37" t="str">
        <f t="shared" si="4"/>
        <v>4111</v>
      </c>
      <c r="E37" t="str">
        <f t="shared" si="13"/>
        <v>1</v>
      </c>
      <c r="F37" t="str">
        <f t="shared" si="10"/>
        <v>COM</v>
      </c>
      <c r="G37" t="str">
        <f t="shared" si="6"/>
        <v>FARMÁCIA INDIANA LJ 1 (10126)</v>
      </c>
      <c r="H37" t="s">
        <v>25</v>
      </c>
      <c r="I37" t="str">
        <f t="shared" si="14"/>
        <v>31/12/2025</v>
      </c>
      <c r="J37" t="str">
        <f t="shared" si="15"/>
        <v>23/12/2025</v>
      </c>
      <c r="K37">
        <v>46024</v>
      </c>
      <c r="N37">
        <v>303</v>
      </c>
      <c r="O37" t="s">
        <v>26</v>
      </c>
      <c r="Q37">
        <v>39.86</v>
      </c>
      <c r="R37" t="str">
        <f>"FARMÁCIA INDIANA LJ 184 (10080)"</f>
        <v>FARMÁCIA INDIANA LJ 184 (10080)</v>
      </c>
      <c r="S37" t="s">
        <v>27</v>
      </c>
      <c r="T37">
        <v>3696</v>
      </c>
      <c r="U37">
        <v>3129</v>
      </c>
      <c r="V37" t="s">
        <v>22</v>
      </c>
    </row>
    <row r="38" spans="1:22">
      <c r="A38" t="str">
        <f t="shared" si="9"/>
        <v>02/01/2026</v>
      </c>
      <c r="B38" t="str">
        <f t="shared" si="11"/>
        <v>ENTRADA</v>
      </c>
      <c r="C38" t="str">
        <f t="shared" si="12"/>
        <v>NFSE</v>
      </c>
      <c r="D38" t="str">
        <f t="shared" si="4"/>
        <v>4111</v>
      </c>
      <c r="E38" t="str">
        <f t="shared" si="13"/>
        <v>1</v>
      </c>
      <c r="F38" t="str">
        <f t="shared" si="10"/>
        <v>COM</v>
      </c>
      <c r="G38" t="str">
        <f t="shared" si="6"/>
        <v>FARMÁCIA INDIANA LJ 1 (10126)</v>
      </c>
      <c r="H38" t="s">
        <v>25</v>
      </c>
      <c r="I38" t="str">
        <f t="shared" si="14"/>
        <v>31/12/2025</v>
      </c>
      <c r="J38" t="str">
        <f t="shared" si="15"/>
        <v>23/12/2025</v>
      </c>
      <c r="K38">
        <v>46024</v>
      </c>
      <c r="N38">
        <v>303</v>
      </c>
      <c r="O38" t="s">
        <v>26</v>
      </c>
      <c r="Q38">
        <v>50.15</v>
      </c>
      <c r="R38" t="str">
        <f>"FARMÁCIA INDIANA LJ 186 (10081)"</f>
        <v>FARMÁCIA INDIANA LJ 186 (10081)</v>
      </c>
      <c r="S38" t="s">
        <v>27</v>
      </c>
      <c r="T38">
        <v>3696</v>
      </c>
      <c r="U38">
        <v>3129</v>
      </c>
      <c r="V38" t="s">
        <v>22</v>
      </c>
    </row>
    <row r="39" spans="1:22">
      <c r="A39" t="str">
        <f t="shared" si="9"/>
        <v>02/01/2026</v>
      </c>
      <c r="B39" t="str">
        <f t="shared" si="11"/>
        <v>ENTRADA</v>
      </c>
      <c r="C39" t="str">
        <f t="shared" si="12"/>
        <v>NFSE</v>
      </c>
      <c r="D39" t="str">
        <f t="shared" si="4"/>
        <v>4111</v>
      </c>
      <c r="E39" t="str">
        <f t="shared" si="13"/>
        <v>1</v>
      </c>
      <c r="F39" t="str">
        <f t="shared" si="10"/>
        <v>COM</v>
      </c>
      <c r="G39" t="str">
        <f t="shared" si="6"/>
        <v>FARMÁCIA INDIANA LJ 1 (10126)</v>
      </c>
      <c r="H39" t="s">
        <v>25</v>
      </c>
      <c r="I39" t="str">
        <f t="shared" si="14"/>
        <v>31/12/2025</v>
      </c>
      <c r="J39" t="str">
        <f t="shared" si="15"/>
        <v>23/12/2025</v>
      </c>
      <c r="K39">
        <v>46024</v>
      </c>
      <c r="N39">
        <v>303</v>
      </c>
      <c r="O39" t="s">
        <v>26</v>
      </c>
      <c r="Q39">
        <v>96.44</v>
      </c>
      <c r="R39" t="str">
        <f>"FARMÁCIA INDIANA LJ 192 (10082)"</f>
        <v>FARMÁCIA INDIANA LJ 192 (10082)</v>
      </c>
      <c r="S39" t="s">
        <v>27</v>
      </c>
      <c r="T39">
        <v>3696</v>
      </c>
      <c r="U39">
        <v>3129</v>
      </c>
      <c r="V39" t="s">
        <v>22</v>
      </c>
    </row>
    <row r="40" spans="1:22">
      <c r="A40" t="str">
        <f t="shared" si="9"/>
        <v>02/01/2026</v>
      </c>
      <c r="B40" t="str">
        <f t="shared" si="11"/>
        <v>ENTRADA</v>
      </c>
      <c r="C40" t="str">
        <f t="shared" si="12"/>
        <v>NFSE</v>
      </c>
      <c r="D40" t="str">
        <f t="shared" si="4"/>
        <v>4111</v>
      </c>
      <c r="E40" t="str">
        <f t="shared" si="13"/>
        <v>1</v>
      </c>
      <c r="F40" t="str">
        <f t="shared" si="10"/>
        <v>COM</v>
      </c>
      <c r="G40" t="str">
        <f t="shared" si="6"/>
        <v>FARMÁCIA INDIANA LJ 1 (10126)</v>
      </c>
      <c r="H40" t="s">
        <v>25</v>
      </c>
      <c r="I40" t="str">
        <f t="shared" si="14"/>
        <v>31/12/2025</v>
      </c>
      <c r="J40" t="str">
        <f t="shared" si="15"/>
        <v>23/12/2025</v>
      </c>
      <c r="K40">
        <v>46024</v>
      </c>
      <c r="N40">
        <v>303</v>
      </c>
      <c r="O40" t="s">
        <v>26</v>
      </c>
      <c r="Q40">
        <v>39.86</v>
      </c>
      <c r="R40" t="str">
        <f>"FARMÁCIA INDIANA LJ 195 (10083)"</f>
        <v>FARMÁCIA INDIANA LJ 195 (10083)</v>
      </c>
      <c r="S40" t="s">
        <v>27</v>
      </c>
      <c r="T40">
        <v>3696</v>
      </c>
      <c r="U40">
        <v>3129</v>
      </c>
      <c r="V40" t="s">
        <v>22</v>
      </c>
    </row>
    <row r="41" spans="1:22">
      <c r="A41" t="str">
        <f t="shared" si="9"/>
        <v>02/01/2026</v>
      </c>
      <c r="B41" t="str">
        <f t="shared" si="11"/>
        <v>ENTRADA</v>
      </c>
      <c r="C41" t="str">
        <f t="shared" si="12"/>
        <v>NFSE</v>
      </c>
      <c r="D41" t="str">
        <f t="shared" si="4"/>
        <v>4111</v>
      </c>
      <c r="E41" t="str">
        <f t="shared" si="13"/>
        <v>1</v>
      </c>
      <c r="F41" t="str">
        <f t="shared" si="10"/>
        <v>COM</v>
      </c>
      <c r="G41" t="str">
        <f t="shared" si="6"/>
        <v>FARMÁCIA INDIANA LJ 1 (10126)</v>
      </c>
      <c r="H41" t="s">
        <v>25</v>
      </c>
      <c r="I41" t="str">
        <f t="shared" si="14"/>
        <v>31/12/2025</v>
      </c>
      <c r="J41" t="str">
        <f t="shared" si="15"/>
        <v>23/12/2025</v>
      </c>
      <c r="K41">
        <v>46024</v>
      </c>
      <c r="N41">
        <v>303</v>
      </c>
      <c r="O41" t="s">
        <v>26</v>
      </c>
      <c r="Q41">
        <v>100.29</v>
      </c>
      <c r="R41" t="str">
        <f>"FARMÁCIA INDIANA LJ 202 (10085)"</f>
        <v>FARMÁCIA INDIANA LJ 202 (10085)</v>
      </c>
      <c r="S41" t="s">
        <v>27</v>
      </c>
      <c r="T41">
        <v>3696</v>
      </c>
      <c r="U41">
        <v>3129</v>
      </c>
      <c r="V41" t="s">
        <v>22</v>
      </c>
    </row>
    <row r="42" spans="1:22">
      <c r="A42" t="str">
        <f t="shared" si="9"/>
        <v>02/01/2026</v>
      </c>
      <c r="B42" t="str">
        <f t="shared" si="11"/>
        <v>ENTRADA</v>
      </c>
      <c r="C42" t="str">
        <f t="shared" si="12"/>
        <v>NFSE</v>
      </c>
      <c r="D42" t="str">
        <f t="shared" si="4"/>
        <v>4111</v>
      </c>
      <c r="E42" t="str">
        <f t="shared" si="13"/>
        <v>1</v>
      </c>
      <c r="F42" t="str">
        <f t="shared" si="10"/>
        <v>COM</v>
      </c>
      <c r="G42" t="str">
        <f t="shared" si="6"/>
        <v>FARMÁCIA INDIANA LJ 1 (10126)</v>
      </c>
      <c r="H42" t="s">
        <v>25</v>
      </c>
      <c r="I42" t="str">
        <f t="shared" si="14"/>
        <v>31/12/2025</v>
      </c>
      <c r="J42" t="str">
        <f t="shared" si="15"/>
        <v>23/12/2025</v>
      </c>
      <c r="K42">
        <v>46024</v>
      </c>
      <c r="N42">
        <v>303</v>
      </c>
      <c r="O42" t="s">
        <v>26</v>
      </c>
      <c r="Q42">
        <v>79.72</v>
      </c>
      <c r="R42" t="str">
        <f>"FARMÁCIA INDIANA LJ 204 (10087)"</f>
        <v>FARMÁCIA INDIANA LJ 204 (10087)</v>
      </c>
      <c r="S42" t="s">
        <v>27</v>
      </c>
      <c r="T42">
        <v>3696</v>
      </c>
      <c r="U42">
        <v>3129</v>
      </c>
      <c r="V42" t="s">
        <v>22</v>
      </c>
    </row>
    <row r="43" spans="1:22">
      <c r="A43" t="str">
        <f t="shared" si="9"/>
        <v>02/01/2026</v>
      </c>
      <c r="B43" t="str">
        <f t="shared" si="11"/>
        <v>ENTRADA</v>
      </c>
      <c r="C43" t="str">
        <f t="shared" si="12"/>
        <v>NFSE</v>
      </c>
      <c r="D43" t="str">
        <f t="shared" si="4"/>
        <v>4111</v>
      </c>
      <c r="E43" t="str">
        <f t="shared" si="13"/>
        <v>1</v>
      </c>
      <c r="F43" t="str">
        <f t="shared" si="10"/>
        <v>COM</v>
      </c>
      <c r="G43" t="str">
        <f t="shared" si="6"/>
        <v>FARMÁCIA INDIANA LJ 1 (10126)</v>
      </c>
      <c r="H43" t="s">
        <v>25</v>
      </c>
      <c r="I43" t="str">
        <f t="shared" si="14"/>
        <v>31/12/2025</v>
      </c>
      <c r="J43" t="str">
        <f t="shared" si="15"/>
        <v>23/12/2025</v>
      </c>
      <c r="K43">
        <v>46024</v>
      </c>
      <c r="N43">
        <v>303</v>
      </c>
      <c r="O43" t="s">
        <v>26</v>
      </c>
      <c r="Q43">
        <v>146.58000000000001</v>
      </c>
      <c r="R43" t="str">
        <f>"FARMÁCIA INDIANA LJ 207 (10088)"</f>
        <v>FARMÁCIA INDIANA LJ 207 (10088)</v>
      </c>
      <c r="S43" t="s">
        <v>27</v>
      </c>
      <c r="T43">
        <v>3696</v>
      </c>
      <c r="U43">
        <v>3129</v>
      </c>
      <c r="V43" t="s">
        <v>22</v>
      </c>
    </row>
    <row r="44" spans="1:22">
      <c r="A44" t="str">
        <f t="shared" si="9"/>
        <v>02/01/2026</v>
      </c>
      <c r="B44" t="str">
        <f t="shared" si="11"/>
        <v>ENTRADA</v>
      </c>
      <c r="C44" t="str">
        <f t="shared" si="12"/>
        <v>NFSE</v>
      </c>
      <c r="D44" t="str">
        <f t="shared" si="4"/>
        <v>4111</v>
      </c>
      <c r="E44" t="str">
        <f t="shared" si="13"/>
        <v>1</v>
      </c>
      <c r="F44" t="str">
        <f t="shared" si="10"/>
        <v>COM</v>
      </c>
      <c r="G44" t="str">
        <f t="shared" si="6"/>
        <v>FARMÁCIA INDIANA LJ 1 (10126)</v>
      </c>
      <c r="H44" t="s">
        <v>25</v>
      </c>
      <c r="I44" t="str">
        <f t="shared" si="14"/>
        <v>31/12/2025</v>
      </c>
      <c r="J44" t="str">
        <f t="shared" si="15"/>
        <v>23/12/2025</v>
      </c>
      <c r="K44">
        <v>46024</v>
      </c>
      <c r="N44">
        <v>303</v>
      </c>
      <c r="O44" t="s">
        <v>26</v>
      </c>
      <c r="Q44">
        <v>126.01</v>
      </c>
      <c r="R44" t="str">
        <f>"FARMÁCIA INDIANA LJ 209 (10089)"</f>
        <v>FARMÁCIA INDIANA LJ 209 (10089)</v>
      </c>
      <c r="S44" t="s">
        <v>27</v>
      </c>
      <c r="T44">
        <v>3696</v>
      </c>
      <c r="U44">
        <v>3129</v>
      </c>
      <c r="V44" t="s">
        <v>22</v>
      </c>
    </row>
    <row r="45" spans="1:22">
      <c r="A45" t="str">
        <f t="shared" si="9"/>
        <v>02/01/2026</v>
      </c>
      <c r="B45" t="str">
        <f t="shared" si="11"/>
        <v>ENTRADA</v>
      </c>
      <c r="C45" t="str">
        <f t="shared" si="12"/>
        <v>NFSE</v>
      </c>
      <c r="D45" t="str">
        <f t="shared" si="4"/>
        <v>4111</v>
      </c>
      <c r="E45" t="str">
        <f t="shared" si="13"/>
        <v>1</v>
      </c>
      <c r="F45" t="str">
        <f t="shared" si="10"/>
        <v>COM</v>
      </c>
      <c r="G45" t="str">
        <f t="shared" si="6"/>
        <v>FARMÁCIA INDIANA LJ 1 (10126)</v>
      </c>
      <c r="H45" t="s">
        <v>25</v>
      </c>
      <c r="I45" t="str">
        <f t="shared" si="14"/>
        <v>31/12/2025</v>
      </c>
      <c r="J45" t="str">
        <f t="shared" si="15"/>
        <v>23/12/2025</v>
      </c>
      <c r="K45">
        <v>46024</v>
      </c>
      <c r="N45">
        <v>303</v>
      </c>
      <c r="O45" t="s">
        <v>26</v>
      </c>
      <c r="Q45">
        <v>217.3</v>
      </c>
      <c r="R45" t="str">
        <f>"FARMÁCIA INDIANA LJ 219 (10091)"</f>
        <v>FARMÁCIA INDIANA LJ 219 (10091)</v>
      </c>
      <c r="S45" t="s">
        <v>27</v>
      </c>
      <c r="T45">
        <v>3696</v>
      </c>
      <c r="U45">
        <v>3129</v>
      </c>
      <c r="V45" t="s">
        <v>22</v>
      </c>
    </row>
    <row r="46" spans="1:22">
      <c r="A46" t="str">
        <f t="shared" si="9"/>
        <v>02/01/2026</v>
      </c>
      <c r="B46" t="str">
        <f t="shared" si="11"/>
        <v>ENTRADA</v>
      </c>
      <c r="C46" t="str">
        <f t="shared" si="12"/>
        <v>NFSE</v>
      </c>
      <c r="D46" t="str">
        <f t="shared" si="4"/>
        <v>4111</v>
      </c>
      <c r="E46" t="str">
        <f t="shared" si="13"/>
        <v>1</v>
      </c>
      <c r="F46" t="str">
        <f t="shared" si="10"/>
        <v>COM</v>
      </c>
      <c r="G46" t="str">
        <f t="shared" si="6"/>
        <v>FARMÁCIA INDIANA LJ 1 (10126)</v>
      </c>
      <c r="H46" t="s">
        <v>25</v>
      </c>
      <c r="I46" t="str">
        <f t="shared" si="14"/>
        <v>31/12/2025</v>
      </c>
      <c r="J46" t="str">
        <f t="shared" si="15"/>
        <v>23/12/2025</v>
      </c>
      <c r="K46">
        <v>46024</v>
      </c>
      <c r="N46">
        <v>303</v>
      </c>
      <c r="O46" t="s">
        <v>26</v>
      </c>
      <c r="Q46">
        <v>322.74</v>
      </c>
      <c r="R46" t="str">
        <f>"FARMÁCIA INDIANA LJ 220 (10092)"</f>
        <v>FARMÁCIA INDIANA LJ 220 (10092)</v>
      </c>
      <c r="S46" t="s">
        <v>27</v>
      </c>
      <c r="T46">
        <v>3696</v>
      </c>
      <c r="U46">
        <v>3129</v>
      </c>
      <c r="V46" t="s">
        <v>22</v>
      </c>
    </row>
    <row r="47" spans="1:22">
      <c r="A47" t="str">
        <f t="shared" si="9"/>
        <v>02/01/2026</v>
      </c>
      <c r="B47" t="str">
        <f t="shared" si="11"/>
        <v>ENTRADA</v>
      </c>
      <c r="C47" t="str">
        <f t="shared" si="12"/>
        <v>NFSE</v>
      </c>
      <c r="D47" t="str">
        <f t="shared" si="4"/>
        <v>4111</v>
      </c>
      <c r="E47" t="str">
        <f t="shared" si="13"/>
        <v>1</v>
      </c>
      <c r="F47" t="str">
        <f t="shared" si="10"/>
        <v>COM</v>
      </c>
      <c r="G47" t="str">
        <f t="shared" si="6"/>
        <v>FARMÁCIA INDIANA LJ 1 (10126)</v>
      </c>
      <c r="H47" t="s">
        <v>25</v>
      </c>
      <c r="I47" t="str">
        <f t="shared" si="14"/>
        <v>31/12/2025</v>
      </c>
      <c r="J47" t="str">
        <f t="shared" si="15"/>
        <v>23/12/2025</v>
      </c>
      <c r="K47">
        <v>46024</v>
      </c>
      <c r="N47">
        <v>303</v>
      </c>
      <c r="O47" t="s">
        <v>26</v>
      </c>
      <c r="Q47">
        <v>114.44</v>
      </c>
      <c r="R47" t="str">
        <f>"FARMÁCIA INDIANA LJ 185 (10141)"</f>
        <v>FARMÁCIA INDIANA LJ 185 (10141)</v>
      </c>
      <c r="S47" t="s">
        <v>27</v>
      </c>
      <c r="T47">
        <v>3696</v>
      </c>
      <c r="U47">
        <v>3129</v>
      </c>
      <c r="V47" t="s">
        <v>22</v>
      </c>
    </row>
    <row r="48" spans="1:22">
      <c r="A48" t="str">
        <f t="shared" si="9"/>
        <v>02/01/2026</v>
      </c>
      <c r="B48" t="str">
        <f t="shared" si="11"/>
        <v>ENTRADA</v>
      </c>
      <c r="C48" t="str">
        <f t="shared" si="12"/>
        <v>NFSE</v>
      </c>
      <c r="D48" t="str">
        <f t="shared" si="4"/>
        <v>4111</v>
      </c>
      <c r="E48" t="str">
        <f t="shared" si="13"/>
        <v>1</v>
      </c>
      <c r="F48" t="str">
        <f t="shared" si="10"/>
        <v>COM</v>
      </c>
      <c r="G48" t="str">
        <f t="shared" si="6"/>
        <v>FARMÁCIA INDIANA LJ 1 (10126)</v>
      </c>
      <c r="H48" t="s">
        <v>25</v>
      </c>
      <c r="I48" t="str">
        <f t="shared" si="14"/>
        <v>31/12/2025</v>
      </c>
      <c r="J48" t="str">
        <f t="shared" si="15"/>
        <v>23/12/2025</v>
      </c>
      <c r="K48">
        <v>46024</v>
      </c>
      <c r="N48">
        <v>303</v>
      </c>
      <c r="O48" t="s">
        <v>26</v>
      </c>
      <c r="Q48">
        <v>106.72</v>
      </c>
      <c r="R48" t="str">
        <f>"FARMÁCIA INDIANA LJ 205 (10150)"</f>
        <v>FARMÁCIA INDIANA LJ 205 (10150)</v>
      </c>
      <c r="S48" t="s">
        <v>27</v>
      </c>
      <c r="T48">
        <v>3696</v>
      </c>
      <c r="U48">
        <v>3129</v>
      </c>
      <c r="V48" t="s">
        <v>22</v>
      </c>
    </row>
    <row r="49" spans="1:22">
      <c r="A49" t="str">
        <f t="shared" si="9"/>
        <v>02/01/2026</v>
      </c>
      <c r="B49" t="str">
        <f t="shared" si="11"/>
        <v>ENTRADA</v>
      </c>
      <c r="C49" t="str">
        <f t="shared" si="12"/>
        <v>NFSE</v>
      </c>
      <c r="D49" t="str">
        <f t="shared" si="4"/>
        <v>4111</v>
      </c>
      <c r="E49" t="str">
        <f t="shared" si="13"/>
        <v>1</v>
      </c>
      <c r="F49" t="str">
        <f t="shared" si="10"/>
        <v>COM</v>
      </c>
      <c r="G49" t="str">
        <f t="shared" si="6"/>
        <v>FARMÁCIA INDIANA LJ 1 (10126)</v>
      </c>
      <c r="H49" t="s">
        <v>25</v>
      </c>
      <c r="I49" t="str">
        <f t="shared" si="14"/>
        <v>31/12/2025</v>
      </c>
      <c r="J49" t="str">
        <f t="shared" si="15"/>
        <v>23/12/2025</v>
      </c>
      <c r="K49">
        <v>46024</v>
      </c>
      <c r="N49">
        <v>303</v>
      </c>
      <c r="O49" t="s">
        <v>26</v>
      </c>
      <c r="Q49">
        <v>560.61</v>
      </c>
      <c r="R49" t="str">
        <f>"FARMÁCIA INDIANA LJ 172 (10161)"</f>
        <v>FARMÁCIA INDIANA LJ 172 (10161)</v>
      </c>
      <c r="S49" t="s">
        <v>27</v>
      </c>
      <c r="T49">
        <v>3696</v>
      </c>
      <c r="U49">
        <v>3129</v>
      </c>
      <c r="V49" t="s">
        <v>22</v>
      </c>
    </row>
    <row r="50" spans="1:22">
      <c r="A50" t="str">
        <f t="shared" si="9"/>
        <v>02/01/2026</v>
      </c>
      <c r="B50" t="str">
        <f t="shared" si="11"/>
        <v>ENTRADA</v>
      </c>
      <c r="C50" t="str">
        <f t="shared" si="12"/>
        <v>NFSE</v>
      </c>
      <c r="D50" t="str">
        <f t="shared" si="4"/>
        <v>4111</v>
      </c>
      <c r="E50" t="str">
        <f t="shared" si="13"/>
        <v>1</v>
      </c>
      <c r="F50" t="str">
        <f t="shared" si="10"/>
        <v>COM</v>
      </c>
      <c r="G50" t="str">
        <f t="shared" si="6"/>
        <v>FARMÁCIA INDIANA LJ 1 (10126)</v>
      </c>
      <c r="H50" t="s">
        <v>25</v>
      </c>
      <c r="I50" t="str">
        <f t="shared" si="14"/>
        <v>31/12/2025</v>
      </c>
      <c r="J50" t="str">
        <f t="shared" si="15"/>
        <v>23/12/2025</v>
      </c>
      <c r="K50">
        <v>46024</v>
      </c>
      <c r="N50">
        <v>303</v>
      </c>
      <c r="O50" t="s">
        <v>26</v>
      </c>
      <c r="Q50">
        <v>79.72</v>
      </c>
      <c r="R50" t="str">
        <f>"FARMÁCIA INDIANA LJ 266 (10186)"</f>
        <v>FARMÁCIA INDIANA LJ 266 (10186)</v>
      </c>
      <c r="S50" t="s">
        <v>27</v>
      </c>
      <c r="T50">
        <v>3696</v>
      </c>
      <c r="U50">
        <v>3129</v>
      </c>
      <c r="V50" t="s">
        <v>22</v>
      </c>
    </row>
    <row r="51" spans="1:22">
      <c r="A51" t="str">
        <f t="shared" si="9"/>
        <v>02/01/2026</v>
      </c>
      <c r="B51" t="str">
        <f t="shared" si="11"/>
        <v>ENTRADA</v>
      </c>
      <c r="C51" t="str">
        <f t="shared" si="12"/>
        <v>NFSE</v>
      </c>
      <c r="D51" t="str">
        <f t="shared" si="4"/>
        <v>4111</v>
      </c>
      <c r="E51" t="str">
        <f t="shared" si="13"/>
        <v>1</v>
      </c>
      <c r="F51" t="str">
        <f t="shared" si="10"/>
        <v>COM</v>
      </c>
      <c r="G51" t="str">
        <f t="shared" si="6"/>
        <v>FARMÁCIA INDIANA LJ 1 (10126)</v>
      </c>
      <c r="H51" t="s">
        <v>25</v>
      </c>
      <c r="I51" t="str">
        <f t="shared" si="14"/>
        <v>31/12/2025</v>
      </c>
      <c r="J51" t="str">
        <f t="shared" si="15"/>
        <v>23/12/2025</v>
      </c>
      <c r="K51">
        <v>46024</v>
      </c>
      <c r="N51">
        <v>303</v>
      </c>
      <c r="O51" t="s">
        <v>26</v>
      </c>
      <c r="Q51">
        <v>96.44</v>
      </c>
      <c r="R51" t="str">
        <f>"FARMÁCIA INDIANA LJ 134 (10271)"</f>
        <v>FARMÁCIA INDIANA LJ 134 (10271)</v>
      </c>
      <c r="S51" t="s">
        <v>27</v>
      </c>
      <c r="T51">
        <v>3696</v>
      </c>
      <c r="U51">
        <v>3129</v>
      </c>
      <c r="V51" t="s">
        <v>22</v>
      </c>
    </row>
    <row r="52" spans="1:22">
      <c r="A52" t="str">
        <f t="shared" si="9"/>
        <v>02/01/2026</v>
      </c>
      <c r="B52" t="str">
        <f t="shared" si="11"/>
        <v>ENTRADA</v>
      </c>
      <c r="C52" t="str">
        <f t="shared" si="12"/>
        <v>NFSE</v>
      </c>
      <c r="D52" t="str">
        <f t="shared" ref="D52:D68" si="16">"4112"</f>
        <v>4112</v>
      </c>
      <c r="E52" t="str">
        <f t="shared" si="13"/>
        <v>1</v>
      </c>
      <c r="F52" t="str">
        <f t="shared" si="10"/>
        <v>COM</v>
      </c>
      <c r="G52" t="str">
        <f t="shared" ref="G52:G68" si="17">"FARMÁCIA INDIANA LJ 30 (10127)"</f>
        <v>FARMÁCIA INDIANA LJ 30 (10127)</v>
      </c>
      <c r="H52" t="str">
        <f>"Serv.Prest. 15/12/2025 a 21/12/2025 - RPS: 1874 - NFSe: 4112"</f>
        <v>Serv.Prest. 15/12/2025 a 21/12/2025 - RPS: 1874 - NFSe: 4112</v>
      </c>
      <c r="I52" t="str">
        <f t="shared" si="14"/>
        <v>31/12/2025</v>
      </c>
      <c r="J52" t="str">
        <f t="shared" si="15"/>
        <v>23/12/2025</v>
      </c>
      <c r="K52" t="str">
        <f>("02/01/2026")</f>
        <v>02/01/2026</v>
      </c>
      <c r="L52">
        <v>3444.51</v>
      </c>
      <c r="M52">
        <v>3444.51</v>
      </c>
      <c r="N52">
        <v>303</v>
      </c>
      <c r="O52" t="str">
        <f>"RECEITAS COM ENTREGAS"</f>
        <v>RECEITAS COM ENTREGAS</v>
      </c>
      <c r="P52">
        <v>3444.51</v>
      </c>
      <c r="S52" t="str">
        <f>"RECEITAS COM ENTREGAS (303)"</f>
        <v>RECEITAS COM ENTREGAS (303)</v>
      </c>
      <c r="T52">
        <v>3697</v>
      </c>
      <c r="U52">
        <v>3130</v>
      </c>
      <c r="V52" t="s">
        <v>22</v>
      </c>
    </row>
    <row r="53" spans="1:22">
      <c r="A53" t="str">
        <f t="shared" si="9"/>
        <v>02/01/2026</v>
      </c>
      <c r="B53" t="str">
        <f t="shared" si="11"/>
        <v>ENTRADA</v>
      </c>
      <c r="C53" t="str">
        <f t="shared" si="12"/>
        <v>NFSE</v>
      </c>
      <c r="D53" t="str">
        <f t="shared" si="16"/>
        <v>4112</v>
      </c>
      <c r="E53" t="str">
        <f t="shared" si="13"/>
        <v>1</v>
      </c>
      <c r="F53" t="str">
        <f t="shared" si="10"/>
        <v>COM</v>
      </c>
      <c r="G53" t="str">
        <f t="shared" si="17"/>
        <v>FARMÁCIA INDIANA LJ 30 (10127)</v>
      </c>
      <c r="H53" t="s">
        <v>28</v>
      </c>
      <c r="I53" t="str">
        <f t="shared" si="14"/>
        <v>31/12/2025</v>
      </c>
      <c r="J53" t="str">
        <f t="shared" si="15"/>
        <v>23/12/2025</v>
      </c>
      <c r="K53">
        <v>46024</v>
      </c>
      <c r="N53">
        <v>303</v>
      </c>
      <c r="O53" t="s">
        <v>26</v>
      </c>
      <c r="Q53">
        <v>321.02999999999997</v>
      </c>
      <c r="R53" t="str">
        <f>"FARMÁCIA INDIANA LJ 34 (10014)"</f>
        <v>FARMÁCIA INDIANA LJ 34 (10014)</v>
      </c>
      <c r="S53" t="s">
        <v>27</v>
      </c>
      <c r="T53">
        <v>3697</v>
      </c>
      <c r="U53">
        <v>3130</v>
      </c>
      <c r="V53" t="s">
        <v>22</v>
      </c>
    </row>
    <row r="54" spans="1:22">
      <c r="A54" t="str">
        <f t="shared" si="9"/>
        <v>02/01/2026</v>
      </c>
      <c r="B54" t="str">
        <f t="shared" si="11"/>
        <v>ENTRADA</v>
      </c>
      <c r="C54" t="str">
        <f t="shared" si="12"/>
        <v>NFSE</v>
      </c>
      <c r="D54" t="str">
        <f t="shared" si="16"/>
        <v>4112</v>
      </c>
      <c r="E54" t="str">
        <f t="shared" si="13"/>
        <v>1</v>
      </c>
      <c r="F54" t="str">
        <f t="shared" si="10"/>
        <v>COM</v>
      </c>
      <c r="G54" t="str">
        <f t="shared" si="17"/>
        <v>FARMÁCIA INDIANA LJ 30 (10127)</v>
      </c>
      <c r="H54" t="s">
        <v>28</v>
      </c>
      <c r="I54" t="str">
        <f t="shared" si="14"/>
        <v>31/12/2025</v>
      </c>
      <c r="J54" t="str">
        <f t="shared" si="15"/>
        <v>23/12/2025</v>
      </c>
      <c r="K54">
        <v>46024</v>
      </c>
      <c r="N54">
        <v>303</v>
      </c>
      <c r="O54" t="s">
        <v>26</v>
      </c>
      <c r="Q54">
        <v>168.09</v>
      </c>
      <c r="R54" t="str">
        <f>"FARMÁCIA INDIANA LJ 35 (10015)"</f>
        <v>FARMÁCIA INDIANA LJ 35 (10015)</v>
      </c>
      <c r="S54" t="s">
        <v>27</v>
      </c>
      <c r="T54">
        <v>3697</v>
      </c>
      <c r="U54">
        <v>3130</v>
      </c>
      <c r="V54" t="s">
        <v>22</v>
      </c>
    </row>
    <row r="55" spans="1:22">
      <c r="A55" t="str">
        <f t="shared" si="9"/>
        <v>02/01/2026</v>
      </c>
      <c r="B55" t="str">
        <f t="shared" si="11"/>
        <v>ENTRADA</v>
      </c>
      <c r="C55" t="str">
        <f t="shared" si="12"/>
        <v>NFSE</v>
      </c>
      <c r="D55" t="str">
        <f t="shared" si="16"/>
        <v>4112</v>
      </c>
      <c r="E55" t="str">
        <f t="shared" si="13"/>
        <v>1</v>
      </c>
      <c r="F55" t="str">
        <f t="shared" si="10"/>
        <v>COM</v>
      </c>
      <c r="G55" t="str">
        <f t="shared" si="17"/>
        <v>FARMÁCIA INDIANA LJ 30 (10127)</v>
      </c>
      <c r="H55" t="s">
        <v>28</v>
      </c>
      <c r="I55" t="str">
        <f t="shared" si="14"/>
        <v>31/12/2025</v>
      </c>
      <c r="J55" t="str">
        <f t="shared" si="15"/>
        <v>23/12/2025</v>
      </c>
      <c r="K55">
        <v>46024</v>
      </c>
      <c r="N55">
        <v>303</v>
      </c>
      <c r="O55" t="s">
        <v>26</v>
      </c>
      <c r="Q55">
        <v>288.31</v>
      </c>
      <c r="R55" t="str">
        <f>"FARMÁCIA INDIANA LJ 48 (10018)"</f>
        <v>FARMÁCIA INDIANA LJ 48 (10018)</v>
      </c>
      <c r="S55" t="s">
        <v>27</v>
      </c>
      <c r="T55">
        <v>3697</v>
      </c>
      <c r="U55">
        <v>3130</v>
      </c>
      <c r="V55" t="s">
        <v>22</v>
      </c>
    </row>
    <row r="56" spans="1:22">
      <c r="A56" t="str">
        <f t="shared" si="9"/>
        <v>02/01/2026</v>
      </c>
      <c r="B56" t="str">
        <f t="shared" si="11"/>
        <v>ENTRADA</v>
      </c>
      <c r="C56" t="str">
        <f t="shared" si="12"/>
        <v>NFSE</v>
      </c>
      <c r="D56" t="str">
        <f t="shared" si="16"/>
        <v>4112</v>
      </c>
      <c r="E56" t="str">
        <f t="shared" si="13"/>
        <v>1</v>
      </c>
      <c r="F56" t="str">
        <f t="shared" si="10"/>
        <v>COM</v>
      </c>
      <c r="G56" t="str">
        <f t="shared" si="17"/>
        <v>FARMÁCIA INDIANA LJ 30 (10127)</v>
      </c>
      <c r="H56" t="s">
        <v>28</v>
      </c>
      <c r="I56" t="str">
        <f t="shared" si="14"/>
        <v>31/12/2025</v>
      </c>
      <c r="J56" t="str">
        <f t="shared" si="15"/>
        <v>23/12/2025</v>
      </c>
      <c r="K56">
        <v>46024</v>
      </c>
      <c r="N56">
        <v>303</v>
      </c>
      <c r="O56" t="s">
        <v>26</v>
      </c>
      <c r="Q56">
        <v>348.93</v>
      </c>
      <c r="R56" t="str">
        <f>"FARMÁCIA INDIANA LJ 65 (10030)"</f>
        <v>FARMÁCIA INDIANA LJ 65 (10030)</v>
      </c>
      <c r="S56" t="s">
        <v>27</v>
      </c>
      <c r="T56">
        <v>3697</v>
      </c>
      <c r="U56">
        <v>3130</v>
      </c>
      <c r="V56" t="s">
        <v>22</v>
      </c>
    </row>
    <row r="57" spans="1:22">
      <c r="A57" t="str">
        <f t="shared" si="9"/>
        <v>02/01/2026</v>
      </c>
      <c r="B57" t="str">
        <f t="shared" si="11"/>
        <v>ENTRADA</v>
      </c>
      <c r="C57" t="str">
        <f t="shared" si="12"/>
        <v>NFSE</v>
      </c>
      <c r="D57" t="str">
        <f t="shared" si="16"/>
        <v>4112</v>
      </c>
      <c r="E57" t="str">
        <f t="shared" si="13"/>
        <v>1</v>
      </c>
      <c r="F57" t="str">
        <f t="shared" si="10"/>
        <v>COM</v>
      </c>
      <c r="G57" t="str">
        <f t="shared" si="17"/>
        <v>FARMÁCIA INDIANA LJ 30 (10127)</v>
      </c>
      <c r="H57" t="s">
        <v>28</v>
      </c>
      <c r="I57" t="str">
        <f t="shared" si="14"/>
        <v>31/12/2025</v>
      </c>
      <c r="J57" t="str">
        <f t="shared" si="15"/>
        <v>23/12/2025</v>
      </c>
      <c r="K57">
        <v>46024</v>
      </c>
      <c r="N57">
        <v>303</v>
      </c>
      <c r="O57" t="s">
        <v>26</v>
      </c>
      <c r="Q57">
        <v>85.77</v>
      </c>
      <c r="R57" t="str">
        <f>"FARMÁCIA INDIANA LJ 77 (10034)"</f>
        <v>FARMÁCIA INDIANA LJ 77 (10034)</v>
      </c>
      <c r="S57" t="s">
        <v>27</v>
      </c>
      <c r="T57">
        <v>3697</v>
      </c>
      <c r="U57">
        <v>3130</v>
      </c>
      <c r="V57" t="s">
        <v>22</v>
      </c>
    </row>
    <row r="58" spans="1:22">
      <c r="A58" t="str">
        <f t="shared" si="9"/>
        <v>02/01/2026</v>
      </c>
      <c r="B58" t="str">
        <f t="shared" si="11"/>
        <v>ENTRADA</v>
      </c>
      <c r="C58" t="str">
        <f t="shared" si="12"/>
        <v>NFSE</v>
      </c>
      <c r="D58" t="str">
        <f t="shared" si="16"/>
        <v>4112</v>
      </c>
      <c r="E58" t="str">
        <f t="shared" si="13"/>
        <v>1</v>
      </c>
      <c r="F58" t="str">
        <f t="shared" si="10"/>
        <v>COM</v>
      </c>
      <c r="G58" t="str">
        <f t="shared" si="17"/>
        <v>FARMÁCIA INDIANA LJ 30 (10127)</v>
      </c>
      <c r="H58" t="s">
        <v>28</v>
      </c>
      <c r="I58" t="str">
        <f t="shared" si="14"/>
        <v>31/12/2025</v>
      </c>
      <c r="J58" t="str">
        <f t="shared" si="15"/>
        <v>23/12/2025</v>
      </c>
      <c r="K58">
        <v>46024</v>
      </c>
      <c r="N58">
        <v>303</v>
      </c>
      <c r="O58" t="s">
        <v>26</v>
      </c>
      <c r="Q58">
        <v>759.86</v>
      </c>
      <c r="R58" t="str">
        <f>"FARMÁCIA INDIANA LJ 91 (10037)"</f>
        <v>FARMÁCIA INDIANA LJ 91 (10037)</v>
      </c>
      <c r="S58" t="s">
        <v>27</v>
      </c>
      <c r="T58">
        <v>3697</v>
      </c>
      <c r="U58">
        <v>3130</v>
      </c>
      <c r="V58" t="s">
        <v>22</v>
      </c>
    </row>
    <row r="59" spans="1:22">
      <c r="A59" t="str">
        <f t="shared" si="9"/>
        <v>02/01/2026</v>
      </c>
      <c r="B59" t="str">
        <f t="shared" si="11"/>
        <v>ENTRADA</v>
      </c>
      <c r="C59" t="str">
        <f t="shared" si="12"/>
        <v>NFSE</v>
      </c>
      <c r="D59" t="str">
        <f t="shared" si="16"/>
        <v>4112</v>
      </c>
      <c r="E59" t="str">
        <f t="shared" si="13"/>
        <v>1</v>
      </c>
      <c r="F59" t="str">
        <f t="shared" si="10"/>
        <v>COM</v>
      </c>
      <c r="G59" t="str">
        <f t="shared" si="17"/>
        <v>FARMÁCIA INDIANA LJ 30 (10127)</v>
      </c>
      <c r="H59" t="s">
        <v>28</v>
      </c>
      <c r="I59" t="str">
        <f t="shared" si="14"/>
        <v>31/12/2025</v>
      </c>
      <c r="J59" t="str">
        <f t="shared" si="15"/>
        <v>23/12/2025</v>
      </c>
      <c r="K59">
        <v>46024</v>
      </c>
      <c r="N59">
        <v>303</v>
      </c>
      <c r="O59" t="s">
        <v>26</v>
      </c>
      <c r="Q59">
        <v>230.44</v>
      </c>
      <c r="R59" t="str">
        <f>"FARMÁCIA INDIANA LJ 95 (10039)"</f>
        <v>FARMÁCIA INDIANA LJ 95 (10039)</v>
      </c>
      <c r="S59" t="s">
        <v>27</v>
      </c>
      <c r="T59">
        <v>3697</v>
      </c>
      <c r="U59">
        <v>3130</v>
      </c>
      <c r="V59" t="s">
        <v>22</v>
      </c>
    </row>
    <row r="60" spans="1:22">
      <c r="A60" t="str">
        <f t="shared" si="9"/>
        <v>02/01/2026</v>
      </c>
      <c r="B60" t="str">
        <f t="shared" si="11"/>
        <v>ENTRADA</v>
      </c>
      <c r="C60" t="str">
        <f t="shared" si="12"/>
        <v>NFSE</v>
      </c>
      <c r="D60" t="str">
        <f t="shared" si="16"/>
        <v>4112</v>
      </c>
      <c r="E60" t="str">
        <f t="shared" si="13"/>
        <v>1</v>
      </c>
      <c r="F60" t="str">
        <f t="shared" si="10"/>
        <v>COM</v>
      </c>
      <c r="G60" t="str">
        <f t="shared" si="17"/>
        <v>FARMÁCIA INDIANA LJ 30 (10127)</v>
      </c>
      <c r="H60" t="s">
        <v>28</v>
      </c>
      <c r="I60" t="str">
        <f t="shared" si="14"/>
        <v>31/12/2025</v>
      </c>
      <c r="J60" t="str">
        <f t="shared" si="15"/>
        <v>23/12/2025</v>
      </c>
      <c r="K60">
        <v>46024</v>
      </c>
      <c r="N60">
        <v>303</v>
      </c>
      <c r="O60" t="s">
        <v>26</v>
      </c>
      <c r="Q60">
        <v>140.88</v>
      </c>
      <c r="R60" t="str">
        <f>"FARMÁCIA INDIANA LJ 145 (10068)"</f>
        <v>FARMÁCIA INDIANA LJ 145 (10068)</v>
      </c>
      <c r="S60" t="s">
        <v>27</v>
      </c>
      <c r="T60">
        <v>3697</v>
      </c>
      <c r="U60">
        <v>3130</v>
      </c>
      <c r="V60" t="s">
        <v>22</v>
      </c>
    </row>
    <row r="61" spans="1:22">
      <c r="A61" t="str">
        <f t="shared" si="9"/>
        <v>02/01/2026</v>
      </c>
      <c r="B61" t="str">
        <f t="shared" si="11"/>
        <v>ENTRADA</v>
      </c>
      <c r="C61" t="str">
        <f t="shared" si="12"/>
        <v>NFSE</v>
      </c>
      <c r="D61" t="str">
        <f t="shared" si="16"/>
        <v>4112</v>
      </c>
      <c r="E61" t="str">
        <f t="shared" si="13"/>
        <v>1</v>
      </c>
      <c r="F61" t="str">
        <f t="shared" si="10"/>
        <v>COM</v>
      </c>
      <c r="G61" t="str">
        <f t="shared" si="17"/>
        <v>FARMÁCIA INDIANA LJ 30 (10127)</v>
      </c>
      <c r="H61" t="s">
        <v>28</v>
      </c>
      <c r="I61" t="str">
        <f t="shared" si="14"/>
        <v>31/12/2025</v>
      </c>
      <c r="J61" t="str">
        <f t="shared" si="15"/>
        <v>23/12/2025</v>
      </c>
      <c r="K61">
        <v>46024</v>
      </c>
      <c r="N61">
        <v>303</v>
      </c>
      <c r="O61" t="s">
        <v>26</v>
      </c>
      <c r="Q61">
        <v>109.88</v>
      </c>
      <c r="R61" t="str">
        <f>"FARMÁCIA INDIANA LJ 169 (10073)"</f>
        <v>FARMÁCIA INDIANA LJ 169 (10073)</v>
      </c>
      <c r="S61" t="s">
        <v>27</v>
      </c>
      <c r="T61">
        <v>3697</v>
      </c>
      <c r="U61">
        <v>3130</v>
      </c>
      <c r="V61" t="s">
        <v>22</v>
      </c>
    </row>
    <row r="62" spans="1:22">
      <c r="A62" t="str">
        <f t="shared" si="9"/>
        <v>02/01/2026</v>
      </c>
      <c r="B62" t="str">
        <f t="shared" si="11"/>
        <v>ENTRADA</v>
      </c>
      <c r="C62" t="str">
        <f t="shared" si="12"/>
        <v>NFSE</v>
      </c>
      <c r="D62" t="str">
        <f t="shared" si="16"/>
        <v>4112</v>
      </c>
      <c r="E62" t="str">
        <f t="shared" si="13"/>
        <v>1</v>
      </c>
      <c r="F62" t="str">
        <f t="shared" si="10"/>
        <v>COM</v>
      </c>
      <c r="G62" t="str">
        <f t="shared" si="17"/>
        <v>FARMÁCIA INDIANA LJ 30 (10127)</v>
      </c>
      <c r="H62" t="s">
        <v>28</v>
      </c>
      <c r="I62" t="str">
        <f t="shared" si="14"/>
        <v>31/12/2025</v>
      </c>
      <c r="J62" t="str">
        <f t="shared" si="15"/>
        <v>23/12/2025</v>
      </c>
      <c r="K62">
        <v>46024</v>
      </c>
      <c r="N62">
        <v>303</v>
      </c>
      <c r="O62" t="s">
        <v>26</v>
      </c>
      <c r="Q62">
        <v>174.29</v>
      </c>
      <c r="R62" t="str">
        <f>"FARMÁCIA INDIANA LJ 173 (10075)"</f>
        <v>FARMÁCIA INDIANA LJ 173 (10075)</v>
      </c>
      <c r="S62" t="s">
        <v>27</v>
      </c>
      <c r="T62">
        <v>3697</v>
      </c>
      <c r="U62">
        <v>3130</v>
      </c>
      <c r="V62" t="s">
        <v>22</v>
      </c>
    </row>
    <row r="63" spans="1:22">
      <c r="A63" t="str">
        <f t="shared" si="9"/>
        <v>02/01/2026</v>
      </c>
      <c r="B63" t="str">
        <f t="shared" si="11"/>
        <v>ENTRADA</v>
      </c>
      <c r="C63" t="str">
        <f t="shared" si="12"/>
        <v>NFSE</v>
      </c>
      <c r="D63" t="str">
        <f t="shared" si="16"/>
        <v>4112</v>
      </c>
      <c r="E63" t="str">
        <f t="shared" si="13"/>
        <v>1</v>
      </c>
      <c r="F63" t="str">
        <f t="shared" si="10"/>
        <v>COM</v>
      </c>
      <c r="G63" t="str">
        <f t="shared" si="17"/>
        <v>FARMÁCIA INDIANA LJ 30 (10127)</v>
      </c>
      <c r="H63" t="s">
        <v>28</v>
      </c>
      <c r="I63" t="str">
        <f t="shared" si="14"/>
        <v>31/12/2025</v>
      </c>
      <c r="J63" t="str">
        <f t="shared" si="15"/>
        <v>23/12/2025</v>
      </c>
      <c r="K63">
        <v>46024</v>
      </c>
      <c r="N63">
        <v>303</v>
      </c>
      <c r="O63" t="s">
        <v>26</v>
      </c>
      <c r="Q63">
        <v>79.91</v>
      </c>
      <c r="R63" t="str">
        <f>"FARMÁCIA INDIANA LJ 213 (10090)"</f>
        <v>FARMÁCIA INDIANA LJ 213 (10090)</v>
      </c>
      <c r="S63" t="s">
        <v>27</v>
      </c>
      <c r="T63">
        <v>3697</v>
      </c>
      <c r="U63">
        <v>3130</v>
      </c>
      <c r="V63" t="s">
        <v>22</v>
      </c>
    </row>
    <row r="64" spans="1:22">
      <c r="A64" t="str">
        <f t="shared" si="9"/>
        <v>02/01/2026</v>
      </c>
      <c r="B64" t="str">
        <f t="shared" si="11"/>
        <v>ENTRADA</v>
      </c>
      <c r="C64" t="str">
        <f t="shared" si="12"/>
        <v>NFSE</v>
      </c>
      <c r="D64" t="str">
        <f t="shared" si="16"/>
        <v>4112</v>
      </c>
      <c r="E64" t="str">
        <f t="shared" si="13"/>
        <v>1</v>
      </c>
      <c r="F64" t="str">
        <f t="shared" si="10"/>
        <v>COM</v>
      </c>
      <c r="G64" t="str">
        <f t="shared" si="17"/>
        <v>FARMÁCIA INDIANA LJ 30 (10127)</v>
      </c>
      <c r="H64" t="s">
        <v>28</v>
      </c>
      <c r="I64" t="str">
        <f t="shared" si="14"/>
        <v>31/12/2025</v>
      </c>
      <c r="J64" t="str">
        <f t="shared" si="15"/>
        <v>23/12/2025</v>
      </c>
      <c r="K64">
        <v>46024</v>
      </c>
      <c r="N64">
        <v>303</v>
      </c>
      <c r="O64" t="s">
        <v>26</v>
      </c>
      <c r="Q64">
        <v>135.71</v>
      </c>
      <c r="R64" t="str">
        <f>"FARMÁCIA INDIANA LJ 200 (10155)"</f>
        <v>FARMÁCIA INDIANA LJ 200 (10155)</v>
      </c>
      <c r="S64" t="s">
        <v>27</v>
      </c>
      <c r="T64">
        <v>3697</v>
      </c>
      <c r="U64">
        <v>3130</v>
      </c>
      <c r="V64" t="s">
        <v>22</v>
      </c>
    </row>
    <row r="65" spans="1:22">
      <c r="A65" t="str">
        <f t="shared" si="9"/>
        <v>02/01/2026</v>
      </c>
      <c r="B65" t="str">
        <f t="shared" si="11"/>
        <v>ENTRADA</v>
      </c>
      <c r="C65" t="str">
        <f t="shared" si="12"/>
        <v>NFSE</v>
      </c>
      <c r="D65" t="str">
        <f t="shared" si="16"/>
        <v>4112</v>
      </c>
      <c r="E65" t="str">
        <f t="shared" si="13"/>
        <v>1</v>
      </c>
      <c r="F65" t="str">
        <f t="shared" si="10"/>
        <v>COM</v>
      </c>
      <c r="G65" t="str">
        <f t="shared" si="17"/>
        <v>FARMÁCIA INDIANA LJ 30 (10127)</v>
      </c>
      <c r="H65" t="s">
        <v>28</v>
      </c>
      <c r="I65" t="str">
        <f t="shared" si="14"/>
        <v>31/12/2025</v>
      </c>
      <c r="J65" t="str">
        <f t="shared" si="15"/>
        <v>23/12/2025</v>
      </c>
      <c r="K65">
        <v>46024</v>
      </c>
      <c r="N65">
        <v>303</v>
      </c>
      <c r="O65" t="s">
        <v>26</v>
      </c>
      <c r="Q65">
        <v>247.66</v>
      </c>
      <c r="R65" t="str">
        <f>"FARMÁCIA INDIANA LJ 33 (10187)"</f>
        <v>FARMÁCIA INDIANA LJ 33 (10187)</v>
      </c>
      <c r="S65" t="s">
        <v>27</v>
      </c>
      <c r="T65">
        <v>3697</v>
      </c>
      <c r="U65">
        <v>3130</v>
      </c>
      <c r="V65" t="s">
        <v>22</v>
      </c>
    </row>
    <row r="66" spans="1:22">
      <c r="A66" t="str">
        <f t="shared" ref="A66:A97" si="18">("02/01/2026")</f>
        <v>02/01/2026</v>
      </c>
      <c r="B66" t="str">
        <f t="shared" si="11"/>
        <v>ENTRADA</v>
      </c>
      <c r="C66" t="str">
        <f t="shared" si="12"/>
        <v>NFSE</v>
      </c>
      <c r="D66" t="str">
        <f t="shared" si="16"/>
        <v>4112</v>
      </c>
      <c r="E66" t="str">
        <f t="shared" si="13"/>
        <v>1</v>
      </c>
      <c r="F66" t="str">
        <f t="shared" ref="F66:F97" si="19">"COM"</f>
        <v>COM</v>
      </c>
      <c r="G66" t="str">
        <f t="shared" si="17"/>
        <v>FARMÁCIA INDIANA LJ 30 (10127)</v>
      </c>
      <c r="H66" t="s">
        <v>28</v>
      </c>
      <c r="I66" t="str">
        <f t="shared" si="14"/>
        <v>31/12/2025</v>
      </c>
      <c r="J66" t="str">
        <f t="shared" si="15"/>
        <v>23/12/2025</v>
      </c>
      <c r="K66">
        <v>46024</v>
      </c>
      <c r="N66">
        <v>303</v>
      </c>
      <c r="O66" t="s">
        <v>26</v>
      </c>
      <c r="Q66">
        <v>99.89</v>
      </c>
      <c r="R66" t="str">
        <f>"FARMÁCIA INDIANA LJ 283 (10268)"</f>
        <v>FARMÁCIA INDIANA LJ 283 (10268)</v>
      </c>
      <c r="S66" t="s">
        <v>27</v>
      </c>
      <c r="T66">
        <v>3697</v>
      </c>
      <c r="U66">
        <v>3130</v>
      </c>
      <c r="V66" t="s">
        <v>22</v>
      </c>
    </row>
    <row r="67" spans="1:22">
      <c r="A67" t="str">
        <f t="shared" si="18"/>
        <v>02/01/2026</v>
      </c>
      <c r="B67" t="str">
        <f t="shared" si="11"/>
        <v>ENTRADA</v>
      </c>
      <c r="C67" t="str">
        <f t="shared" si="12"/>
        <v>NFSE</v>
      </c>
      <c r="D67" t="str">
        <f t="shared" si="16"/>
        <v>4112</v>
      </c>
      <c r="E67" t="str">
        <f t="shared" si="13"/>
        <v>1</v>
      </c>
      <c r="F67" t="str">
        <f t="shared" si="19"/>
        <v>COM</v>
      </c>
      <c r="G67" t="str">
        <f t="shared" si="17"/>
        <v>FARMÁCIA INDIANA LJ 30 (10127)</v>
      </c>
      <c r="H67" t="s">
        <v>28</v>
      </c>
      <c r="I67" t="str">
        <f t="shared" si="14"/>
        <v>31/12/2025</v>
      </c>
      <c r="J67" t="str">
        <f t="shared" si="15"/>
        <v>23/12/2025</v>
      </c>
      <c r="K67">
        <v>46024</v>
      </c>
      <c r="N67">
        <v>303</v>
      </c>
      <c r="O67" t="s">
        <v>26</v>
      </c>
      <c r="Q67">
        <v>139.85</v>
      </c>
      <c r="R67" t="str">
        <f>"FARMÁCIA INDIANA LJ 155 (10273)"</f>
        <v>FARMÁCIA INDIANA LJ 155 (10273)</v>
      </c>
      <c r="S67" t="s">
        <v>27</v>
      </c>
      <c r="T67">
        <v>3697</v>
      </c>
      <c r="U67">
        <v>3130</v>
      </c>
      <c r="V67" t="s">
        <v>22</v>
      </c>
    </row>
    <row r="68" spans="1:22">
      <c r="A68" t="str">
        <f t="shared" si="18"/>
        <v>02/01/2026</v>
      </c>
      <c r="B68" t="str">
        <f t="shared" ref="B68:B99" si="20">"ENTRADA"</f>
        <v>ENTRADA</v>
      </c>
      <c r="C68" t="str">
        <f t="shared" ref="C68:C99" si="21">"NFSE"</f>
        <v>NFSE</v>
      </c>
      <c r="D68" t="str">
        <f t="shared" si="16"/>
        <v>4112</v>
      </c>
      <c r="E68" t="str">
        <f t="shared" ref="E68:E99" si="22">"1"</f>
        <v>1</v>
      </c>
      <c r="F68" t="str">
        <f t="shared" si="19"/>
        <v>COM</v>
      </c>
      <c r="G68" t="str">
        <f t="shared" si="17"/>
        <v>FARMÁCIA INDIANA LJ 30 (10127)</v>
      </c>
      <c r="H68" t="s">
        <v>28</v>
      </c>
      <c r="I68" t="str">
        <f t="shared" ref="I68:I99" si="23">("31/12/2025")</f>
        <v>31/12/2025</v>
      </c>
      <c r="J68" t="str">
        <f t="shared" ref="J68:J79" si="24">("23/12/2025")</f>
        <v>23/12/2025</v>
      </c>
      <c r="K68">
        <v>46024</v>
      </c>
      <c r="N68">
        <v>303</v>
      </c>
      <c r="O68" t="s">
        <v>26</v>
      </c>
      <c r="Q68">
        <v>114.01</v>
      </c>
      <c r="R68" t="str">
        <f>"FARMÁCIA INDIANA LJ 158 (10275)"</f>
        <v>FARMÁCIA INDIANA LJ 158 (10275)</v>
      </c>
      <c r="S68" t="s">
        <v>27</v>
      </c>
      <c r="T68">
        <v>3697</v>
      </c>
      <c r="U68">
        <v>3130</v>
      </c>
      <c r="V68" t="s">
        <v>22</v>
      </c>
    </row>
    <row r="69" spans="1:22">
      <c r="A69" t="str">
        <f t="shared" si="18"/>
        <v>02/01/2026</v>
      </c>
      <c r="B69" t="str">
        <f t="shared" si="20"/>
        <v>ENTRADA</v>
      </c>
      <c r="C69" t="str">
        <f t="shared" si="21"/>
        <v>NFSE</v>
      </c>
      <c r="D69" t="str">
        <f t="shared" ref="D69:D79" si="25">"4113"</f>
        <v>4113</v>
      </c>
      <c r="E69" t="str">
        <f t="shared" si="22"/>
        <v>1</v>
      </c>
      <c r="F69" t="str">
        <f t="shared" si="19"/>
        <v>COM</v>
      </c>
      <c r="G69" t="str">
        <f t="shared" ref="G69:G79" si="26">"FARMÁCIA INDIANA LJ 85 (10128)"</f>
        <v>FARMÁCIA INDIANA LJ 85 (10128)</v>
      </c>
      <c r="H69" t="str">
        <f>"Serv.Prest. 15/12/2025 a 21/12/2025 - RPS: 1875 - NFSe: 4113"</f>
        <v>Serv.Prest. 15/12/2025 a 21/12/2025 - RPS: 1875 - NFSe: 4113</v>
      </c>
      <c r="I69" t="str">
        <f t="shared" si="23"/>
        <v>31/12/2025</v>
      </c>
      <c r="J69" t="str">
        <f t="shared" si="24"/>
        <v>23/12/2025</v>
      </c>
      <c r="K69" t="str">
        <f>("02/01/2026")</f>
        <v>02/01/2026</v>
      </c>
      <c r="L69">
        <v>1042.08</v>
      </c>
      <c r="M69">
        <v>1042.08</v>
      </c>
      <c r="N69">
        <v>303</v>
      </c>
      <c r="O69" t="str">
        <f>"RECEITAS COM ENTREGAS"</f>
        <v>RECEITAS COM ENTREGAS</v>
      </c>
      <c r="P69">
        <v>1042.08</v>
      </c>
      <c r="S69" t="str">
        <f>"RECEITAS COM ENTREGAS (303)"</f>
        <v>RECEITAS COM ENTREGAS (303)</v>
      </c>
      <c r="T69">
        <v>3698</v>
      </c>
      <c r="U69">
        <v>3131</v>
      </c>
      <c r="V69" t="s">
        <v>22</v>
      </c>
    </row>
    <row r="70" spans="1:22">
      <c r="A70" t="str">
        <f t="shared" si="18"/>
        <v>02/01/2026</v>
      </c>
      <c r="B70" t="str">
        <f t="shared" si="20"/>
        <v>ENTRADA</v>
      </c>
      <c r="C70" t="str">
        <f t="shared" si="21"/>
        <v>NFSE</v>
      </c>
      <c r="D70" t="str">
        <f t="shared" si="25"/>
        <v>4113</v>
      </c>
      <c r="E70" t="str">
        <f t="shared" si="22"/>
        <v>1</v>
      </c>
      <c r="F70" t="str">
        <f t="shared" si="19"/>
        <v>COM</v>
      </c>
      <c r="G70" t="str">
        <f t="shared" si="26"/>
        <v>FARMÁCIA INDIANA LJ 85 (10128)</v>
      </c>
      <c r="H70" t="s">
        <v>29</v>
      </c>
      <c r="I70" t="str">
        <f t="shared" si="23"/>
        <v>31/12/2025</v>
      </c>
      <c r="J70" t="str">
        <f t="shared" si="24"/>
        <v>23/12/2025</v>
      </c>
      <c r="K70">
        <v>46024</v>
      </c>
      <c r="N70">
        <v>303</v>
      </c>
      <c r="O70" t="s">
        <v>26</v>
      </c>
      <c r="Q70">
        <v>107.95</v>
      </c>
      <c r="R70" t="str">
        <f>"FARMÁCIA INDIANA LJ 119 (10053)"</f>
        <v>FARMÁCIA INDIANA LJ 119 (10053)</v>
      </c>
      <c r="S70" t="s">
        <v>27</v>
      </c>
      <c r="T70">
        <v>3698</v>
      </c>
      <c r="U70">
        <v>3131</v>
      </c>
      <c r="V70" t="s">
        <v>22</v>
      </c>
    </row>
    <row r="71" spans="1:22">
      <c r="A71" t="str">
        <f t="shared" si="18"/>
        <v>02/01/2026</v>
      </c>
      <c r="B71" t="str">
        <f t="shared" si="20"/>
        <v>ENTRADA</v>
      </c>
      <c r="C71" t="str">
        <f t="shared" si="21"/>
        <v>NFSE</v>
      </c>
      <c r="D71" t="str">
        <f t="shared" si="25"/>
        <v>4113</v>
      </c>
      <c r="E71" t="str">
        <f t="shared" si="22"/>
        <v>1</v>
      </c>
      <c r="F71" t="str">
        <f t="shared" si="19"/>
        <v>COM</v>
      </c>
      <c r="G71" t="str">
        <f t="shared" si="26"/>
        <v>FARMÁCIA INDIANA LJ 85 (10128)</v>
      </c>
      <c r="H71" t="s">
        <v>29</v>
      </c>
      <c r="I71" t="str">
        <f t="shared" si="23"/>
        <v>31/12/2025</v>
      </c>
      <c r="J71" t="str">
        <f t="shared" si="24"/>
        <v>23/12/2025</v>
      </c>
      <c r="K71">
        <v>46024</v>
      </c>
      <c r="N71">
        <v>303</v>
      </c>
      <c r="O71" t="s">
        <v>26</v>
      </c>
      <c r="Q71">
        <v>98.37</v>
      </c>
      <c r="R71" t="str">
        <f>"FARMÁCIA INDIANA LJ 163 (10072)"</f>
        <v>FARMÁCIA INDIANA LJ 163 (10072)</v>
      </c>
      <c r="S71" t="s">
        <v>27</v>
      </c>
      <c r="T71">
        <v>3698</v>
      </c>
      <c r="U71">
        <v>3131</v>
      </c>
      <c r="V71" t="s">
        <v>22</v>
      </c>
    </row>
    <row r="72" spans="1:22">
      <c r="A72" t="str">
        <f t="shared" si="18"/>
        <v>02/01/2026</v>
      </c>
      <c r="B72" t="str">
        <f t="shared" si="20"/>
        <v>ENTRADA</v>
      </c>
      <c r="C72" t="str">
        <f t="shared" si="21"/>
        <v>NFSE</v>
      </c>
      <c r="D72" t="str">
        <f t="shared" si="25"/>
        <v>4113</v>
      </c>
      <c r="E72" t="str">
        <f t="shared" si="22"/>
        <v>1</v>
      </c>
      <c r="F72" t="str">
        <f t="shared" si="19"/>
        <v>COM</v>
      </c>
      <c r="G72" t="str">
        <f t="shared" si="26"/>
        <v>FARMÁCIA INDIANA LJ 85 (10128)</v>
      </c>
      <c r="H72" t="s">
        <v>29</v>
      </c>
      <c r="I72" t="str">
        <f t="shared" si="23"/>
        <v>31/12/2025</v>
      </c>
      <c r="J72" t="str">
        <f t="shared" si="24"/>
        <v>23/12/2025</v>
      </c>
      <c r="K72">
        <v>46024</v>
      </c>
      <c r="N72">
        <v>303</v>
      </c>
      <c r="O72" t="s">
        <v>26</v>
      </c>
      <c r="Q72">
        <v>217.17</v>
      </c>
      <c r="R72" t="str">
        <f>"FARMÁCIA INDIANA LJ 181 (10078)"</f>
        <v>FARMÁCIA INDIANA LJ 181 (10078)</v>
      </c>
      <c r="S72" t="s">
        <v>27</v>
      </c>
      <c r="T72">
        <v>3698</v>
      </c>
      <c r="U72">
        <v>3131</v>
      </c>
      <c r="V72" t="s">
        <v>22</v>
      </c>
    </row>
    <row r="73" spans="1:22">
      <c r="A73" t="str">
        <f t="shared" si="18"/>
        <v>02/01/2026</v>
      </c>
      <c r="B73" t="str">
        <f t="shared" si="20"/>
        <v>ENTRADA</v>
      </c>
      <c r="C73" t="str">
        <f t="shared" si="21"/>
        <v>NFSE</v>
      </c>
      <c r="D73" t="str">
        <f t="shared" si="25"/>
        <v>4113</v>
      </c>
      <c r="E73" t="str">
        <f t="shared" si="22"/>
        <v>1</v>
      </c>
      <c r="F73" t="str">
        <f t="shared" si="19"/>
        <v>COM</v>
      </c>
      <c r="G73" t="str">
        <f t="shared" si="26"/>
        <v>FARMÁCIA INDIANA LJ 85 (10128)</v>
      </c>
      <c r="H73" t="s">
        <v>29</v>
      </c>
      <c r="I73" t="str">
        <f t="shared" si="23"/>
        <v>31/12/2025</v>
      </c>
      <c r="J73" t="str">
        <f t="shared" si="24"/>
        <v>23/12/2025</v>
      </c>
      <c r="K73">
        <v>46024</v>
      </c>
      <c r="N73">
        <v>303</v>
      </c>
      <c r="O73" t="s">
        <v>26</v>
      </c>
      <c r="Q73">
        <v>107.75</v>
      </c>
      <c r="R73" t="str">
        <f>"FARMÁCIA INDIANA LJ 221 (10093)"</f>
        <v>FARMÁCIA INDIANA LJ 221 (10093)</v>
      </c>
      <c r="S73" t="s">
        <v>27</v>
      </c>
      <c r="T73">
        <v>3698</v>
      </c>
      <c r="U73">
        <v>3131</v>
      </c>
      <c r="V73" t="s">
        <v>22</v>
      </c>
    </row>
    <row r="74" spans="1:22">
      <c r="A74" t="str">
        <f t="shared" si="18"/>
        <v>02/01/2026</v>
      </c>
      <c r="B74" t="str">
        <f t="shared" si="20"/>
        <v>ENTRADA</v>
      </c>
      <c r="C74" t="str">
        <f t="shared" si="21"/>
        <v>NFSE</v>
      </c>
      <c r="D74" t="str">
        <f t="shared" si="25"/>
        <v>4113</v>
      </c>
      <c r="E74" t="str">
        <f t="shared" si="22"/>
        <v>1</v>
      </c>
      <c r="F74" t="str">
        <f t="shared" si="19"/>
        <v>COM</v>
      </c>
      <c r="G74" t="str">
        <f t="shared" si="26"/>
        <v>FARMÁCIA INDIANA LJ 85 (10128)</v>
      </c>
      <c r="H74" t="s">
        <v>29</v>
      </c>
      <c r="I74" t="str">
        <f t="shared" si="23"/>
        <v>31/12/2025</v>
      </c>
      <c r="J74" t="str">
        <f t="shared" si="24"/>
        <v>23/12/2025</v>
      </c>
      <c r="K74">
        <v>46024</v>
      </c>
      <c r="N74">
        <v>303</v>
      </c>
      <c r="O74" t="s">
        <v>26</v>
      </c>
      <c r="Q74">
        <v>127.97</v>
      </c>
      <c r="R74" t="str">
        <f>"FARMÁCIA INDIANA LJ 243 (10142)"</f>
        <v>FARMÁCIA INDIANA LJ 243 (10142)</v>
      </c>
      <c r="S74" t="s">
        <v>27</v>
      </c>
      <c r="T74">
        <v>3698</v>
      </c>
      <c r="U74">
        <v>3131</v>
      </c>
      <c r="V74" t="s">
        <v>22</v>
      </c>
    </row>
    <row r="75" spans="1:22">
      <c r="A75" t="str">
        <f t="shared" si="18"/>
        <v>02/01/2026</v>
      </c>
      <c r="B75" t="str">
        <f t="shared" si="20"/>
        <v>ENTRADA</v>
      </c>
      <c r="C75" t="str">
        <f t="shared" si="21"/>
        <v>NFSE</v>
      </c>
      <c r="D75" t="str">
        <f t="shared" si="25"/>
        <v>4113</v>
      </c>
      <c r="E75" t="str">
        <f t="shared" si="22"/>
        <v>1</v>
      </c>
      <c r="F75" t="str">
        <f t="shared" si="19"/>
        <v>COM</v>
      </c>
      <c r="G75" t="str">
        <f t="shared" si="26"/>
        <v>FARMÁCIA INDIANA LJ 85 (10128)</v>
      </c>
      <c r="H75" t="s">
        <v>29</v>
      </c>
      <c r="I75" t="str">
        <f t="shared" si="23"/>
        <v>31/12/2025</v>
      </c>
      <c r="J75" t="str">
        <f t="shared" si="24"/>
        <v>23/12/2025</v>
      </c>
      <c r="K75">
        <v>46024</v>
      </c>
      <c r="N75">
        <v>303</v>
      </c>
      <c r="O75" t="s">
        <v>26</v>
      </c>
      <c r="Q75">
        <v>57.42</v>
      </c>
      <c r="R75" t="str">
        <f>"FARMÁCIA INDIANA LJ 211 (10168)"</f>
        <v>FARMÁCIA INDIANA LJ 211 (10168)</v>
      </c>
      <c r="S75" t="s">
        <v>27</v>
      </c>
      <c r="T75">
        <v>3698</v>
      </c>
      <c r="U75">
        <v>3131</v>
      </c>
      <c r="V75" t="s">
        <v>22</v>
      </c>
    </row>
    <row r="76" spans="1:22">
      <c r="A76" t="str">
        <f t="shared" si="18"/>
        <v>02/01/2026</v>
      </c>
      <c r="B76" t="str">
        <f t="shared" si="20"/>
        <v>ENTRADA</v>
      </c>
      <c r="C76" t="str">
        <f t="shared" si="21"/>
        <v>NFSE</v>
      </c>
      <c r="D76" t="str">
        <f t="shared" si="25"/>
        <v>4113</v>
      </c>
      <c r="E76" t="str">
        <f t="shared" si="22"/>
        <v>1</v>
      </c>
      <c r="F76" t="str">
        <f t="shared" si="19"/>
        <v>COM</v>
      </c>
      <c r="G76" t="str">
        <f t="shared" si="26"/>
        <v>FARMÁCIA INDIANA LJ 85 (10128)</v>
      </c>
      <c r="H76" t="s">
        <v>29</v>
      </c>
      <c r="I76" t="str">
        <f t="shared" si="23"/>
        <v>31/12/2025</v>
      </c>
      <c r="J76" t="str">
        <f t="shared" si="24"/>
        <v>23/12/2025</v>
      </c>
      <c r="K76">
        <v>46024</v>
      </c>
      <c r="N76">
        <v>303</v>
      </c>
      <c r="O76" t="s">
        <v>26</v>
      </c>
      <c r="Q76">
        <v>57.42</v>
      </c>
      <c r="R76" t="str">
        <f>"FARMÁCIA INDIANA LJ 236 (10169)"</f>
        <v>FARMÁCIA INDIANA LJ 236 (10169)</v>
      </c>
      <c r="S76" t="s">
        <v>27</v>
      </c>
      <c r="T76">
        <v>3698</v>
      </c>
      <c r="U76">
        <v>3131</v>
      </c>
      <c r="V76" t="s">
        <v>22</v>
      </c>
    </row>
    <row r="77" spans="1:22">
      <c r="A77" t="str">
        <f t="shared" si="18"/>
        <v>02/01/2026</v>
      </c>
      <c r="B77" t="str">
        <f t="shared" si="20"/>
        <v>ENTRADA</v>
      </c>
      <c r="C77" t="str">
        <f t="shared" si="21"/>
        <v>NFSE</v>
      </c>
      <c r="D77" t="str">
        <f t="shared" si="25"/>
        <v>4113</v>
      </c>
      <c r="E77" t="str">
        <f t="shared" si="22"/>
        <v>1</v>
      </c>
      <c r="F77" t="str">
        <f t="shared" si="19"/>
        <v>COM</v>
      </c>
      <c r="G77" t="str">
        <f t="shared" si="26"/>
        <v>FARMÁCIA INDIANA LJ 85 (10128)</v>
      </c>
      <c r="H77" t="s">
        <v>29</v>
      </c>
      <c r="I77" t="str">
        <f t="shared" si="23"/>
        <v>31/12/2025</v>
      </c>
      <c r="J77" t="str">
        <f t="shared" si="24"/>
        <v>23/12/2025</v>
      </c>
      <c r="K77">
        <v>46024</v>
      </c>
      <c r="N77">
        <v>303</v>
      </c>
      <c r="O77" t="s">
        <v>26</v>
      </c>
      <c r="Q77">
        <v>114.84</v>
      </c>
      <c r="R77" t="str">
        <f>"FARMÁCIA INDIANA LJ 188 (10176)"</f>
        <v>FARMÁCIA INDIANA LJ 188 (10176)</v>
      </c>
      <c r="S77" t="s">
        <v>27</v>
      </c>
      <c r="T77">
        <v>3698</v>
      </c>
      <c r="U77">
        <v>3131</v>
      </c>
      <c r="V77" t="s">
        <v>22</v>
      </c>
    </row>
    <row r="78" spans="1:22">
      <c r="A78" t="str">
        <f t="shared" si="18"/>
        <v>02/01/2026</v>
      </c>
      <c r="B78" t="str">
        <f t="shared" si="20"/>
        <v>ENTRADA</v>
      </c>
      <c r="C78" t="str">
        <f t="shared" si="21"/>
        <v>NFSE</v>
      </c>
      <c r="D78" t="str">
        <f t="shared" si="25"/>
        <v>4113</v>
      </c>
      <c r="E78" t="str">
        <f t="shared" si="22"/>
        <v>1</v>
      </c>
      <c r="F78" t="str">
        <f t="shared" si="19"/>
        <v>COM</v>
      </c>
      <c r="G78" t="str">
        <f t="shared" si="26"/>
        <v>FARMÁCIA INDIANA LJ 85 (10128)</v>
      </c>
      <c r="H78" t="s">
        <v>29</v>
      </c>
      <c r="I78" t="str">
        <f t="shared" si="23"/>
        <v>31/12/2025</v>
      </c>
      <c r="J78" t="str">
        <f t="shared" si="24"/>
        <v>23/12/2025</v>
      </c>
      <c r="K78">
        <v>46024</v>
      </c>
      <c r="N78">
        <v>303</v>
      </c>
      <c r="O78" t="s">
        <v>26</v>
      </c>
      <c r="Q78">
        <v>134.94999999999999</v>
      </c>
      <c r="R78" t="str">
        <f>"FARMÁCIA INDIANA LJ 273 (10188)"</f>
        <v>FARMÁCIA INDIANA LJ 273 (10188)</v>
      </c>
      <c r="S78" t="s">
        <v>27</v>
      </c>
      <c r="T78">
        <v>3698</v>
      </c>
      <c r="U78">
        <v>3131</v>
      </c>
      <c r="V78" t="s">
        <v>22</v>
      </c>
    </row>
    <row r="79" spans="1:22">
      <c r="A79" t="str">
        <f t="shared" si="18"/>
        <v>02/01/2026</v>
      </c>
      <c r="B79" t="str">
        <f t="shared" si="20"/>
        <v>ENTRADA</v>
      </c>
      <c r="C79" t="str">
        <f t="shared" si="21"/>
        <v>NFSE</v>
      </c>
      <c r="D79" t="str">
        <f t="shared" si="25"/>
        <v>4113</v>
      </c>
      <c r="E79" t="str">
        <f t="shared" si="22"/>
        <v>1</v>
      </c>
      <c r="F79" t="str">
        <f t="shared" si="19"/>
        <v>COM</v>
      </c>
      <c r="G79" t="str">
        <f t="shared" si="26"/>
        <v>FARMÁCIA INDIANA LJ 85 (10128)</v>
      </c>
      <c r="H79" t="s">
        <v>29</v>
      </c>
      <c r="I79" t="str">
        <f t="shared" si="23"/>
        <v>31/12/2025</v>
      </c>
      <c r="J79" t="str">
        <f t="shared" si="24"/>
        <v>23/12/2025</v>
      </c>
      <c r="K79">
        <v>46024</v>
      </c>
      <c r="N79">
        <v>303</v>
      </c>
      <c r="O79" t="s">
        <v>26</v>
      </c>
      <c r="Q79">
        <v>18.239999999999998</v>
      </c>
      <c r="R79" t="str">
        <f>"FARMÁCIA INDIANA LJ 235 (10190)"</f>
        <v>FARMÁCIA INDIANA LJ 235 (10190)</v>
      </c>
      <c r="S79" t="s">
        <v>27</v>
      </c>
      <c r="T79">
        <v>3698</v>
      </c>
      <c r="U79">
        <v>3131</v>
      </c>
      <c r="V79" t="s">
        <v>22</v>
      </c>
    </row>
    <row r="80" spans="1:22">
      <c r="A80" t="str">
        <f t="shared" si="18"/>
        <v>02/01/2026</v>
      </c>
      <c r="B80" t="str">
        <f t="shared" si="20"/>
        <v>ENTRADA</v>
      </c>
      <c r="C80" t="str">
        <f t="shared" si="21"/>
        <v>NFSE</v>
      </c>
      <c r="D80" t="str">
        <f>"4123"</f>
        <v>4123</v>
      </c>
      <c r="E80" t="str">
        <f t="shared" si="22"/>
        <v>1</v>
      </c>
      <c r="F80" t="str">
        <f t="shared" si="19"/>
        <v>COM</v>
      </c>
      <c r="G80" t="str">
        <f>"DROGA ELIDA (10121)"</f>
        <v>DROGA ELIDA (10121)</v>
      </c>
      <c r="H80" t="str">
        <f>"Serv.Prest. 22/12/2025 a 28/12/2025 - RPS: 1885 - NFSe: 4123"</f>
        <v>Serv.Prest. 22/12/2025 a 28/12/2025 - RPS: 1885 - NFSe: 4123</v>
      </c>
      <c r="I80" t="str">
        <f t="shared" si="23"/>
        <v>31/12/2025</v>
      </c>
      <c r="J80" t="str">
        <f t="shared" ref="J80:J111" si="27">("29/12/2025")</f>
        <v>29/12/2025</v>
      </c>
      <c r="K80" t="str">
        <f>("02/01/2026")</f>
        <v>02/01/2026</v>
      </c>
      <c r="L80">
        <v>328.5</v>
      </c>
      <c r="M80">
        <v>328.5</v>
      </c>
      <c r="N80">
        <v>303</v>
      </c>
      <c r="O80" t="str">
        <f>"RECEITAS COM ENTREGAS"</f>
        <v>RECEITAS COM ENTREGAS</v>
      </c>
      <c r="P80">
        <v>328.5</v>
      </c>
      <c r="S80" t="str">
        <f>"RECEITAS COM ENTREGAS (303)"</f>
        <v>RECEITAS COM ENTREGAS (303)</v>
      </c>
      <c r="T80">
        <v>3699</v>
      </c>
      <c r="U80">
        <v>3143</v>
      </c>
      <c r="V80" t="s">
        <v>22</v>
      </c>
    </row>
    <row r="81" spans="1:22">
      <c r="A81" t="str">
        <f t="shared" si="18"/>
        <v>02/01/2026</v>
      </c>
      <c r="B81" t="str">
        <f t="shared" si="20"/>
        <v>ENTRADA</v>
      </c>
      <c r="C81" t="str">
        <f t="shared" si="21"/>
        <v>NFSE</v>
      </c>
      <c r="D81" t="str">
        <f>"4123"</f>
        <v>4123</v>
      </c>
      <c r="E81" t="str">
        <f t="shared" si="22"/>
        <v>1</v>
      </c>
      <c r="F81" t="str">
        <f t="shared" si="19"/>
        <v>COM</v>
      </c>
      <c r="G81" t="str">
        <f>"DROGA ELIDA (10121)"</f>
        <v>DROGA ELIDA (10121)</v>
      </c>
      <c r="H81" t="s">
        <v>30</v>
      </c>
      <c r="I81" t="str">
        <f t="shared" si="23"/>
        <v>31/12/2025</v>
      </c>
      <c r="J81" t="str">
        <f t="shared" si="27"/>
        <v>29/12/2025</v>
      </c>
      <c r="K81">
        <v>46024</v>
      </c>
      <c r="N81">
        <v>303</v>
      </c>
      <c r="O81" t="s">
        <v>26</v>
      </c>
      <c r="Q81">
        <v>328.5</v>
      </c>
      <c r="R81" t="str">
        <f>"DROGA ELIDA (10121)"</f>
        <v>DROGA ELIDA (10121)</v>
      </c>
      <c r="S81" t="s">
        <v>27</v>
      </c>
      <c r="T81">
        <v>3699</v>
      </c>
      <c r="U81">
        <v>3143</v>
      </c>
      <c r="V81" t="s">
        <v>22</v>
      </c>
    </row>
    <row r="82" spans="1:22">
      <c r="A82" t="str">
        <f t="shared" si="18"/>
        <v>02/01/2026</v>
      </c>
      <c r="B82" t="str">
        <f t="shared" si="20"/>
        <v>ENTRADA</v>
      </c>
      <c r="C82" t="str">
        <f t="shared" si="21"/>
        <v>NFSE</v>
      </c>
      <c r="D82" t="str">
        <f>"4124"</f>
        <v>4124</v>
      </c>
      <c r="E82" t="str">
        <f t="shared" si="22"/>
        <v>1</v>
      </c>
      <c r="F82" t="str">
        <f t="shared" si="19"/>
        <v>COM</v>
      </c>
      <c r="G82" t="str">
        <f>"DROGARIA AGAPEAMA (10167)"</f>
        <v>DROGARIA AGAPEAMA (10167)</v>
      </c>
      <c r="H82" t="str">
        <f>"Serv.Prest. 22/12/2025 a 28/12/2025 - RPS: 1886 - NFSe: 4124"</f>
        <v>Serv.Prest. 22/12/2025 a 28/12/2025 - RPS: 1886 - NFSe: 4124</v>
      </c>
      <c r="I82" t="str">
        <f t="shared" si="23"/>
        <v>31/12/2025</v>
      </c>
      <c r="J82" t="str">
        <f t="shared" si="27"/>
        <v>29/12/2025</v>
      </c>
      <c r="K82" t="str">
        <f>("02/01/2026")</f>
        <v>02/01/2026</v>
      </c>
      <c r="L82">
        <v>327.2</v>
      </c>
      <c r="M82">
        <v>327.2</v>
      </c>
      <c r="N82">
        <v>303</v>
      </c>
      <c r="O82" t="str">
        <f>"RECEITAS COM ENTREGAS"</f>
        <v>RECEITAS COM ENTREGAS</v>
      </c>
      <c r="P82">
        <v>327.2</v>
      </c>
      <c r="S82" t="str">
        <f>"RECEITAS COM ENTREGAS (303)"</f>
        <v>RECEITAS COM ENTREGAS (303)</v>
      </c>
      <c r="T82">
        <v>3700</v>
      </c>
      <c r="U82">
        <v>3144</v>
      </c>
      <c r="V82" t="s">
        <v>22</v>
      </c>
    </row>
    <row r="83" spans="1:22">
      <c r="A83" t="str">
        <f t="shared" si="18"/>
        <v>02/01/2026</v>
      </c>
      <c r="B83" t="str">
        <f t="shared" si="20"/>
        <v>ENTRADA</v>
      </c>
      <c r="C83" t="str">
        <f t="shared" si="21"/>
        <v>NFSE</v>
      </c>
      <c r="D83" t="str">
        <f>"4124"</f>
        <v>4124</v>
      </c>
      <c r="E83" t="str">
        <f t="shared" si="22"/>
        <v>1</v>
      </c>
      <c r="F83" t="str">
        <f t="shared" si="19"/>
        <v>COM</v>
      </c>
      <c r="G83" t="str">
        <f>"DROGARIA AGAPEAMA (10167)"</f>
        <v>DROGARIA AGAPEAMA (10167)</v>
      </c>
      <c r="H83" t="s">
        <v>31</v>
      </c>
      <c r="I83" t="str">
        <f t="shared" si="23"/>
        <v>31/12/2025</v>
      </c>
      <c r="J83" t="str">
        <f t="shared" si="27"/>
        <v>29/12/2025</v>
      </c>
      <c r="K83">
        <v>46024</v>
      </c>
      <c r="N83">
        <v>303</v>
      </c>
      <c r="O83" t="s">
        <v>26</v>
      </c>
      <c r="Q83">
        <v>327.2</v>
      </c>
      <c r="R83" t="str">
        <f>"DROGARIA AGAPEAMA (10167)"</f>
        <v>DROGARIA AGAPEAMA (10167)</v>
      </c>
      <c r="S83" t="s">
        <v>27</v>
      </c>
      <c r="T83">
        <v>3700</v>
      </c>
      <c r="U83">
        <v>3144</v>
      </c>
      <c r="V83" t="s">
        <v>22</v>
      </c>
    </row>
    <row r="84" spans="1:22">
      <c r="A84" t="str">
        <f t="shared" si="18"/>
        <v>02/01/2026</v>
      </c>
      <c r="B84" t="str">
        <f t="shared" si="20"/>
        <v>ENTRADA</v>
      </c>
      <c r="C84" t="str">
        <f t="shared" si="21"/>
        <v>NFSE</v>
      </c>
      <c r="D84" t="str">
        <f>"4125"</f>
        <v>4125</v>
      </c>
      <c r="E84" t="str">
        <f t="shared" si="22"/>
        <v>1</v>
      </c>
      <c r="F84" t="str">
        <f t="shared" si="19"/>
        <v>COM</v>
      </c>
      <c r="G84" t="str">
        <f>"DROGARIA ANA VISCONDE DO RIO BRANCO (10182)"</f>
        <v>DROGARIA ANA VISCONDE DO RIO BRANCO (10182)</v>
      </c>
      <c r="H84" t="str">
        <f>"Serv.Prest. 22/12/2025 a 28/12/2025 - RPS: 1887 - NFSe: 4125"</f>
        <v>Serv.Prest. 22/12/2025 a 28/12/2025 - RPS: 1887 - NFSe: 4125</v>
      </c>
      <c r="I84" t="str">
        <f t="shared" si="23"/>
        <v>31/12/2025</v>
      </c>
      <c r="J84" t="str">
        <f t="shared" si="27"/>
        <v>29/12/2025</v>
      </c>
      <c r="K84" t="str">
        <f>("02/01/2026")</f>
        <v>02/01/2026</v>
      </c>
      <c r="L84">
        <v>792.45</v>
      </c>
      <c r="M84">
        <v>792.45</v>
      </c>
      <c r="N84">
        <v>303</v>
      </c>
      <c r="O84" t="str">
        <f>"RECEITAS COM ENTREGAS"</f>
        <v>RECEITAS COM ENTREGAS</v>
      </c>
      <c r="P84">
        <v>792.45</v>
      </c>
      <c r="S84" t="str">
        <f>"RECEITAS COM ENTREGAS (303)"</f>
        <v>RECEITAS COM ENTREGAS (303)</v>
      </c>
      <c r="T84">
        <v>3701</v>
      </c>
      <c r="U84">
        <v>3145</v>
      </c>
      <c r="V84" t="s">
        <v>22</v>
      </c>
    </row>
    <row r="85" spans="1:22">
      <c r="A85" t="str">
        <f t="shared" si="18"/>
        <v>02/01/2026</v>
      </c>
      <c r="B85" t="str">
        <f t="shared" si="20"/>
        <v>ENTRADA</v>
      </c>
      <c r="C85" t="str">
        <f t="shared" si="21"/>
        <v>NFSE</v>
      </c>
      <c r="D85" t="str">
        <f>"4125"</f>
        <v>4125</v>
      </c>
      <c r="E85" t="str">
        <f t="shared" si="22"/>
        <v>1</v>
      </c>
      <c r="F85" t="str">
        <f t="shared" si="19"/>
        <v>COM</v>
      </c>
      <c r="G85" t="str">
        <f>"DROGARIA ANA VISCONDE DO RIO BRANCO (10182)"</f>
        <v>DROGARIA ANA VISCONDE DO RIO BRANCO (10182)</v>
      </c>
      <c r="H85" t="s">
        <v>32</v>
      </c>
      <c r="I85" t="str">
        <f t="shared" si="23"/>
        <v>31/12/2025</v>
      </c>
      <c r="J85" t="str">
        <f t="shared" si="27"/>
        <v>29/12/2025</v>
      </c>
      <c r="K85">
        <v>46024</v>
      </c>
      <c r="N85">
        <v>303</v>
      </c>
      <c r="O85" t="s">
        <v>26</v>
      </c>
      <c r="Q85">
        <v>792.45</v>
      </c>
      <c r="R85" t="str">
        <f>"DROGARIA ANA VISCONDE DO RIO BRANCO (10182)"</f>
        <v>DROGARIA ANA VISCONDE DO RIO BRANCO (10182)</v>
      </c>
      <c r="S85" t="s">
        <v>27</v>
      </c>
      <c r="T85">
        <v>3701</v>
      </c>
      <c r="U85">
        <v>3145</v>
      </c>
      <c r="V85" t="s">
        <v>22</v>
      </c>
    </row>
    <row r="86" spans="1:22">
      <c r="A86" t="str">
        <f t="shared" si="18"/>
        <v>02/01/2026</v>
      </c>
      <c r="B86" t="str">
        <f t="shared" si="20"/>
        <v>ENTRADA</v>
      </c>
      <c r="C86" t="str">
        <f t="shared" si="21"/>
        <v>NFSE</v>
      </c>
      <c r="D86" t="str">
        <f>"4130"</f>
        <v>4130</v>
      </c>
      <c r="E86" t="str">
        <f t="shared" si="22"/>
        <v>1</v>
      </c>
      <c r="F86" t="str">
        <f t="shared" si="19"/>
        <v>COM</v>
      </c>
      <c r="G86" t="str">
        <f>"FRAN FARMA (10124)"</f>
        <v>FRAN FARMA (10124)</v>
      </c>
      <c r="H86" t="str">
        <f>"Serv.Prest. 22/12/2025 a 28/12/2025 - RPS: 1892 - NFSe: 4130"</f>
        <v>Serv.Prest. 22/12/2025 a 28/12/2025 - RPS: 1892 - NFSe: 4130</v>
      </c>
      <c r="I86" t="str">
        <f t="shared" si="23"/>
        <v>31/12/2025</v>
      </c>
      <c r="J86" t="str">
        <f t="shared" si="27"/>
        <v>29/12/2025</v>
      </c>
      <c r="K86" t="str">
        <f>("02/01/2026")</f>
        <v>02/01/2026</v>
      </c>
      <c r="L86">
        <v>160</v>
      </c>
      <c r="M86">
        <v>160</v>
      </c>
      <c r="N86">
        <v>303</v>
      </c>
      <c r="O86" t="str">
        <f>"RECEITAS COM ENTREGAS"</f>
        <v>RECEITAS COM ENTREGAS</v>
      </c>
      <c r="P86">
        <v>160</v>
      </c>
      <c r="S86" t="str">
        <f>"RECEITAS COM ENTREGAS (303)"</f>
        <v>RECEITAS COM ENTREGAS (303)</v>
      </c>
      <c r="T86">
        <v>3702</v>
      </c>
      <c r="U86">
        <v>3150</v>
      </c>
      <c r="V86" t="s">
        <v>22</v>
      </c>
    </row>
    <row r="87" spans="1:22">
      <c r="A87" t="str">
        <f t="shared" si="18"/>
        <v>02/01/2026</v>
      </c>
      <c r="B87" t="str">
        <f t="shared" si="20"/>
        <v>ENTRADA</v>
      </c>
      <c r="C87" t="str">
        <f t="shared" si="21"/>
        <v>NFSE</v>
      </c>
      <c r="D87" t="str">
        <f>"4130"</f>
        <v>4130</v>
      </c>
      <c r="E87" t="str">
        <f t="shared" si="22"/>
        <v>1</v>
      </c>
      <c r="F87" t="str">
        <f t="shared" si="19"/>
        <v>COM</v>
      </c>
      <c r="G87" t="str">
        <f>"FRAN FARMA (10124)"</f>
        <v>FRAN FARMA (10124)</v>
      </c>
      <c r="H87" t="s">
        <v>33</v>
      </c>
      <c r="I87" t="str">
        <f t="shared" si="23"/>
        <v>31/12/2025</v>
      </c>
      <c r="J87" t="str">
        <f t="shared" si="27"/>
        <v>29/12/2025</v>
      </c>
      <c r="K87">
        <v>46024</v>
      </c>
      <c r="N87">
        <v>303</v>
      </c>
      <c r="O87" t="s">
        <v>26</v>
      </c>
      <c r="Q87">
        <v>96</v>
      </c>
      <c r="R87" t="str">
        <f>"FRAN FARMA LJ 2 (10131)"</f>
        <v>FRAN FARMA LJ 2 (10131)</v>
      </c>
      <c r="S87" t="s">
        <v>27</v>
      </c>
      <c r="T87">
        <v>3702</v>
      </c>
      <c r="U87">
        <v>3150</v>
      </c>
      <c r="V87" t="s">
        <v>22</v>
      </c>
    </row>
    <row r="88" spans="1:22">
      <c r="A88" t="str">
        <f t="shared" si="18"/>
        <v>02/01/2026</v>
      </c>
      <c r="B88" t="str">
        <f t="shared" si="20"/>
        <v>ENTRADA</v>
      </c>
      <c r="C88" t="str">
        <f t="shared" si="21"/>
        <v>NFSE</v>
      </c>
      <c r="D88" t="str">
        <f>"4130"</f>
        <v>4130</v>
      </c>
      <c r="E88" t="str">
        <f t="shared" si="22"/>
        <v>1</v>
      </c>
      <c r="F88" t="str">
        <f t="shared" si="19"/>
        <v>COM</v>
      </c>
      <c r="G88" t="str">
        <f>"FRAN FARMA (10124)"</f>
        <v>FRAN FARMA (10124)</v>
      </c>
      <c r="H88" t="s">
        <v>33</v>
      </c>
      <c r="I88" t="str">
        <f t="shared" si="23"/>
        <v>31/12/2025</v>
      </c>
      <c r="J88" t="str">
        <f t="shared" si="27"/>
        <v>29/12/2025</v>
      </c>
      <c r="K88">
        <v>46024</v>
      </c>
      <c r="N88">
        <v>303</v>
      </c>
      <c r="O88" t="s">
        <v>26</v>
      </c>
      <c r="Q88">
        <v>64</v>
      </c>
      <c r="R88" t="str">
        <f>"FRAN FARMA LJ 3 (10132)"</f>
        <v>FRAN FARMA LJ 3 (10132)</v>
      </c>
      <c r="S88" t="s">
        <v>27</v>
      </c>
      <c r="T88">
        <v>3702</v>
      </c>
      <c r="U88">
        <v>3150</v>
      </c>
      <c r="V88" t="s">
        <v>22</v>
      </c>
    </row>
    <row r="89" spans="1:22">
      <c r="A89" t="str">
        <f t="shared" si="18"/>
        <v>02/01/2026</v>
      </c>
      <c r="B89" t="str">
        <f t="shared" si="20"/>
        <v>ENTRADA</v>
      </c>
      <c r="C89" t="str">
        <f t="shared" si="21"/>
        <v>NFSE</v>
      </c>
      <c r="D89" t="str">
        <f>"4132"</f>
        <v>4132</v>
      </c>
      <c r="E89" t="str">
        <f t="shared" si="22"/>
        <v>1</v>
      </c>
      <c r="F89" t="str">
        <f t="shared" si="19"/>
        <v>COM</v>
      </c>
      <c r="G89" t="str">
        <f>"ULTRA POPULAR  UBA 2 (10214)"</f>
        <v>ULTRA POPULAR  UBA 2 (10214)</v>
      </c>
      <c r="H89" t="str">
        <f>"Serv.Prest. 22/12/2025 a 28/12/2025 - RPS: 1894 - NFSe: 4132"</f>
        <v>Serv.Prest. 22/12/2025 a 28/12/2025 - RPS: 1894 - NFSe: 4132</v>
      </c>
      <c r="I89" t="str">
        <f t="shared" si="23"/>
        <v>31/12/2025</v>
      </c>
      <c r="J89" t="str">
        <f t="shared" si="27"/>
        <v>29/12/2025</v>
      </c>
      <c r="K89" t="str">
        <f>("02/01/2026")</f>
        <v>02/01/2026</v>
      </c>
      <c r="L89">
        <v>57.58</v>
      </c>
      <c r="M89">
        <v>57.58</v>
      </c>
      <c r="N89">
        <v>303</v>
      </c>
      <c r="O89" t="str">
        <f>"RECEITAS COM ENTREGAS"</f>
        <v>RECEITAS COM ENTREGAS</v>
      </c>
      <c r="P89">
        <v>57.58</v>
      </c>
      <c r="S89" t="str">
        <f>"RECEITAS COM ENTREGAS (303)"</f>
        <v>RECEITAS COM ENTREGAS (303)</v>
      </c>
      <c r="T89">
        <v>3703</v>
      </c>
      <c r="U89">
        <v>3152</v>
      </c>
      <c r="V89" t="s">
        <v>22</v>
      </c>
    </row>
    <row r="90" spans="1:22">
      <c r="A90" t="str">
        <f t="shared" si="18"/>
        <v>02/01/2026</v>
      </c>
      <c r="B90" t="str">
        <f t="shared" si="20"/>
        <v>ENTRADA</v>
      </c>
      <c r="C90" t="str">
        <f t="shared" si="21"/>
        <v>NFSE</v>
      </c>
      <c r="D90" t="str">
        <f>"4132"</f>
        <v>4132</v>
      </c>
      <c r="E90" t="str">
        <f t="shared" si="22"/>
        <v>1</v>
      </c>
      <c r="F90" t="str">
        <f t="shared" si="19"/>
        <v>COM</v>
      </c>
      <c r="G90" t="str">
        <f>"ULTRA POPULAR  UBA 2 (10214)"</f>
        <v>ULTRA POPULAR  UBA 2 (10214)</v>
      </c>
      <c r="H90" t="s">
        <v>34</v>
      </c>
      <c r="I90" t="str">
        <f t="shared" si="23"/>
        <v>31/12/2025</v>
      </c>
      <c r="J90" t="str">
        <f t="shared" si="27"/>
        <v>29/12/2025</v>
      </c>
      <c r="K90">
        <v>46024</v>
      </c>
      <c r="N90">
        <v>303</v>
      </c>
      <c r="O90" t="s">
        <v>26</v>
      </c>
      <c r="Q90">
        <v>30.71</v>
      </c>
      <c r="R90" t="str">
        <f>"ULTRA POPULAR  UBA 2 (10214)"</f>
        <v>ULTRA POPULAR  UBA 2 (10214)</v>
      </c>
      <c r="S90" t="s">
        <v>27</v>
      </c>
      <c r="T90">
        <v>3703</v>
      </c>
      <c r="U90">
        <v>3152</v>
      </c>
      <c r="V90" t="s">
        <v>22</v>
      </c>
    </row>
    <row r="91" spans="1:22">
      <c r="A91" t="str">
        <f t="shared" si="18"/>
        <v>02/01/2026</v>
      </c>
      <c r="B91" t="str">
        <f t="shared" si="20"/>
        <v>ENTRADA</v>
      </c>
      <c r="C91" t="str">
        <f t="shared" si="21"/>
        <v>NFSE</v>
      </c>
      <c r="D91" t="str">
        <f>"4132"</f>
        <v>4132</v>
      </c>
      <c r="E91" t="str">
        <f t="shared" si="22"/>
        <v>1</v>
      </c>
      <c r="F91" t="str">
        <f t="shared" si="19"/>
        <v>COM</v>
      </c>
      <c r="G91" t="str">
        <f>"ULTRA POPULAR  UBA 2 (10214)"</f>
        <v>ULTRA POPULAR  UBA 2 (10214)</v>
      </c>
      <c r="H91" t="s">
        <v>34</v>
      </c>
      <c r="I91" t="str">
        <f t="shared" si="23"/>
        <v>31/12/2025</v>
      </c>
      <c r="J91" t="str">
        <f t="shared" si="27"/>
        <v>29/12/2025</v>
      </c>
      <c r="K91">
        <v>46024</v>
      </c>
      <c r="N91">
        <v>303</v>
      </c>
      <c r="O91" t="s">
        <v>26</v>
      </c>
      <c r="Q91">
        <v>26.87</v>
      </c>
      <c r="R91" t="str">
        <f>"UBA 1 (10263)"</f>
        <v>UBA 1 (10263)</v>
      </c>
      <c r="S91" t="s">
        <v>27</v>
      </c>
      <c r="T91">
        <v>3703</v>
      </c>
      <c r="U91">
        <v>3152</v>
      </c>
      <c r="V91" t="s">
        <v>22</v>
      </c>
    </row>
    <row r="92" spans="1:22">
      <c r="A92" t="str">
        <f t="shared" si="18"/>
        <v>02/01/2026</v>
      </c>
      <c r="B92" t="str">
        <f t="shared" si="20"/>
        <v>ENTRADA</v>
      </c>
      <c r="C92" t="str">
        <f t="shared" si="21"/>
        <v>NFSE</v>
      </c>
      <c r="D92" t="str">
        <f>"4135"</f>
        <v>4135</v>
      </c>
      <c r="E92" t="str">
        <f t="shared" si="22"/>
        <v>1</v>
      </c>
      <c r="F92" t="str">
        <f t="shared" si="19"/>
        <v>COM</v>
      </c>
      <c r="G92" t="str">
        <f>"PENSE FARMA 31 (10205)"</f>
        <v>PENSE FARMA 31 (10205)</v>
      </c>
      <c r="H92" t="str">
        <f>"Serv.Prest. 22/12/2025 a 28/12/2025 - RPS: 1897 - NFSe: 4135"</f>
        <v>Serv.Prest. 22/12/2025 a 28/12/2025 - RPS: 1897 - NFSe: 4135</v>
      </c>
      <c r="I92" t="str">
        <f t="shared" si="23"/>
        <v>31/12/2025</v>
      </c>
      <c r="J92" t="str">
        <f t="shared" si="27"/>
        <v>29/12/2025</v>
      </c>
      <c r="K92" t="str">
        <f>("02/01/2026")</f>
        <v>02/01/2026</v>
      </c>
      <c r="L92">
        <v>540.16999999999996</v>
      </c>
      <c r="M92">
        <v>540.16999999999996</v>
      </c>
      <c r="N92">
        <v>303</v>
      </c>
      <c r="O92" t="str">
        <f>"RECEITAS COM ENTREGAS"</f>
        <v>RECEITAS COM ENTREGAS</v>
      </c>
      <c r="P92">
        <v>540.16999999999996</v>
      </c>
      <c r="S92" t="str">
        <f>"RECEITAS COM ENTREGAS (303)"</f>
        <v>RECEITAS COM ENTREGAS (303)</v>
      </c>
      <c r="T92">
        <v>3704</v>
      </c>
      <c r="U92">
        <v>3155</v>
      </c>
      <c r="V92" t="s">
        <v>22</v>
      </c>
    </row>
    <row r="93" spans="1:22">
      <c r="A93" t="str">
        <f t="shared" si="18"/>
        <v>02/01/2026</v>
      </c>
      <c r="B93" t="str">
        <f t="shared" si="20"/>
        <v>ENTRADA</v>
      </c>
      <c r="C93" t="str">
        <f t="shared" si="21"/>
        <v>NFSE</v>
      </c>
      <c r="D93" t="str">
        <f>"4135"</f>
        <v>4135</v>
      </c>
      <c r="E93" t="str">
        <f t="shared" si="22"/>
        <v>1</v>
      </c>
      <c r="F93" t="str">
        <f t="shared" si="19"/>
        <v>COM</v>
      </c>
      <c r="G93" t="str">
        <f>"PENSE FARMA 31 (10205)"</f>
        <v>PENSE FARMA 31 (10205)</v>
      </c>
      <c r="H93" t="s">
        <v>35</v>
      </c>
      <c r="I93" t="str">
        <f t="shared" si="23"/>
        <v>31/12/2025</v>
      </c>
      <c r="J93" t="str">
        <f t="shared" si="27"/>
        <v>29/12/2025</v>
      </c>
      <c r="K93">
        <v>46024</v>
      </c>
      <c r="N93">
        <v>303</v>
      </c>
      <c r="O93" t="s">
        <v>26</v>
      </c>
      <c r="Q93">
        <v>134.94</v>
      </c>
      <c r="R93" t="str">
        <f>"PENSE FARMA 31 (10205)"</f>
        <v>PENSE FARMA 31 (10205)</v>
      </c>
      <c r="S93" t="s">
        <v>27</v>
      </c>
      <c r="T93">
        <v>3704</v>
      </c>
      <c r="U93">
        <v>3155</v>
      </c>
      <c r="V93" t="s">
        <v>22</v>
      </c>
    </row>
    <row r="94" spans="1:22">
      <c r="A94" t="str">
        <f t="shared" si="18"/>
        <v>02/01/2026</v>
      </c>
      <c r="B94" t="str">
        <f t="shared" si="20"/>
        <v>ENTRADA</v>
      </c>
      <c r="C94" t="str">
        <f t="shared" si="21"/>
        <v>NFSE</v>
      </c>
      <c r="D94" t="str">
        <f>"4135"</f>
        <v>4135</v>
      </c>
      <c r="E94" t="str">
        <f t="shared" si="22"/>
        <v>1</v>
      </c>
      <c r="F94" t="str">
        <f t="shared" si="19"/>
        <v>COM</v>
      </c>
      <c r="G94" t="str">
        <f>"PENSE FARMA 31 (10205)"</f>
        <v>PENSE FARMA 31 (10205)</v>
      </c>
      <c r="H94" t="s">
        <v>35</v>
      </c>
      <c r="I94" t="str">
        <f t="shared" si="23"/>
        <v>31/12/2025</v>
      </c>
      <c r="J94" t="str">
        <f t="shared" si="27"/>
        <v>29/12/2025</v>
      </c>
      <c r="K94">
        <v>46024</v>
      </c>
      <c r="N94">
        <v>303</v>
      </c>
      <c r="O94" t="s">
        <v>26</v>
      </c>
      <c r="Q94">
        <v>134.93</v>
      </c>
      <c r="R94" t="str">
        <f>"PENSE FARMA 16 (10221)"</f>
        <v>PENSE FARMA 16 (10221)</v>
      </c>
      <c r="S94" t="s">
        <v>27</v>
      </c>
      <c r="T94">
        <v>3704</v>
      </c>
      <c r="U94">
        <v>3155</v>
      </c>
      <c r="V94" t="s">
        <v>22</v>
      </c>
    </row>
    <row r="95" spans="1:22">
      <c r="A95" t="str">
        <f t="shared" si="18"/>
        <v>02/01/2026</v>
      </c>
      <c r="B95" t="str">
        <f t="shared" si="20"/>
        <v>ENTRADA</v>
      </c>
      <c r="C95" t="str">
        <f t="shared" si="21"/>
        <v>NFSE</v>
      </c>
      <c r="D95" t="str">
        <f>"4135"</f>
        <v>4135</v>
      </c>
      <c r="E95" t="str">
        <f t="shared" si="22"/>
        <v>1</v>
      </c>
      <c r="F95" t="str">
        <f t="shared" si="19"/>
        <v>COM</v>
      </c>
      <c r="G95" t="str">
        <f>"PENSE FARMA 31 (10205)"</f>
        <v>PENSE FARMA 31 (10205)</v>
      </c>
      <c r="H95" t="s">
        <v>35</v>
      </c>
      <c r="I95" t="str">
        <f t="shared" si="23"/>
        <v>31/12/2025</v>
      </c>
      <c r="J95" t="str">
        <f t="shared" si="27"/>
        <v>29/12/2025</v>
      </c>
      <c r="K95">
        <v>46024</v>
      </c>
      <c r="N95">
        <v>303</v>
      </c>
      <c r="O95" t="s">
        <v>26</v>
      </c>
      <c r="Q95">
        <v>134.93</v>
      </c>
      <c r="R95" t="str">
        <f>"PENSE FARMA 17 (10222)"</f>
        <v>PENSE FARMA 17 (10222)</v>
      </c>
      <c r="S95" t="s">
        <v>27</v>
      </c>
      <c r="T95">
        <v>3704</v>
      </c>
      <c r="U95">
        <v>3155</v>
      </c>
      <c r="V95" t="s">
        <v>22</v>
      </c>
    </row>
    <row r="96" spans="1:22">
      <c r="A96" t="str">
        <f t="shared" si="18"/>
        <v>02/01/2026</v>
      </c>
      <c r="B96" t="str">
        <f t="shared" si="20"/>
        <v>ENTRADA</v>
      </c>
      <c r="C96" t="str">
        <f t="shared" si="21"/>
        <v>NFSE</v>
      </c>
      <c r="D96" t="str">
        <f>"4135"</f>
        <v>4135</v>
      </c>
      <c r="E96" t="str">
        <f t="shared" si="22"/>
        <v>1</v>
      </c>
      <c r="F96" t="str">
        <f t="shared" si="19"/>
        <v>COM</v>
      </c>
      <c r="G96" t="str">
        <f>"PENSE FARMA 31 (10205)"</f>
        <v>PENSE FARMA 31 (10205)</v>
      </c>
      <c r="H96" t="s">
        <v>35</v>
      </c>
      <c r="I96" t="str">
        <f t="shared" si="23"/>
        <v>31/12/2025</v>
      </c>
      <c r="J96" t="str">
        <f t="shared" si="27"/>
        <v>29/12/2025</v>
      </c>
      <c r="K96">
        <v>46024</v>
      </c>
      <c r="N96">
        <v>303</v>
      </c>
      <c r="O96" t="s">
        <v>26</v>
      </c>
      <c r="Q96">
        <v>135.37</v>
      </c>
      <c r="R96" t="str">
        <f>"PENSE FARMA 62 (10274)"</f>
        <v>PENSE FARMA 62 (10274)</v>
      </c>
      <c r="S96" t="s">
        <v>27</v>
      </c>
      <c r="T96">
        <v>3704</v>
      </c>
      <c r="U96">
        <v>3155</v>
      </c>
      <c r="V96" t="s">
        <v>22</v>
      </c>
    </row>
    <row r="97" spans="1:22">
      <c r="A97" t="str">
        <f t="shared" si="18"/>
        <v>02/01/2026</v>
      </c>
      <c r="B97" t="str">
        <f t="shared" si="20"/>
        <v>ENTRADA</v>
      </c>
      <c r="C97" t="str">
        <f t="shared" si="21"/>
        <v>NFSE</v>
      </c>
      <c r="D97" t="str">
        <f>"4136"</f>
        <v>4136</v>
      </c>
      <c r="E97" t="str">
        <f t="shared" si="22"/>
        <v>1</v>
      </c>
      <c r="F97" t="str">
        <f t="shared" si="19"/>
        <v>COM</v>
      </c>
      <c r="G97" t="str">
        <f>"PENSE FARMA 44 (10231)"</f>
        <v>PENSE FARMA 44 (10231)</v>
      </c>
      <c r="H97" t="str">
        <f>"Serv.Prest. 22/12/2025 a 28/12/2025 - RPS: 1898 - NFSe: 4136"</f>
        <v>Serv.Prest. 22/12/2025 a 28/12/2025 - RPS: 1898 - NFSe: 4136</v>
      </c>
      <c r="I97" t="str">
        <f t="shared" si="23"/>
        <v>31/12/2025</v>
      </c>
      <c r="J97" t="str">
        <f t="shared" si="27"/>
        <v>29/12/2025</v>
      </c>
      <c r="K97" t="str">
        <f>("02/01/2026")</f>
        <v>02/01/2026</v>
      </c>
      <c r="L97">
        <v>630.80999999999995</v>
      </c>
      <c r="M97">
        <v>630.80999999999995</v>
      </c>
      <c r="N97">
        <v>303</v>
      </c>
      <c r="O97" t="str">
        <f>"RECEITAS COM ENTREGAS"</f>
        <v>RECEITAS COM ENTREGAS</v>
      </c>
      <c r="P97">
        <v>630.80999999999995</v>
      </c>
      <c r="S97" t="str">
        <f>"RECEITAS COM ENTREGAS (303)"</f>
        <v>RECEITAS COM ENTREGAS (303)</v>
      </c>
      <c r="T97">
        <v>3705</v>
      </c>
      <c r="U97">
        <v>3156</v>
      </c>
      <c r="V97" t="s">
        <v>22</v>
      </c>
    </row>
    <row r="98" spans="1:22">
      <c r="A98" t="str">
        <f t="shared" ref="A98:A129" si="28">("02/01/2026")</f>
        <v>02/01/2026</v>
      </c>
      <c r="B98" t="str">
        <f t="shared" si="20"/>
        <v>ENTRADA</v>
      </c>
      <c r="C98" t="str">
        <f t="shared" si="21"/>
        <v>NFSE</v>
      </c>
      <c r="D98" t="str">
        <f>"4136"</f>
        <v>4136</v>
      </c>
      <c r="E98" t="str">
        <f t="shared" si="22"/>
        <v>1</v>
      </c>
      <c r="F98" t="str">
        <f t="shared" ref="F98:F129" si="29">"COM"</f>
        <v>COM</v>
      </c>
      <c r="G98" t="str">
        <f>"PENSE FARMA 44 (10231)"</f>
        <v>PENSE FARMA 44 (10231)</v>
      </c>
      <c r="H98" t="s">
        <v>36</v>
      </c>
      <c r="I98" t="str">
        <f t="shared" si="23"/>
        <v>31/12/2025</v>
      </c>
      <c r="J98" t="str">
        <f t="shared" si="27"/>
        <v>29/12/2025</v>
      </c>
      <c r="K98">
        <v>46024</v>
      </c>
      <c r="N98">
        <v>303</v>
      </c>
      <c r="O98" t="s">
        <v>26</v>
      </c>
      <c r="Q98">
        <v>314.89999999999998</v>
      </c>
      <c r="R98" t="str">
        <f>"PENSE FARMA 44 (10231)"</f>
        <v>PENSE FARMA 44 (10231)</v>
      </c>
      <c r="S98" t="s">
        <v>27</v>
      </c>
      <c r="T98">
        <v>3705</v>
      </c>
      <c r="U98">
        <v>3156</v>
      </c>
      <c r="V98" t="s">
        <v>22</v>
      </c>
    </row>
    <row r="99" spans="1:22">
      <c r="A99" t="str">
        <f t="shared" si="28"/>
        <v>02/01/2026</v>
      </c>
      <c r="B99" t="str">
        <f t="shared" si="20"/>
        <v>ENTRADA</v>
      </c>
      <c r="C99" t="str">
        <f t="shared" si="21"/>
        <v>NFSE</v>
      </c>
      <c r="D99" t="str">
        <f>"4136"</f>
        <v>4136</v>
      </c>
      <c r="E99" t="str">
        <f t="shared" si="22"/>
        <v>1</v>
      </c>
      <c r="F99" t="str">
        <f t="shared" si="29"/>
        <v>COM</v>
      </c>
      <c r="G99" t="str">
        <f>"PENSE FARMA 44 (10231)"</f>
        <v>PENSE FARMA 44 (10231)</v>
      </c>
      <c r="H99" t="s">
        <v>36</v>
      </c>
      <c r="I99" t="str">
        <f t="shared" si="23"/>
        <v>31/12/2025</v>
      </c>
      <c r="J99" t="str">
        <f t="shared" si="27"/>
        <v>29/12/2025</v>
      </c>
      <c r="K99">
        <v>46024</v>
      </c>
      <c r="N99">
        <v>303</v>
      </c>
      <c r="O99" t="s">
        <v>26</v>
      </c>
      <c r="Q99">
        <v>315.91000000000003</v>
      </c>
      <c r="R99" t="str">
        <f>"PENSE FARMA 48 (10233)"</f>
        <v>PENSE FARMA 48 (10233)</v>
      </c>
      <c r="S99" t="s">
        <v>27</v>
      </c>
      <c r="T99">
        <v>3705</v>
      </c>
      <c r="U99">
        <v>3156</v>
      </c>
      <c r="V99" t="s">
        <v>22</v>
      </c>
    </row>
    <row r="100" spans="1:22">
      <c r="A100" t="str">
        <f t="shared" si="28"/>
        <v>02/01/2026</v>
      </c>
      <c r="B100" t="str">
        <f t="shared" ref="B100:B131" si="30">"ENTRADA"</f>
        <v>ENTRADA</v>
      </c>
      <c r="C100" t="str">
        <f t="shared" ref="C100:C131" si="31">"NFSE"</f>
        <v>NFSE</v>
      </c>
      <c r="D100" t="str">
        <f>"4137"</f>
        <v>4137</v>
      </c>
      <c r="E100" t="str">
        <f t="shared" ref="E100:E131" si="32">"1"</f>
        <v>1</v>
      </c>
      <c r="F100" t="str">
        <f t="shared" si="29"/>
        <v>COM</v>
      </c>
      <c r="G100" t="str">
        <f>"PENSE FARMA 19 (10223)"</f>
        <v>PENSE FARMA 19 (10223)</v>
      </c>
      <c r="H100" t="str">
        <f>"Serv.Prest. 22/12/2025 a 28/12/2025 - RPS: 1899 - NFSe: 4137"</f>
        <v>Serv.Prest. 22/12/2025 a 28/12/2025 - RPS: 1899 - NFSe: 4137</v>
      </c>
      <c r="I100" t="str">
        <f t="shared" ref="I100:I131" si="33">("31/12/2025")</f>
        <v>31/12/2025</v>
      </c>
      <c r="J100" t="str">
        <f t="shared" si="27"/>
        <v>29/12/2025</v>
      </c>
      <c r="K100" t="str">
        <f>("02/01/2026")</f>
        <v>02/01/2026</v>
      </c>
      <c r="L100">
        <v>507.65</v>
      </c>
      <c r="M100">
        <v>507.65</v>
      </c>
      <c r="N100">
        <v>303</v>
      </c>
      <c r="O100" t="str">
        <f>"RECEITAS COM ENTREGAS"</f>
        <v>RECEITAS COM ENTREGAS</v>
      </c>
      <c r="P100">
        <v>507.65</v>
      </c>
      <c r="S100" t="str">
        <f>"RECEITAS COM ENTREGAS (303)"</f>
        <v>RECEITAS COM ENTREGAS (303)</v>
      </c>
      <c r="T100">
        <v>3706</v>
      </c>
      <c r="U100">
        <v>3157</v>
      </c>
      <c r="V100" t="s">
        <v>22</v>
      </c>
    </row>
    <row r="101" spans="1:22">
      <c r="A101" t="str">
        <f t="shared" si="28"/>
        <v>02/01/2026</v>
      </c>
      <c r="B101" t="str">
        <f t="shared" si="30"/>
        <v>ENTRADA</v>
      </c>
      <c r="C101" t="str">
        <f t="shared" si="31"/>
        <v>NFSE</v>
      </c>
      <c r="D101" t="str">
        <f>"4137"</f>
        <v>4137</v>
      </c>
      <c r="E101" t="str">
        <f t="shared" si="32"/>
        <v>1</v>
      </c>
      <c r="F101" t="str">
        <f t="shared" si="29"/>
        <v>COM</v>
      </c>
      <c r="G101" t="str">
        <f>"PENSE FARMA 19 (10223)"</f>
        <v>PENSE FARMA 19 (10223)</v>
      </c>
      <c r="H101" t="s">
        <v>37</v>
      </c>
      <c r="I101" t="str">
        <f t="shared" si="33"/>
        <v>31/12/2025</v>
      </c>
      <c r="J101" t="str">
        <f t="shared" si="27"/>
        <v>29/12/2025</v>
      </c>
      <c r="K101">
        <v>46024</v>
      </c>
      <c r="N101">
        <v>303</v>
      </c>
      <c r="O101" t="s">
        <v>26</v>
      </c>
      <c r="Q101">
        <v>507.65</v>
      </c>
      <c r="R101" t="str">
        <f>"PENSE FARMA 19 (10223)"</f>
        <v>PENSE FARMA 19 (10223)</v>
      </c>
      <c r="S101" t="s">
        <v>27</v>
      </c>
      <c r="T101">
        <v>3706</v>
      </c>
      <c r="U101">
        <v>3157</v>
      </c>
      <c r="V101" t="s">
        <v>22</v>
      </c>
    </row>
    <row r="102" spans="1:22">
      <c r="A102" t="str">
        <f t="shared" si="28"/>
        <v>02/01/2026</v>
      </c>
      <c r="B102" t="str">
        <f t="shared" si="30"/>
        <v>ENTRADA</v>
      </c>
      <c r="C102" t="str">
        <f t="shared" si="31"/>
        <v>NFSE</v>
      </c>
      <c r="D102" t="str">
        <f>"4138"</f>
        <v>4138</v>
      </c>
      <c r="E102" t="str">
        <f t="shared" si="32"/>
        <v>1</v>
      </c>
      <c r="F102" t="str">
        <f t="shared" si="29"/>
        <v>COM</v>
      </c>
      <c r="G102" t="str">
        <f>"PENSE FARMA 49 (10234)"</f>
        <v>PENSE FARMA 49 (10234)</v>
      </c>
      <c r="H102" t="str">
        <f>"Serv.Prest. 22/12/2025 a 28/12/2025 - RPS: 1900 - NFSe: 4138"</f>
        <v>Serv.Prest. 22/12/2025 a 28/12/2025 - RPS: 1900 - NFSe: 4138</v>
      </c>
      <c r="I102" t="str">
        <f t="shared" si="33"/>
        <v>31/12/2025</v>
      </c>
      <c r="J102" t="str">
        <f t="shared" si="27"/>
        <v>29/12/2025</v>
      </c>
      <c r="K102" t="str">
        <f>("02/01/2026")</f>
        <v>02/01/2026</v>
      </c>
      <c r="L102">
        <v>213.43</v>
      </c>
      <c r="M102">
        <v>213.43</v>
      </c>
      <c r="N102">
        <v>303</v>
      </c>
      <c r="O102" t="str">
        <f>"RECEITAS COM ENTREGAS"</f>
        <v>RECEITAS COM ENTREGAS</v>
      </c>
      <c r="P102">
        <v>213.43</v>
      </c>
      <c r="S102" t="str">
        <f>"RECEITAS COM ENTREGAS (303)"</f>
        <v>RECEITAS COM ENTREGAS (303)</v>
      </c>
      <c r="T102">
        <v>3707</v>
      </c>
      <c r="U102">
        <v>3158</v>
      </c>
      <c r="V102" t="s">
        <v>22</v>
      </c>
    </row>
    <row r="103" spans="1:22">
      <c r="A103" t="str">
        <f t="shared" si="28"/>
        <v>02/01/2026</v>
      </c>
      <c r="B103" t="str">
        <f t="shared" si="30"/>
        <v>ENTRADA</v>
      </c>
      <c r="C103" t="str">
        <f t="shared" si="31"/>
        <v>NFSE</v>
      </c>
      <c r="D103" t="str">
        <f>"4138"</f>
        <v>4138</v>
      </c>
      <c r="E103" t="str">
        <f t="shared" si="32"/>
        <v>1</v>
      </c>
      <c r="F103" t="str">
        <f t="shared" si="29"/>
        <v>COM</v>
      </c>
      <c r="G103" t="str">
        <f>"PENSE FARMA 49 (10234)"</f>
        <v>PENSE FARMA 49 (10234)</v>
      </c>
      <c r="H103" t="s">
        <v>38</v>
      </c>
      <c r="I103" t="str">
        <f t="shared" si="33"/>
        <v>31/12/2025</v>
      </c>
      <c r="J103" t="str">
        <f t="shared" si="27"/>
        <v>29/12/2025</v>
      </c>
      <c r="K103">
        <v>46024</v>
      </c>
      <c r="N103">
        <v>303</v>
      </c>
      <c r="O103" t="s">
        <v>26</v>
      </c>
      <c r="Q103">
        <v>213.43</v>
      </c>
      <c r="R103" t="str">
        <f>"PENSE FARMA 49 (10234)"</f>
        <v>PENSE FARMA 49 (10234)</v>
      </c>
      <c r="S103" t="s">
        <v>27</v>
      </c>
      <c r="T103">
        <v>3707</v>
      </c>
      <c r="U103">
        <v>3158</v>
      </c>
      <c r="V103" t="s">
        <v>22</v>
      </c>
    </row>
    <row r="104" spans="1:22">
      <c r="A104" t="str">
        <f t="shared" si="28"/>
        <v>02/01/2026</v>
      </c>
      <c r="B104" t="str">
        <f t="shared" si="30"/>
        <v>ENTRADA</v>
      </c>
      <c r="C104" t="str">
        <f t="shared" si="31"/>
        <v>NFSE</v>
      </c>
      <c r="D104" t="str">
        <f>"4139"</f>
        <v>4139</v>
      </c>
      <c r="E104" t="str">
        <f t="shared" si="32"/>
        <v>1</v>
      </c>
      <c r="F104" t="str">
        <f t="shared" si="29"/>
        <v>COM</v>
      </c>
      <c r="G104" t="str">
        <f>"PENSE FARMA 39 (10228)"</f>
        <v>PENSE FARMA 39 (10228)</v>
      </c>
      <c r="H104" t="str">
        <f>"Serv.Prest. 22/12/2025 a 28/12/2025 - RPS: 1901 - NFSe: 4139"</f>
        <v>Serv.Prest. 22/12/2025 a 28/12/2025 - RPS: 1901 - NFSe: 4139</v>
      </c>
      <c r="I104" t="str">
        <f t="shared" si="33"/>
        <v>31/12/2025</v>
      </c>
      <c r="J104" t="str">
        <f t="shared" si="27"/>
        <v>29/12/2025</v>
      </c>
      <c r="K104" t="str">
        <f>("02/01/2026")</f>
        <v>02/01/2026</v>
      </c>
      <c r="L104">
        <v>599.98</v>
      </c>
      <c r="M104">
        <v>599.98</v>
      </c>
      <c r="N104">
        <v>303</v>
      </c>
      <c r="O104" t="str">
        <f>"RECEITAS COM ENTREGAS"</f>
        <v>RECEITAS COM ENTREGAS</v>
      </c>
      <c r="P104">
        <v>599.98</v>
      </c>
      <c r="S104" t="str">
        <f>"RECEITAS COM ENTREGAS (303)"</f>
        <v>RECEITAS COM ENTREGAS (303)</v>
      </c>
      <c r="T104">
        <v>3708</v>
      </c>
      <c r="U104">
        <v>3159</v>
      </c>
      <c r="V104" t="s">
        <v>22</v>
      </c>
    </row>
    <row r="105" spans="1:22">
      <c r="A105" t="str">
        <f t="shared" si="28"/>
        <v>02/01/2026</v>
      </c>
      <c r="B105" t="str">
        <f t="shared" si="30"/>
        <v>ENTRADA</v>
      </c>
      <c r="C105" t="str">
        <f t="shared" si="31"/>
        <v>NFSE</v>
      </c>
      <c r="D105" t="str">
        <f>"4139"</f>
        <v>4139</v>
      </c>
      <c r="E105" t="str">
        <f t="shared" si="32"/>
        <v>1</v>
      </c>
      <c r="F105" t="str">
        <f t="shared" si="29"/>
        <v>COM</v>
      </c>
      <c r="G105" t="str">
        <f>"PENSE FARMA 39 (10228)"</f>
        <v>PENSE FARMA 39 (10228)</v>
      </c>
      <c r="H105" t="s">
        <v>39</v>
      </c>
      <c r="I105" t="str">
        <f t="shared" si="33"/>
        <v>31/12/2025</v>
      </c>
      <c r="J105" t="str">
        <f t="shared" si="27"/>
        <v>29/12/2025</v>
      </c>
      <c r="K105">
        <v>46024</v>
      </c>
      <c r="N105">
        <v>303</v>
      </c>
      <c r="O105" t="s">
        <v>26</v>
      </c>
      <c r="Q105">
        <v>148.85</v>
      </c>
      <c r="R105" t="str">
        <f>"PENSE FARMA 02 (10199)"</f>
        <v>PENSE FARMA 02 (10199)</v>
      </c>
      <c r="S105" t="s">
        <v>27</v>
      </c>
      <c r="T105">
        <v>3708</v>
      </c>
      <c r="U105">
        <v>3159</v>
      </c>
      <c r="V105" t="s">
        <v>22</v>
      </c>
    </row>
    <row r="106" spans="1:22">
      <c r="A106" t="str">
        <f t="shared" si="28"/>
        <v>02/01/2026</v>
      </c>
      <c r="B106" t="str">
        <f t="shared" si="30"/>
        <v>ENTRADA</v>
      </c>
      <c r="C106" t="str">
        <f t="shared" si="31"/>
        <v>NFSE</v>
      </c>
      <c r="D106" t="str">
        <f>"4139"</f>
        <v>4139</v>
      </c>
      <c r="E106" t="str">
        <f t="shared" si="32"/>
        <v>1</v>
      </c>
      <c r="F106" t="str">
        <f t="shared" si="29"/>
        <v>COM</v>
      </c>
      <c r="G106" t="str">
        <f>"PENSE FARMA 39 (10228)"</f>
        <v>PENSE FARMA 39 (10228)</v>
      </c>
      <c r="H106" t="s">
        <v>39</v>
      </c>
      <c r="I106" t="str">
        <f t="shared" si="33"/>
        <v>31/12/2025</v>
      </c>
      <c r="J106" t="str">
        <f t="shared" si="27"/>
        <v>29/12/2025</v>
      </c>
      <c r="K106">
        <v>46024</v>
      </c>
      <c r="N106">
        <v>303</v>
      </c>
      <c r="O106" t="s">
        <v>26</v>
      </c>
      <c r="Q106">
        <v>148.86000000000001</v>
      </c>
      <c r="R106" t="str">
        <f>"PENSE FARMA 01 (10215)"</f>
        <v>PENSE FARMA 01 (10215)</v>
      </c>
      <c r="S106" t="s">
        <v>27</v>
      </c>
      <c r="T106">
        <v>3708</v>
      </c>
      <c r="U106">
        <v>3159</v>
      </c>
      <c r="V106" t="s">
        <v>22</v>
      </c>
    </row>
    <row r="107" spans="1:22">
      <c r="A107" t="str">
        <f t="shared" si="28"/>
        <v>02/01/2026</v>
      </c>
      <c r="B107" t="str">
        <f t="shared" si="30"/>
        <v>ENTRADA</v>
      </c>
      <c r="C107" t="str">
        <f t="shared" si="31"/>
        <v>NFSE</v>
      </c>
      <c r="D107" t="str">
        <f>"4139"</f>
        <v>4139</v>
      </c>
      <c r="E107" t="str">
        <f t="shared" si="32"/>
        <v>1</v>
      </c>
      <c r="F107" t="str">
        <f t="shared" si="29"/>
        <v>COM</v>
      </c>
      <c r="G107" t="str">
        <f>"PENSE FARMA 39 (10228)"</f>
        <v>PENSE FARMA 39 (10228)</v>
      </c>
      <c r="H107" t="s">
        <v>39</v>
      </c>
      <c r="I107" t="str">
        <f t="shared" si="33"/>
        <v>31/12/2025</v>
      </c>
      <c r="J107" t="str">
        <f t="shared" si="27"/>
        <v>29/12/2025</v>
      </c>
      <c r="K107">
        <v>46024</v>
      </c>
      <c r="N107">
        <v>303</v>
      </c>
      <c r="O107" t="s">
        <v>26</v>
      </c>
      <c r="Q107">
        <v>148.86000000000001</v>
      </c>
      <c r="R107" t="str">
        <f>"PENSE FARMA 03 (10216)"</f>
        <v>PENSE FARMA 03 (10216)</v>
      </c>
      <c r="S107" t="s">
        <v>27</v>
      </c>
      <c r="T107">
        <v>3708</v>
      </c>
      <c r="U107">
        <v>3159</v>
      </c>
      <c r="V107" t="s">
        <v>22</v>
      </c>
    </row>
    <row r="108" spans="1:22">
      <c r="A108" t="str">
        <f t="shared" si="28"/>
        <v>02/01/2026</v>
      </c>
      <c r="B108" t="str">
        <f t="shared" si="30"/>
        <v>ENTRADA</v>
      </c>
      <c r="C108" t="str">
        <f t="shared" si="31"/>
        <v>NFSE</v>
      </c>
      <c r="D108" t="str">
        <f>"4139"</f>
        <v>4139</v>
      </c>
      <c r="E108" t="str">
        <f t="shared" si="32"/>
        <v>1</v>
      </c>
      <c r="F108" t="str">
        <f t="shared" si="29"/>
        <v>COM</v>
      </c>
      <c r="G108" t="str">
        <f>"PENSE FARMA 39 (10228)"</f>
        <v>PENSE FARMA 39 (10228)</v>
      </c>
      <c r="H108" t="s">
        <v>39</v>
      </c>
      <c r="I108" t="str">
        <f t="shared" si="33"/>
        <v>31/12/2025</v>
      </c>
      <c r="J108" t="str">
        <f t="shared" si="27"/>
        <v>29/12/2025</v>
      </c>
      <c r="K108">
        <v>46024</v>
      </c>
      <c r="N108">
        <v>303</v>
      </c>
      <c r="O108" t="s">
        <v>26</v>
      </c>
      <c r="Q108">
        <v>153.41</v>
      </c>
      <c r="R108" t="str">
        <f>"PENSE FARMA 39 (10228)"</f>
        <v>PENSE FARMA 39 (10228)</v>
      </c>
      <c r="S108" t="s">
        <v>27</v>
      </c>
      <c r="T108">
        <v>3708</v>
      </c>
      <c r="U108">
        <v>3159</v>
      </c>
      <c r="V108" t="s">
        <v>22</v>
      </c>
    </row>
    <row r="109" spans="1:22">
      <c r="A109" t="str">
        <f t="shared" si="28"/>
        <v>02/01/2026</v>
      </c>
      <c r="B109" t="str">
        <f t="shared" si="30"/>
        <v>ENTRADA</v>
      </c>
      <c r="C109" t="str">
        <f t="shared" si="31"/>
        <v>NFSE</v>
      </c>
      <c r="D109" t="str">
        <f>"4140"</f>
        <v>4140</v>
      </c>
      <c r="E109" t="str">
        <f t="shared" si="32"/>
        <v>1</v>
      </c>
      <c r="F109" t="str">
        <f t="shared" si="29"/>
        <v>COM</v>
      </c>
      <c r="G109" t="str">
        <f>"PENSE FARMA 47 (10232)"</f>
        <v>PENSE FARMA 47 (10232)</v>
      </c>
      <c r="H109" t="str">
        <f>"Serv.Prest. 22/12/2025 a 28/12/2025 - RPS: 1902 - NFSe: 4140"</f>
        <v>Serv.Prest. 22/12/2025 a 28/12/2025 - RPS: 1902 - NFSe: 4140</v>
      </c>
      <c r="I109" t="str">
        <f t="shared" si="33"/>
        <v>31/12/2025</v>
      </c>
      <c r="J109" t="str">
        <f t="shared" si="27"/>
        <v>29/12/2025</v>
      </c>
      <c r="K109" t="str">
        <f>("02/01/2026")</f>
        <v>02/01/2026</v>
      </c>
      <c r="L109">
        <v>320.23</v>
      </c>
      <c r="M109">
        <v>320.23</v>
      </c>
      <c r="N109">
        <v>303</v>
      </c>
      <c r="O109" t="str">
        <f>"RECEITAS COM ENTREGAS"</f>
        <v>RECEITAS COM ENTREGAS</v>
      </c>
      <c r="P109">
        <v>320.23</v>
      </c>
      <c r="S109" t="str">
        <f>"RECEITAS COM ENTREGAS (303)"</f>
        <v>RECEITAS COM ENTREGAS (303)</v>
      </c>
      <c r="T109">
        <v>3709</v>
      </c>
      <c r="U109">
        <v>3160</v>
      </c>
      <c r="V109" t="s">
        <v>22</v>
      </c>
    </row>
    <row r="110" spans="1:22">
      <c r="A110" t="str">
        <f t="shared" si="28"/>
        <v>02/01/2026</v>
      </c>
      <c r="B110" t="str">
        <f t="shared" si="30"/>
        <v>ENTRADA</v>
      </c>
      <c r="C110" t="str">
        <f t="shared" si="31"/>
        <v>NFSE</v>
      </c>
      <c r="D110" t="str">
        <f>"4140"</f>
        <v>4140</v>
      </c>
      <c r="E110" t="str">
        <f t="shared" si="32"/>
        <v>1</v>
      </c>
      <c r="F110" t="str">
        <f t="shared" si="29"/>
        <v>COM</v>
      </c>
      <c r="G110" t="str">
        <f>"PENSE FARMA 47 (10232)"</f>
        <v>PENSE FARMA 47 (10232)</v>
      </c>
      <c r="H110" t="s">
        <v>40</v>
      </c>
      <c r="I110" t="str">
        <f t="shared" si="33"/>
        <v>31/12/2025</v>
      </c>
      <c r="J110" t="str">
        <f t="shared" si="27"/>
        <v>29/12/2025</v>
      </c>
      <c r="K110">
        <v>46024</v>
      </c>
      <c r="N110">
        <v>303</v>
      </c>
      <c r="O110" t="s">
        <v>26</v>
      </c>
      <c r="Q110">
        <v>320.23</v>
      </c>
      <c r="R110" t="str">
        <f>"PENSE FARMA 47 (10232)"</f>
        <v>PENSE FARMA 47 (10232)</v>
      </c>
      <c r="S110" t="s">
        <v>27</v>
      </c>
      <c r="T110">
        <v>3709</v>
      </c>
      <c r="U110">
        <v>3160</v>
      </c>
      <c r="V110" t="s">
        <v>22</v>
      </c>
    </row>
    <row r="111" spans="1:22">
      <c r="A111" t="str">
        <f t="shared" si="28"/>
        <v>02/01/2026</v>
      </c>
      <c r="B111" t="str">
        <f t="shared" si="30"/>
        <v>ENTRADA</v>
      </c>
      <c r="C111" t="str">
        <f t="shared" si="31"/>
        <v>NFSE</v>
      </c>
      <c r="D111" t="str">
        <f>"4141"</f>
        <v>4141</v>
      </c>
      <c r="E111" t="str">
        <f t="shared" si="32"/>
        <v>1</v>
      </c>
      <c r="F111" t="str">
        <f t="shared" si="29"/>
        <v>COM</v>
      </c>
      <c r="G111" t="str">
        <f>"PENSE FARMA 25 (10224)"</f>
        <v>PENSE FARMA 25 (10224)</v>
      </c>
      <c r="H111" t="str">
        <f>"Serv.Prest. 22/12/2025 a 28/12/2025 - RPS: 1903 - NFSe: 4141"</f>
        <v>Serv.Prest. 22/12/2025 a 28/12/2025 - RPS: 1903 - NFSe: 4141</v>
      </c>
      <c r="I111" t="str">
        <f t="shared" si="33"/>
        <v>31/12/2025</v>
      </c>
      <c r="J111" t="str">
        <f t="shared" si="27"/>
        <v>29/12/2025</v>
      </c>
      <c r="K111" t="str">
        <f>("02/01/2026")</f>
        <v>02/01/2026</v>
      </c>
      <c r="L111">
        <v>320.5</v>
      </c>
      <c r="M111">
        <v>320.5</v>
      </c>
      <c r="N111">
        <v>303</v>
      </c>
      <c r="O111" t="str">
        <f>"RECEITAS COM ENTREGAS"</f>
        <v>RECEITAS COM ENTREGAS</v>
      </c>
      <c r="P111">
        <v>320.5</v>
      </c>
      <c r="S111" t="str">
        <f>"RECEITAS COM ENTREGAS (303)"</f>
        <v>RECEITAS COM ENTREGAS (303)</v>
      </c>
      <c r="T111">
        <v>3710</v>
      </c>
      <c r="U111">
        <v>3161</v>
      </c>
      <c r="V111" t="s">
        <v>22</v>
      </c>
    </row>
    <row r="112" spans="1:22">
      <c r="A112" t="str">
        <f t="shared" si="28"/>
        <v>02/01/2026</v>
      </c>
      <c r="B112" t="str">
        <f t="shared" si="30"/>
        <v>ENTRADA</v>
      </c>
      <c r="C112" t="str">
        <f t="shared" si="31"/>
        <v>NFSE</v>
      </c>
      <c r="D112" t="str">
        <f>"4141"</f>
        <v>4141</v>
      </c>
      <c r="E112" t="str">
        <f t="shared" si="32"/>
        <v>1</v>
      </c>
      <c r="F112" t="str">
        <f t="shared" si="29"/>
        <v>COM</v>
      </c>
      <c r="G112" t="str">
        <f>"PENSE FARMA 25 (10224)"</f>
        <v>PENSE FARMA 25 (10224)</v>
      </c>
      <c r="H112" t="s">
        <v>41</v>
      </c>
      <c r="I112" t="str">
        <f t="shared" si="33"/>
        <v>31/12/2025</v>
      </c>
      <c r="J112" t="str">
        <f t="shared" ref="J112:J143" si="34">("29/12/2025")</f>
        <v>29/12/2025</v>
      </c>
      <c r="K112">
        <v>46024</v>
      </c>
      <c r="N112">
        <v>303</v>
      </c>
      <c r="O112" t="s">
        <v>26</v>
      </c>
      <c r="Q112">
        <v>320.5</v>
      </c>
      <c r="R112" t="str">
        <f>"PENSE FARMA 25 (10224)"</f>
        <v>PENSE FARMA 25 (10224)</v>
      </c>
      <c r="S112" t="s">
        <v>27</v>
      </c>
      <c r="T112">
        <v>3710</v>
      </c>
      <c r="U112">
        <v>3161</v>
      </c>
      <c r="V112" t="s">
        <v>22</v>
      </c>
    </row>
    <row r="113" spans="1:22">
      <c r="A113" t="str">
        <f t="shared" si="28"/>
        <v>02/01/2026</v>
      </c>
      <c r="B113" t="str">
        <f t="shared" si="30"/>
        <v>ENTRADA</v>
      </c>
      <c r="C113" t="str">
        <f t="shared" si="31"/>
        <v>NFSE</v>
      </c>
      <c r="D113" t="str">
        <f>"4142"</f>
        <v>4142</v>
      </c>
      <c r="E113" t="str">
        <f t="shared" si="32"/>
        <v>1</v>
      </c>
      <c r="F113" t="str">
        <f t="shared" si="29"/>
        <v>COM</v>
      </c>
      <c r="G113" t="str">
        <f>"PENSE FARMA 35 (10227)"</f>
        <v>PENSE FARMA 35 (10227)</v>
      </c>
      <c r="H113" t="str">
        <f>"Serv.Prest. 22/12/2025 a 28/12/2025 - RPS: 1904 - NFSe: 4142"</f>
        <v>Serv.Prest. 22/12/2025 a 28/12/2025 - RPS: 1904 - NFSe: 4142</v>
      </c>
      <c r="I113" t="str">
        <f t="shared" si="33"/>
        <v>31/12/2025</v>
      </c>
      <c r="J113" t="str">
        <f t="shared" si="34"/>
        <v>29/12/2025</v>
      </c>
      <c r="K113" t="str">
        <f>("02/01/2026")</f>
        <v>02/01/2026</v>
      </c>
      <c r="L113">
        <v>171.45</v>
      </c>
      <c r="M113">
        <v>171.45</v>
      </c>
      <c r="N113">
        <v>303</v>
      </c>
      <c r="O113" t="str">
        <f>"RECEITAS COM ENTREGAS"</f>
        <v>RECEITAS COM ENTREGAS</v>
      </c>
      <c r="P113">
        <v>171.45</v>
      </c>
      <c r="S113" t="str">
        <f>"RECEITAS COM ENTREGAS (303)"</f>
        <v>RECEITAS COM ENTREGAS (303)</v>
      </c>
      <c r="T113">
        <v>3711</v>
      </c>
      <c r="U113">
        <v>3162</v>
      </c>
      <c r="V113" t="s">
        <v>22</v>
      </c>
    </row>
    <row r="114" spans="1:22">
      <c r="A114" t="str">
        <f t="shared" si="28"/>
        <v>02/01/2026</v>
      </c>
      <c r="B114" t="str">
        <f t="shared" si="30"/>
        <v>ENTRADA</v>
      </c>
      <c r="C114" t="str">
        <f t="shared" si="31"/>
        <v>NFSE</v>
      </c>
      <c r="D114" t="str">
        <f>"4142"</f>
        <v>4142</v>
      </c>
      <c r="E114" t="str">
        <f t="shared" si="32"/>
        <v>1</v>
      </c>
      <c r="F114" t="str">
        <f t="shared" si="29"/>
        <v>COM</v>
      </c>
      <c r="G114" t="str">
        <f>"PENSE FARMA 35 (10227)"</f>
        <v>PENSE FARMA 35 (10227)</v>
      </c>
      <c r="H114" t="s">
        <v>42</v>
      </c>
      <c r="I114" t="str">
        <f t="shared" si="33"/>
        <v>31/12/2025</v>
      </c>
      <c r="J114" t="str">
        <f t="shared" si="34"/>
        <v>29/12/2025</v>
      </c>
      <c r="K114">
        <v>46024</v>
      </c>
      <c r="N114">
        <v>303</v>
      </c>
      <c r="O114" t="s">
        <v>26</v>
      </c>
      <c r="Q114">
        <v>171.45</v>
      </c>
      <c r="R114" t="str">
        <f>"PENSE FARMA 35 (10227)"</f>
        <v>PENSE FARMA 35 (10227)</v>
      </c>
      <c r="S114" t="s">
        <v>27</v>
      </c>
      <c r="T114">
        <v>3711</v>
      </c>
      <c r="U114">
        <v>3162</v>
      </c>
      <c r="V114" t="s">
        <v>22</v>
      </c>
    </row>
    <row r="115" spans="1:22">
      <c r="A115" t="str">
        <f t="shared" si="28"/>
        <v>02/01/2026</v>
      </c>
      <c r="B115" t="str">
        <f t="shared" si="30"/>
        <v>ENTRADA</v>
      </c>
      <c r="C115" t="str">
        <f t="shared" si="31"/>
        <v>NFSE</v>
      </c>
      <c r="D115" t="str">
        <f t="shared" ref="D115:D120" si="35">"4143"</f>
        <v>4143</v>
      </c>
      <c r="E115" t="str">
        <f t="shared" si="32"/>
        <v>1</v>
      </c>
      <c r="F115" t="str">
        <f t="shared" si="29"/>
        <v>COM</v>
      </c>
      <c r="G115" t="str">
        <f t="shared" ref="G115:G120" si="36">"PENSE FARMA 08 (10217)"</f>
        <v>PENSE FARMA 08 (10217)</v>
      </c>
      <c r="H115" t="str">
        <f>"Serv.Prest. 22/12/2025 a 28/12/2025 - RPS: 1905 - NFSe: 4143"</f>
        <v>Serv.Prest. 22/12/2025 a 28/12/2025 - RPS: 1905 - NFSe: 4143</v>
      </c>
      <c r="I115" t="str">
        <f t="shared" si="33"/>
        <v>31/12/2025</v>
      </c>
      <c r="J115" t="str">
        <f t="shared" si="34"/>
        <v>29/12/2025</v>
      </c>
      <c r="K115" t="str">
        <f>("02/01/2026")</f>
        <v>02/01/2026</v>
      </c>
      <c r="L115">
        <v>589.5</v>
      </c>
      <c r="M115">
        <v>589.5</v>
      </c>
      <c r="N115">
        <v>303</v>
      </c>
      <c r="O115" t="str">
        <f>"RECEITAS COM ENTREGAS"</f>
        <v>RECEITAS COM ENTREGAS</v>
      </c>
      <c r="P115">
        <v>589.5</v>
      </c>
      <c r="S115" t="str">
        <f>"RECEITAS COM ENTREGAS (303)"</f>
        <v>RECEITAS COM ENTREGAS (303)</v>
      </c>
      <c r="T115">
        <v>3712</v>
      </c>
      <c r="U115">
        <v>3163</v>
      </c>
      <c r="V115" t="s">
        <v>22</v>
      </c>
    </row>
    <row r="116" spans="1:22">
      <c r="A116" t="str">
        <f t="shared" si="28"/>
        <v>02/01/2026</v>
      </c>
      <c r="B116" t="str">
        <f t="shared" si="30"/>
        <v>ENTRADA</v>
      </c>
      <c r="C116" t="str">
        <f t="shared" si="31"/>
        <v>NFSE</v>
      </c>
      <c r="D116" t="str">
        <f t="shared" si="35"/>
        <v>4143</v>
      </c>
      <c r="E116" t="str">
        <f t="shared" si="32"/>
        <v>1</v>
      </c>
      <c r="F116" t="str">
        <f t="shared" si="29"/>
        <v>COM</v>
      </c>
      <c r="G116" t="str">
        <f t="shared" si="36"/>
        <v>PENSE FARMA 08 (10217)</v>
      </c>
      <c r="H116" t="s">
        <v>43</v>
      </c>
      <c r="I116" t="str">
        <f t="shared" si="33"/>
        <v>31/12/2025</v>
      </c>
      <c r="J116" t="str">
        <f t="shared" si="34"/>
        <v>29/12/2025</v>
      </c>
      <c r="K116">
        <v>46024</v>
      </c>
      <c r="N116">
        <v>303</v>
      </c>
      <c r="O116" t="s">
        <v>26</v>
      </c>
      <c r="Q116">
        <v>117.9</v>
      </c>
      <c r="R116" t="str">
        <f>"PENSE FARMA 08 (10217)"</f>
        <v>PENSE FARMA 08 (10217)</v>
      </c>
      <c r="S116" t="s">
        <v>27</v>
      </c>
      <c r="T116">
        <v>3712</v>
      </c>
      <c r="U116">
        <v>3163</v>
      </c>
      <c r="V116" t="s">
        <v>22</v>
      </c>
    </row>
    <row r="117" spans="1:22">
      <c r="A117" t="str">
        <f t="shared" si="28"/>
        <v>02/01/2026</v>
      </c>
      <c r="B117" t="str">
        <f t="shared" si="30"/>
        <v>ENTRADA</v>
      </c>
      <c r="C117" t="str">
        <f t="shared" si="31"/>
        <v>NFSE</v>
      </c>
      <c r="D117" t="str">
        <f t="shared" si="35"/>
        <v>4143</v>
      </c>
      <c r="E117" t="str">
        <f t="shared" si="32"/>
        <v>1</v>
      </c>
      <c r="F117" t="str">
        <f t="shared" si="29"/>
        <v>COM</v>
      </c>
      <c r="G117" t="str">
        <f t="shared" si="36"/>
        <v>PENSE FARMA 08 (10217)</v>
      </c>
      <c r="H117" t="s">
        <v>43</v>
      </c>
      <c r="I117" t="str">
        <f t="shared" si="33"/>
        <v>31/12/2025</v>
      </c>
      <c r="J117" t="str">
        <f t="shared" si="34"/>
        <v>29/12/2025</v>
      </c>
      <c r="K117">
        <v>46024</v>
      </c>
      <c r="N117">
        <v>303</v>
      </c>
      <c r="O117" t="s">
        <v>26</v>
      </c>
      <c r="Q117">
        <v>117.9</v>
      </c>
      <c r="R117" t="str">
        <f>"PENSE FARMA 11 (10220)"</f>
        <v>PENSE FARMA 11 (10220)</v>
      </c>
      <c r="S117" t="s">
        <v>27</v>
      </c>
      <c r="T117">
        <v>3712</v>
      </c>
      <c r="U117">
        <v>3163</v>
      </c>
      <c r="V117" t="s">
        <v>22</v>
      </c>
    </row>
    <row r="118" spans="1:22">
      <c r="A118" t="str">
        <f t="shared" si="28"/>
        <v>02/01/2026</v>
      </c>
      <c r="B118" t="str">
        <f t="shared" si="30"/>
        <v>ENTRADA</v>
      </c>
      <c r="C118" t="str">
        <f t="shared" si="31"/>
        <v>NFSE</v>
      </c>
      <c r="D118" t="str">
        <f t="shared" si="35"/>
        <v>4143</v>
      </c>
      <c r="E118" t="str">
        <f t="shared" si="32"/>
        <v>1</v>
      </c>
      <c r="F118" t="str">
        <f t="shared" si="29"/>
        <v>COM</v>
      </c>
      <c r="G118" t="str">
        <f t="shared" si="36"/>
        <v>PENSE FARMA 08 (10217)</v>
      </c>
      <c r="H118" t="s">
        <v>43</v>
      </c>
      <c r="I118" t="str">
        <f t="shared" si="33"/>
        <v>31/12/2025</v>
      </c>
      <c r="J118" t="str">
        <f t="shared" si="34"/>
        <v>29/12/2025</v>
      </c>
      <c r="K118">
        <v>46024</v>
      </c>
      <c r="N118">
        <v>303</v>
      </c>
      <c r="O118" t="s">
        <v>26</v>
      </c>
      <c r="Q118">
        <v>117.9</v>
      </c>
      <c r="R118" t="str">
        <f>"PENSE FARMA 41 (10229)"</f>
        <v>PENSE FARMA 41 (10229)</v>
      </c>
      <c r="S118" t="s">
        <v>27</v>
      </c>
      <c r="T118">
        <v>3712</v>
      </c>
      <c r="U118">
        <v>3163</v>
      </c>
      <c r="V118" t="s">
        <v>22</v>
      </c>
    </row>
    <row r="119" spans="1:22">
      <c r="A119" t="str">
        <f t="shared" si="28"/>
        <v>02/01/2026</v>
      </c>
      <c r="B119" t="str">
        <f t="shared" si="30"/>
        <v>ENTRADA</v>
      </c>
      <c r="C119" t="str">
        <f t="shared" si="31"/>
        <v>NFSE</v>
      </c>
      <c r="D119" t="str">
        <f t="shared" si="35"/>
        <v>4143</v>
      </c>
      <c r="E119" t="str">
        <f t="shared" si="32"/>
        <v>1</v>
      </c>
      <c r="F119" t="str">
        <f t="shared" si="29"/>
        <v>COM</v>
      </c>
      <c r="G119" t="str">
        <f t="shared" si="36"/>
        <v>PENSE FARMA 08 (10217)</v>
      </c>
      <c r="H119" t="s">
        <v>43</v>
      </c>
      <c r="I119" t="str">
        <f t="shared" si="33"/>
        <v>31/12/2025</v>
      </c>
      <c r="J119" t="str">
        <f t="shared" si="34"/>
        <v>29/12/2025</v>
      </c>
      <c r="K119">
        <v>46024</v>
      </c>
      <c r="N119">
        <v>303</v>
      </c>
      <c r="O119" t="s">
        <v>26</v>
      </c>
      <c r="Q119">
        <v>117.9</v>
      </c>
      <c r="R119" t="str">
        <f>"PENSE FARMA 42 (10230)"</f>
        <v>PENSE FARMA 42 (10230)</v>
      </c>
      <c r="S119" t="s">
        <v>27</v>
      </c>
      <c r="T119">
        <v>3712</v>
      </c>
      <c r="U119">
        <v>3163</v>
      </c>
      <c r="V119" t="s">
        <v>22</v>
      </c>
    </row>
    <row r="120" spans="1:22">
      <c r="A120" t="str">
        <f t="shared" si="28"/>
        <v>02/01/2026</v>
      </c>
      <c r="B120" t="str">
        <f t="shared" si="30"/>
        <v>ENTRADA</v>
      </c>
      <c r="C120" t="str">
        <f t="shared" si="31"/>
        <v>NFSE</v>
      </c>
      <c r="D120" t="str">
        <f t="shared" si="35"/>
        <v>4143</v>
      </c>
      <c r="E120" t="str">
        <f t="shared" si="32"/>
        <v>1</v>
      </c>
      <c r="F120" t="str">
        <f t="shared" si="29"/>
        <v>COM</v>
      </c>
      <c r="G120" t="str">
        <f t="shared" si="36"/>
        <v>PENSE FARMA 08 (10217)</v>
      </c>
      <c r="H120" t="s">
        <v>43</v>
      </c>
      <c r="I120" t="str">
        <f t="shared" si="33"/>
        <v>31/12/2025</v>
      </c>
      <c r="J120" t="str">
        <f t="shared" si="34"/>
        <v>29/12/2025</v>
      </c>
      <c r="K120">
        <v>46024</v>
      </c>
      <c r="N120">
        <v>303</v>
      </c>
      <c r="O120" t="s">
        <v>26</v>
      </c>
      <c r="Q120">
        <v>117.9</v>
      </c>
      <c r="R120" t="str">
        <f>"PENSE FARMA 52 (10236)"</f>
        <v>PENSE FARMA 52 (10236)</v>
      </c>
      <c r="S120" t="s">
        <v>27</v>
      </c>
      <c r="T120">
        <v>3712</v>
      </c>
      <c r="U120">
        <v>3163</v>
      </c>
      <c r="V120" t="s">
        <v>22</v>
      </c>
    </row>
    <row r="121" spans="1:22">
      <c r="A121" t="str">
        <f t="shared" si="28"/>
        <v>02/01/2026</v>
      </c>
      <c r="B121" t="str">
        <f t="shared" si="30"/>
        <v>ENTRADA</v>
      </c>
      <c r="C121" t="str">
        <f t="shared" si="31"/>
        <v>NFSE</v>
      </c>
      <c r="D121" t="str">
        <f t="shared" ref="D121:D127" si="37">"4145"</f>
        <v>4145</v>
      </c>
      <c r="E121" t="str">
        <f t="shared" si="32"/>
        <v>1</v>
      </c>
      <c r="F121" t="str">
        <f t="shared" si="29"/>
        <v>COM</v>
      </c>
      <c r="G121" t="str">
        <f t="shared" ref="G121:G127" si="38">"PENSE FARMA 36 (10206)"</f>
        <v>PENSE FARMA 36 (10206)</v>
      </c>
      <c r="H121" t="str">
        <f>"Serv.Prest. 22/12/2025 a 28/12/2025 - RPS: 1907 - NFSe: 4145"</f>
        <v>Serv.Prest. 22/12/2025 a 28/12/2025 - RPS: 1907 - NFSe: 4145</v>
      </c>
      <c r="I121" t="str">
        <f t="shared" si="33"/>
        <v>31/12/2025</v>
      </c>
      <c r="J121" t="str">
        <f t="shared" si="34"/>
        <v>29/12/2025</v>
      </c>
      <c r="K121" t="str">
        <f>("02/01/2026")</f>
        <v>02/01/2026</v>
      </c>
      <c r="L121">
        <v>894.35</v>
      </c>
      <c r="M121">
        <v>894.35</v>
      </c>
      <c r="N121">
        <v>303</v>
      </c>
      <c r="O121" t="str">
        <f>"RECEITAS COM ENTREGAS"</f>
        <v>RECEITAS COM ENTREGAS</v>
      </c>
      <c r="P121">
        <v>894.35</v>
      </c>
      <c r="S121" t="str">
        <f>"RECEITAS COM ENTREGAS (303)"</f>
        <v>RECEITAS COM ENTREGAS (303)</v>
      </c>
      <c r="T121">
        <v>3713</v>
      </c>
      <c r="U121">
        <v>3165</v>
      </c>
      <c r="V121" t="s">
        <v>22</v>
      </c>
    </row>
    <row r="122" spans="1:22">
      <c r="A122" t="str">
        <f t="shared" si="28"/>
        <v>02/01/2026</v>
      </c>
      <c r="B122" t="str">
        <f t="shared" si="30"/>
        <v>ENTRADA</v>
      </c>
      <c r="C122" t="str">
        <f t="shared" si="31"/>
        <v>NFSE</v>
      </c>
      <c r="D122" t="str">
        <f t="shared" si="37"/>
        <v>4145</v>
      </c>
      <c r="E122" t="str">
        <f t="shared" si="32"/>
        <v>1</v>
      </c>
      <c r="F122" t="str">
        <f t="shared" si="29"/>
        <v>COM</v>
      </c>
      <c r="G122" t="str">
        <f t="shared" si="38"/>
        <v>PENSE FARMA 36 (10206)</v>
      </c>
      <c r="H122" t="s">
        <v>44</v>
      </c>
      <c r="I122" t="str">
        <f t="shared" si="33"/>
        <v>31/12/2025</v>
      </c>
      <c r="J122" t="str">
        <f t="shared" si="34"/>
        <v>29/12/2025</v>
      </c>
      <c r="K122">
        <v>46024</v>
      </c>
      <c r="N122">
        <v>303</v>
      </c>
      <c r="O122" t="s">
        <v>26</v>
      </c>
      <c r="Q122">
        <v>148.30000000000001</v>
      </c>
      <c r="R122" t="str">
        <f>"PENSE FARMA 20 (10203)"</f>
        <v>PENSE FARMA 20 (10203)</v>
      </c>
      <c r="S122" t="s">
        <v>27</v>
      </c>
      <c r="T122">
        <v>3713</v>
      </c>
      <c r="U122">
        <v>3165</v>
      </c>
      <c r="V122" t="s">
        <v>22</v>
      </c>
    </row>
    <row r="123" spans="1:22">
      <c r="A123" t="str">
        <f t="shared" si="28"/>
        <v>02/01/2026</v>
      </c>
      <c r="B123" t="str">
        <f t="shared" si="30"/>
        <v>ENTRADA</v>
      </c>
      <c r="C123" t="str">
        <f t="shared" si="31"/>
        <v>NFSE</v>
      </c>
      <c r="D123" t="str">
        <f t="shared" si="37"/>
        <v>4145</v>
      </c>
      <c r="E123" t="str">
        <f t="shared" si="32"/>
        <v>1</v>
      </c>
      <c r="F123" t="str">
        <f t="shared" si="29"/>
        <v>COM</v>
      </c>
      <c r="G123" t="str">
        <f t="shared" si="38"/>
        <v>PENSE FARMA 36 (10206)</v>
      </c>
      <c r="H123" t="s">
        <v>44</v>
      </c>
      <c r="I123" t="str">
        <f t="shared" si="33"/>
        <v>31/12/2025</v>
      </c>
      <c r="J123" t="str">
        <f t="shared" si="34"/>
        <v>29/12/2025</v>
      </c>
      <c r="K123">
        <v>46024</v>
      </c>
      <c r="N123">
        <v>303</v>
      </c>
      <c r="O123" t="s">
        <v>26</v>
      </c>
      <c r="Q123">
        <v>148.28</v>
      </c>
      <c r="R123" t="str">
        <f>"PENSE FARMA 36 (10206)"</f>
        <v>PENSE FARMA 36 (10206)</v>
      </c>
      <c r="S123" t="s">
        <v>27</v>
      </c>
      <c r="T123">
        <v>3713</v>
      </c>
      <c r="U123">
        <v>3165</v>
      </c>
      <c r="V123" t="s">
        <v>22</v>
      </c>
    </row>
    <row r="124" spans="1:22">
      <c r="A124" t="str">
        <f t="shared" si="28"/>
        <v>02/01/2026</v>
      </c>
      <c r="B124" t="str">
        <f t="shared" si="30"/>
        <v>ENTRADA</v>
      </c>
      <c r="C124" t="str">
        <f t="shared" si="31"/>
        <v>NFSE</v>
      </c>
      <c r="D124" t="str">
        <f t="shared" si="37"/>
        <v>4145</v>
      </c>
      <c r="E124" t="str">
        <f t="shared" si="32"/>
        <v>1</v>
      </c>
      <c r="F124" t="str">
        <f t="shared" si="29"/>
        <v>COM</v>
      </c>
      <c r="G124" t="str">
        <f t="shared" si="38"/>
        <v>PENSE FARMA 36 (10206)</v>
      </c>
      <c r="H124" t="s">
        <v>44</v>
      </c>
      <c r="I124" t="str">
        <f t="shared" si="33"/>
        <v>31/12/2025</v>
      </c>
      <c r="J124" t="str">
        <f t="shared" si="34"/>
        <v>29/12/2025</v>
      </c>
      <c r="K124">
        <v>46024</v>
      </c>
      <c r="N124">
        <v>303</v>
      </c>
      <c r="O124" t="s">
        <v>26</v>
      </c>
      <c r="Q124">
        <v>148.28</v>
      </c>
      <c r="R124" t="str">
        <f>"PENSE FARMA 40 (10207)"</f>
        <v>PENSE FARMA 40 (10207)</v>
      </c>
      <c r="S124" t="s">
        <v>27</v>
      </c>
      <c r="T124">
        <v>3713</v>
      </c>
      <c r="U124">
        <v>3165</v>
      </c>
      <c r="V124" t="s">
        <v>22</v>
      </c>
    </row>
    <row r="125" spans="1:22">
      <c r="A125" t="str">
        <f t="shared" si="28"/>
        <v>02/01/2026</v>
      </c>
      <c r="B125" t="str">
        <f t="shared" si="30"/>
        <v>ENTRADA</v>
      </c>
      <c r="C125" t="str">
        <f t="shared" si="31"/>
        <v>NFSE</v>
      </c>
      <c r="D125" t="str">
        <f t="shared" si="37"/>
        <v>4145</v>
      </c>
      <c r="E125" t="str">
        <f t="shared" si="32"/>
        <v>1</v>
      </c>
      <c r="F125" t="str">
        <f t="shared" si="29"/>
        <v>COM</v>
      </c>
      <c r="G125" t="str">
        <f t="shared" si="38"/>
        <v>PENSE FARMA 36 (10206)</v>
      </c>
      <c r="H125" t="s">
        <v>44</v>
      </c>
      <c r="I125" t="str">
        <f t="shared" si="33"/>
        <v>31/12/2025</v>
      </c>
      <c r="J125" t="str">
        <f t="shared" si="34"/>
        <v>29/12/2025</v>
      </c>
      <c r="K125">
        <v>46024</v>
      </c>
      <c r="N125">
        <v>303</v>
      </c>
      <c r="O125" t="s">
        <v>26</v>
      </c>
      <c r="Q125">
        <v>148.28</v>
      </c>
      <c r="R125" t="str">
        <f>"PENSE FARMA 43 (10208)"</f>
        <v>PENSE FARMA 43 (10208)</v>
      </c>
      <c r="S125" t="s">
        <v>27</v>
      </c>
      <c r="T125">
        <v>3713</v>
      </c>
      <c r="U125">
        <v>3165</v>
      </c>
      <c r="V125" t="s">
        <v>22</v>
      </c>
    </row>
    <row r="126" spans="1:22">
      <c r="A126" t="str">
        <f t="shared" si="28"/>
        <v>02/01/2026</v>
      </c>
      <c r="B126" t="str">
        <f t="shared" si="30"/>
        <v>ENTRADA</v>
      </c>
      <c r="C126" t="str">
        <f t="shared" si="31"/>
        <v>NFSE</v>
      </c>
      <c r="D126" t="str">
        <f t="shared" si="37"/>
        <v>4145</v>
      </c>
      <c r="E126" t="str">
        <f t="shared" si="32"/>
        <v>1</v>
      </c>
      <c r="F126" t="str">
        <f t="shared" si="29"/>
        <v>COM</v>
      </c>
      <c r="G126" t="str">
        <f t="shared" si="38"/>
        <v>PENSE FARMA 36 (10206)</v>
      </c>
      <c r="H126" t="s">
        <v>44</v>
      </c>
      <c r="I126" t="str">
        <f t="shared" si="33"/>
        <v>31/12/2025</v>
      </c>
      <c r="J126" t="str">
        <f t="shared" si="34"/>
        <v>29/12/2025</v>
      </c>
      <c r="K126">
        <v>46024</v>
      </c>
      <c r="N126">
        <v>303</v>
      </c>
      <c r="O126" t="s">
        <v>26</v>
      </c>
      <c r="Q126">
        <v>148.28</v>
      </c>
      <c r="R126" t="str">
        <f>"PENSE FARMA 59 (10211)"</f>
        <v>PENSE FARMA 59 (10211)</v>
      </c>
      <c r="S126" t="s">
        <v>27</v>
      </c>
      <c r="T126">
        <v>3713</v>
      </c>
      <c r="U126">
        <v>3165</v>
      </c>
      <c r="V126" t="s">
        <v>22</v>
      </c>
    </row>
    <row r="127" spans="1:22">
      <c r="A127" t="str">
        <f t="shared" si="28"/>
        <v>02/01/2026</v>
      </c>
      <c r="B127" t="str">
        <f t="shared" si="30"/>
        <v>ENTRADA</v>
      </c>
      <c r="C127" t="str">
        <f t="shared" si="31"/>
        <v>NFSE</v>
      </c>
      <c r="D127" t="str">
        <f t="shared" si="37"/>
        <v>4145</v>
      </c>
      <c r="E127" t="str">
        <f t="shared" si="32"/>
        <v>1</v>
      </c>
      <c r="F127" t="str">
        <f t="shared" si="29"/>
        <v>COM</v>
      </c>
      <c r="G127" t="str">
        <f t="shared" si="38"/>
        <v>PENSE FARMA 36 (10206)</v>
      </c>
      <c r="H127" t="s">
        <v>44</v>
      </c>
      <c r="I127" t="str">
        <f t="shared" si="33"/>
        <v>31/12/2025</v>
      </c>
      <c r="J127" t="str">
        <f t="shared" si="34"/>
        <v>29/12/2025</v>
      </c>
      <c r="K127">
        <v>46024</v>
      </c>
      <c r="N127">
        <v>303</v>
      </c>
      <c r="O127" t="s">
        <v>26</v>
      </c>
      <c r="Q127">
        <v>152.93</v>
      </c>
      <c r="R127" t="str">
        <f>"PENSE FARMA DARK STORE 361 (10212)"</f>
        <v>PENSE FARMA DARK STORE 361 (10212)</v>
      </c>
      <c r="S127" t="s">
        <v>27</v>
      </c>
      <c r="T127">
        <v>3713</v>
      </c>
      <c r="U127">
        <v>3165</v>
      </c>
      <c r="V127" t="s">
        <v>22</v>
      </c>
    </row>
    <row r="128" spans="1:22">
      <c r="A128" t="str">
        <f t="shared" si="28"/>
        <v>02/01/2026</v>
      </c>
      <c r="B128" t="str">
        <f t="shared" si="30"/>
        <v>ENTRADA</v>
      </c>
      <c r="C128" t="str">
        <f t="shared" si="31"/>
        <v>NFSE</v>
      </c>
      <c r="D128" t="str">
        <f>"4146"</f>
        <v>4146</v>
      </c>
      <c r="E128" t="str">
        <f t="shared" si="32"/>
        <v>1</v>
      </c>
      <c r="F128" t="str">
        <f t="shared" si="29"/>
        <v>COM</v>
      </c>
      <c r="G128" t="str">
        <f>"PENSE FARMA 27 (10204)"</f>
        <v>PENSE FARMA 27 (10204)</v>
      </c>
      <c r="H128" t="str">
        <f>"Serv.Prest. 22/12/2025 a 28/12/2025 - RPS: 1908 - NFSe: 4146"</f>
        <v>Serv.Prest. 22/12/2025 a 28/12/2025 - RPS: 1908 - NFSe: 4146</v>
      </c>
      <c r="I128" t="str">
        <f t="shared" si="33"/>
        <v>31/12/2025</v>
      </c>
      <c r="J128" t="str">
        <f t="shared" si="34"/>
        <v>29/12/2025</v>
      </c>
      <c r="K128" t="str">
        <f>("02/01/2026")</f>
        <v>02/01/2026</v>
      </c>
      <c r="L128">
        <v>577.5</v>
      </c>
      <c r="M128">
        <v>577.5</v>
      </c>
      <c r="N128">
        <v>303</v>
      </c>
      <c r="O128" t="str">
        <f>"RECEITAS COM ENTREGAS"</f>
        <v>RECEITAS COM ENTREGAS</v>
      </c>
      <c r="P128">
        <v>577.5</v>
      </c>
      <c r="S128" t="str">
        <f>"RECEITAS COM ENTREGAS (303)"</f>
        <v>RECEITAS COM ENTREGAS (303)</v>
      </c>
      <c r="T128">
        <v>3714</v>
      </c>
      <c r="U128">
        <v>3166</v>
      </c>
      <c r="V128" t="s">
        <v>22</v>
      </c>
    </row>
    <row r="129" spans="1:22">
      <c r="A129" t="str">
        <f t="shared" si="28"/>
        <v>02/01/2026</v>
      </c>
      <c r="B129" t="str">
        <f t="shared" si="30"/>
        <v>ENTRADA</v>
      </c>
      <c r="C129" t="str">
        <f t="shared" si="31"/>
        <v>NFSE</v>
      </c>
      <c r="D129" t="str">
        <f>"4146"</f>
        <v>4146</v>
      </c>
      <c r="E129" t="str">
        <f t="shared" si="32"/>
        <v>1</v>
      </c>
      <c r="F129" t="str">
        <f t="shared" si="29"/>
        <v>COM</v>
      </c>
      <c r="G129" t="str">
        <f>"PENSE FARMA 27 (10204)"</f>
        <v>PENSE FARMA 27 (10204)</v>
      </c>
      <c r="H129" t="s">
        <v>45</v>
      </c>
      <c r="I129" t="str">
        <f t="shared" si="33"/>
        <v>31/12/2025</v>
      </c>
      <c r="J129" t="str">
        <f t="shared" si="34"/>
        <v>29/12/2025</v>
      </c>
      <c r="K129">
        <v>46024</v>
      </c>
      <c r="N129">
        <v>303</v>
      </c>
      <c r="O129" t="s">
        <v>26</v>
      </c>
      <c r="Q129">
        <v>192.14</v>
      </c>
      <c r="R129" t="str">
        <f>"PENSE FARMA 05 (10200)"</f>
        <v>PENSE FARMA 05 (10200)</v>
      </c>
      <c r="S129" t="s">
        <v>27</v>
      </c>
      <c r="T129">
        <v>3714</v>
      </c>
      <c r="U129">
        <v>3166</v>
      </c>
      <c r="V129" t="s">
        <v>22</v>
      </c>
    </row>
    <row r="130" spans="1:22">
      <c r="A130" t="str">
        <f t="shared" ref="A130:A161" si="39">("02/01/2026")</f>
        <v>02/01/2026</v>
      </c>
      <c r="B130" t="str">
        <f t="shared" si="30"/>
        <v>ENTRADA</v>
      </c>
      <c r="C130" t="str">
        <f t="shared" si="31"/>
        <v>NFSE</v>
      </c>
      <c r="D130" t="str">
        <f>"4146"</f>
        <v>4146</v>
      </c>
      <c r="E130" t="str">
        <f t="shared" si="32"/>
        <v>1</v>
      </c>
      <c r="F130" t="str">
        <f t="shared" ref="F130:F160" si="40">"COM"</f>
        <v>COM</v>
      </c>
      <c r="G130" t="str">
        <f>"PENSE FARMA 27 (10204)"</f>
        <v>PENSE FARMA 27 (10204)</v>
      </c>
      <c r="H130" t="s">
        <v>45</v>
      </c>
      <c r="I130" t="str">
        <f t="shared" si="33"/>
        <v>31/12/2025</v>
      </c>
      <c r="J130" t="str">
        <f t="shared" si="34"/>
        <v>29/12/2025</v>
      </c>
      <c r="K130">
        <v>46024</v>
      </c>
      <c r="N130">
        <v>303</v>
      </c>
      <c r="O130" t="s">
        <v>26</v>
      </c>
      <c r="Q130">
        <v>192.13</v>
      </c>
      <c r="R130" t="str">
        <f>"PENSE FARMA 13 (10202)"</f>
        <v>PENSE FARMA 13 (10202)</v>
      </c>
      <c r="S130" t="s">
        <v>27</v>
      </c>
      <c r="T130">
        <v>3714</v>
      </c>
      <c r="U130">
        <v>3166</v>
      </c>
      <c r="V130" t="s">
        <v>22</v>
      </c>
    </row>
    <row r="131" spans="1:22">
      <c r="A131" t="str">
        <f t="shared" si="39"/>
        <v>02/01/2026</v>
      </c>
      <c r="B131" t="str">
        <f t="shared" si="30"/>
        <v>ENTRADA</v>
      </c>
      <c r="C131" t="str">
        <f t="shared" si="31"/>
        <v>NFSE</v>
      </c>
      <c r="D131" t="str">
        <f>"4146"</f>
        <v>4146</v>
      </c>
      <c r="E131" t="str">
        <f t="shared" si="32"/>
        <v>1</v>
      </c>
      <c r="F131" t="str">
        <f t="shared" si="40"/>
        <v>COM</v>
      </c>
      <c r="G131" t="str">
        <f>"PENSE FARMA 27 (10204)"</f>
        <v>PENSE FARMA 27 (10204)</v>
      </c>
      <c r="H131" t="s">
        <v>45</v>
      </c>
      <c r="I131" t="str">
        <f t="shared" si="33"/>
        <v>31/12/2025</v>
      </c>
      <c r="J131" t="str">
        <f t="shared" si="34"/>
        <v>29/12/2025</v>
      </c>
      <c r="K131">
        <v>46024</v>
      </c>
      <c r="N131">
        <v>303</v>
      </c>
      <c r="O131" t="s">
        <v>26</v>
      </c>
      <c r="Q131">
        <v>193.23</v>
      </c>
      <c r="R131" t="str">
        <f>"PENSE FARMA 27 (10204)"</f>
        <v>PENSE FARMA 27 (10204)</v>
      </c>
      <c r="S131" t="s">
        <v>27</v>
      </c>
      <c r="T131">
        <v>3714</v>
      </c>
      <c r="U131">
        <v>3166</v>
      </c>
      <c r="V131" t="s">
        <v>22</v>
      </c>
    </row>
    <row r="132" spans="1:22">
      <c r="A132" t="str">
        <f t="shared" si="39"/>
        <v>02/01/2026</v>
      </c>
      <c r="B132" t="str">
        <f t="shared" ref="B132:B160" si="41">"ENTRADA"</f>
        <v>ENTRADA</v>
      </c>
      <c r="C132" t="str">
        <f t="shared" ref="C132:C160" si="42">"NFSE"</f>
        <v>NFSE</v>
      </c>
      <c r="D132" t="str">
        <f>"4147"</f>
        <v>4147</v>
      </c>
      <c r="E132" t="str">
        <f t="shared" ref="E132:E160" si="43">"1"</f>
        <v>1</v>
      </c>
      <c r="F132" t="str">
        <f t="shared" si="40"/>
        <v>COM</v>
      </c>
      <c r="G132" t="str">
        <f>"PENSE FARMA 07 (10201)"</f>
        <v>PENSE FARMA 07 (10201)</v>
      </c>
      <c r="H132" t="str">
        <f>"Serv.Prest. 22/12/2025 a 28/12/2025 - RPS: 1909 - NFSe: 4147"</f>
        <v>Serv.Prest. 22/12/2025 a 28/12/2025 - RPS: 1909 - NFSe: 4147</v>
      </c>
      <c r="I132" t="str">
        <f t="shared" ref="I132:I160" si="44">("31/12/2025")</f>
        <v>31/12/2025</v>
      </c>
      <c r="J132" t="str">
        <f t="shared" si="34"/>
        <v>29/12/2025</v>
      </c>
      <c r="K132" t="str">
        <f>("02/01/2026")</f>
        <v>02/01/2026</v>
      </c>
      <c r="L132">
        <v>309.75</v>
      </c>
      <c r="M132">
        <v>309.75</v>
      </c>
      <c r="N132">
        <v>303</v>
      </c>
      <c r="O132" t="str">
        <f>"RECEITAS COM ENTREGAS"</f>
        <v>RECEITAS COM ENTREGAS</v>
      </c>
      <c r="P132">
        <v>309.75</v>
      </c>
      <c r="S132" t="str">
        <f>"RECEITAS COM ENTREGAS (303)"</f>
        <v>RECEITAS COM ENTREGAS (303)</v>
      </c>
      <c r="T132">
        <v>3715</v>
      </c>
      <c r="U132">
        <v>3167</v>
      </c>
      <c r="V132" t="s">
        <v>22</v>
      </c>
    </row>
    <row r="133" spans="1:22">
      <c r="A133" t="str">
        <f t="shared" si="39"/>
        <v>02/01/2026</v>
      </c>
      <c r="B133" t="str">
        <f t="shared" si="41"/>
        <v>ENTRADA</v>
      </c>
      <c r="C133" t="str">
        <f t="shared" si="42"/>
        <v>NFSE</v>
      </c>
      <c r="D133" t="str">
        <f>"4147"</f>
        <v>4147</v>
      </c>
      <c r="E133" t="str">
        <f t="shared" si="43"/>
        <v>1</v>
      </c>
      <c r="F133" t="str">
        <f t="shared" si="40"/>
        <v>COM</v>
      </c>
      <c r="G133" t="str">
        <f>"PENSE FARMA 07 (10201)"</f>
        <v>PENSE FARMA 07 (10201)</v>
      </c>
      <c r="H133" t="s">
        <v>46</v>
      </c>
      <c r="I133" t="str">
        <f t="shared" si="44"/>
        <v>31/12/2025</v>
      </c>
      <c r="J133" t="str">
        <f t="shared" si="34"/>
        <v>29/12/2025</v>
      </c>
      <c r="K133">
        <v>46024</v>
      </c>
      <c r="N133">
        <v>303</v>
      </c>
      <c r="O133" t="s">
        <v>26</v>
      </c>
      <c r="Q133">
        <v>102.9</v>
      </c>
      <c r="R133" t="str">
        <f>"PENSE FARMA 07 (10201)"</f>
        <v>PENSE FARMA 07 (10201)</v>
      </c>
      <c r="S133" t="s">
        <v>27</v>
      </c>
      <c r="T133">
        <v>3715</v>
      </c>
      <c r="U133">
        <v>3167</v>
      </c>
      <c r="V133" t="s">
        <v>22</v>
      </c>
    </row>
    <row r="134" spans="1:22">
      <c r="A134" t="str">
        <f t="shared" si="39"/>
        <v>02/01/2026</v>
      </c>
      <c r="B134" t="str">
        <f t="shared" si="41"/>
        <v>ENTRADA</v>
      </c>
      <c r="C134" t="str">
        <f t="shared" si="42"/>
        <v>NFSE</v>
      </c>
      <c r="D134" t="str">
        <f>"4147"</f>
        <v>4147</v>
      </c>
      <c r="E134" t="str">
        <f t="shared" si="43"/>
        <v>1</v>
      </c>
      <c r="F134" t="str">
        <f t="shared" si="40"/>
        <v>COM</v>
      </c>
      <c r="G134" t="str">
        <f>"PENSE FARMA 07 (10201)"</f>
        <v>PENSE FARMA 07 (10201)</v>
      </c>
      <c r="H134" t="s">
        <v>46</v>
      </c>
      <c r="I134" t="str">
        <f t="shared" si="44"/>
        <v>31/12/2025</v>
      </c>
      <c r="J134" t="str">
        <f t="shared" si="34"/>
        <v>29/12/2025</v>
      </c>
      <c r="K134">
        <v>46024</v>
      </c>
      <c r="N134">
        <v>303</v>
      </c>
      <c r="O134" t="s">
        <v>26</v>
      </c>
      <c r="Q134">
        <v>102.9</v>
      </c>
      <c r="R134" t="str">
        <f>"PENSE FARMA 45 (10209)"</f>
        <v>PENSE FARMA 45 (10209)</v>
      </c>
      <c r="S134" t="s">
        <v>27</v>
      </c>
      <c r="T134">
        <v>3715</v>
      </c>
      <c r="U134">
        <v>3167</v>
      </c>
      <c r="V134" t="s">
        <v>22</v>
      </c>
    </row>
    <row r="135" spans="1:22">
      <c r="A135" t="str">
        <f t="shared" si="39"/>
        <v>02/01/2026</v>
      </c>
      <c r="B135" t="str">
        <f t="shared" si="41"/>
        <v>ENTRADA</v>
      </c>
      <c r="C135" t="str">
        <f t="shared" si="42"/>
        <v>NFSE</v>
      </c>
      <c r="D135" t="str">
        <f>"4147"</f>
        <v>4147</v>
      </c>
      <c r="E135" t="str">
        <f t="shared" si="43"/>
        <v>1</v>
      </c>
      <c r="F135" t="str">
        <f t="shared" si="40"/>
        <v>COM</v>
      </c>
      <c r="G135" t="str">
        <f>"PENSE FARMA 07 (10201)"</f>
        <v>PENSE FARMA 07 (10201)</v>
      </c>
      <c r="H135" t="s">
        <v>46</v>
      </c>
      <c r="I135" t="str">
        <f t="shared" si="44"/>
        <v>31/12/2025</v>
      </c>
      <c r="J135" t="str">
        <f t="shared" si="34"/>
        <v>29/12/2025</v>
      </c>
      <c r="K135">
        <v>46024</v>
      </c>
      <c r="N135">
        <v>303</v>
      </c>
      <c r="O135" t="s">
        <v>26</v>
      </c>
      <c r="Q135">
        <v>103.95</v>
      </c>
      <c r="R135" t="str">
        <f>"PENSE FARMA 50 (10210)"</f>
        <v>PENSE FARMA 50 (10210)</v>
      </c>
      <c r="S135" t="s">
        <v>27</v>
      </c>
      <c r="T135">
        <v>3715</v>
      </c>
      <c r="U135">
        <v>3167</v>
      </c>
      <c r="V135" t="s">
        <v>22</v>
      </c>
    </row>
    <row r="136" spans="1:22">
      <c r="A136" t="str">
        <f t="shared" si="39"/>
        <v>02/01/2026</v>
      </c>
      <c r="B136" t="str">
        <f t="shared" si="41"/>
        <v>ENTRADA</v>
      </c>
      <c r="C136" t="str">
        <f t="shared" si="42"/>
        <v>NFSE</v>
      </c>
      <c r="D136" t="str">
        <f t="shared" ref="D136:D141" si="45">"4148"</f>
        <v>4148</v>
      </c>
      <c r="E136" t="str">
        <f t="shared" si="43"/>
        <v>1</v>
      </c>
      <c r="F136" t="str">
        <f t="shared" si="40"/>
        <v>COM</v>
      </c>
      <c r="G136" t="str">
        <f t="shared" ref="G136:G141" si="46">"DROGALIDER 25 (10246)"</f>
        <v>DROGALIDER 25 (10246)</v>
      </c>
      <c r="H136" t="str">
        <f>"Serv.Prest. 22/12/2025 a 28/12/2025 - RPS: 1910 - NFSe: 4148"</f>
        <v>Serv.Prest. 22/12/2025 a 28/12/2025 - RPS: 1910 - NFSe: 4148</v>
      </c>
      <c r="I136" t="str">
        <f t="shared" si="44"/>
        <v>31/12/2025</v>
      </c>
      <c r="J136" t="str">
        <f t="shared" si="34"/>
        <v>29/12/2025</v>
      </c>
      <c r="K136" t="str">
        <f>("02/01/2026")</f>
        <v>02/01/2026</v>
      </c>
      <c r="L136">
        <v>339</v>
      </c>
      <c r="M136">
        <v>339</v>
      </c>
      <c r="N136">
        <v>303</v>
      </c>
      <c r="O136" t="str">
        <f>"RECEITAS COM ENTREGAS"</f>
        <v>RECEITAS COM ENTREGAS</v>
      </c>
      <c r="P136">
        <v>339</v>
      </c>
      <c r="S136" t="str">
        <f>"RECEITAS COM ENTREGAS (303)"</f>
        <v>RECEITAS COM ENTREGAS (303)</v>
      </c>
      <c r="T136">
        <v>3716</v>
      </c>
      <c r="U136">
        <v>3168</v>
      </c>
      <c r="V136" t="s">
        <v>22</v>
      </c>
    </row>
    <row r="137" spans="1:22">
      <c r="A137" t="str">
        <f t="shared" si="39"/>
        <v>02/01/2026</v>
      </c>
      <c r="B137" t="str">
        <f t="shared" si="41"/>
        <v>ENTRADA</v>
      </c>
      <c r="C137" t="str">
        <f t="shared" si="42"/>
        <v>NFSE</v>
      </c>
      <c r="D137" t="str">
        <f t="shared" si="45"/>
        <v>4148</v>
      </c>
      <c r="E137" t="str">
        <f t="shared" si="43"/>
        <v>1</v>
      </c>
      <c r="F137" t="str">
        <f t="shared" si="40"/>
        <v>COM</v>
      </c>
      <c r="G137" t="str">
        <f t="shared" si="46"/>
        <v>DROGALIDER 25 (10246)</v>
      </c>
      <c r="H137" t="s">
        <v>47</v>
      </c>
      <c r="I137" t="str">
        <f t="shared" si="44"/>
        <v>31/12/2025</v>
      </c>
      <c r="J137" t="str">
        <f t="shared" si="34"/>
        <v>29/12/2025</v>
      </c>
      <c r="K137">
        <v>46024</v>
      </c>
      <c r="N137">
        <v>303</v>
      </c>
      <c r="O137" t="s">
        <v>26</v>
      </c>
      <c r="Q137">
        <v>50.98</v>
      </c>
      <c r="R137" t="str">
        <f>"DROGALIDER 58 (10213)"</f>
        <v>DROGALIDER 58 (10213)</v>
      </c>
      <c r="S137" t="s">
        <v>27</v>
      </c>
      <c r="T137">
        <v>3716</v>
      </c>
      <c r="U137">
        <v>3168</v>
      </c>
      <c r="V137" t="s">
        <v>22</v>
      </c>
    </row>
    <row r="138" spans="1:22">
      <c r="A138" t="str">
        <f t="shared" si="39"/>
        <v>02/01/2026</v>
      </c>
      <c r="B138" t="str">
        <f t="shared" si="41"/>
        <v>ENTRADA</v>
      </c>
      <c r="C138" t="str">
        <f t="shared" si="42"/>
        <v>NFSE</v>
      </c>
      <c r="D138" t="str">
        <f t="shared" si="45"/>
        <v>4148</v>
      </c>
      <c r="E138" t="str">
        <f t="shared" si="43"/>
        <v>1</v>
      </c>
      <c r="F138" t="str">
        <f t="shared" si="40"/>
        <v>COM</v>
      </c>
      <c r="G138" t="str">
        <f t="shared" si="46"/>
        <v>DROGALIDER 25 (10246)</v>
      </c>
      <c r="H138" t="s">
        <v>47</v>
      </c>
      <c r="I138" t="str">
        <f t="shared" si="44"/>
        <v>31/12/2025</v>
      </c>
      <c r="J138" t="str">
        <f t="shared" si="34"/>
        <v>29/12/2025</v>
      </c>
      <c r="K138">
        <v>46024</v>
      </c>
      <c r="N138">
        <v>303</v>
      </c>
      <c r="O138" t="s">
        <v>26</v>
      </c>
      <c r="Q138">
        <v>94.99</v>
      </c>
      <c r="R138" t="str">
        <f>"DROGALIDER 25 (10246)"</f>
        <v>DROGALIDER 25 (10246)</v>
      </c>
      <c r="S138" t="s">
        <v>27</v>
      </c>
      <c r="T138">
        <v>3716</v>
      </c>
      <c r="U138">
        <v>3168</v>
      </c>
      <c r="V138" t="s">
        <v>22</v>
      </c>
    </row>
    <row r="139" spans="1:22">
      <c r="A139" t="str">
        <f t="shared" si="39"/>
        <v>02/01/2026</v>
      </c>
      <c r="B139" t="str">
        <f t="shared" si="41"/>
        <v>ENTRADA</v>
      </c>
      <c r="C139" t="str">
        <f t="shared" si="42"/>
        <v>NFSE</v>
      </c>
      <c r="D139" t="str">
        <f t="shared" si="45"/>
        <v>4148</v>
      </c>
      <c r="E139" t="str">
        <f t="shared" si="43"/>
        <v>1</v>
      </c>
      <c r="F139" t="str">
        <f t="shared" si="40"/>
        <v>COM</v>
      </c>
      <c r="G139" t="str">
        <f t="shared" si="46"/>
        <v>DROGALIDER 25 (10246)</v>
      </c>
      <c r="H139" t="s">
        <v>47</v>
      </c>
      <c r="I139" t="str">
        <f t="shared" si="44"/>
        <v>31/12/2025</v>
      </c>
      <c r="J139" t="str">
        <f t="shared" si="34"/>
        <v>29/12/2025</v>
      </c>
      <c r="K139">
        <v>46024</v>
      </c>
      <c r="N139">
        <v>303</v>
      </c>
      <c r="O139" t="s">
        <v>26</v>
      </c>
      <c r="Q139">
        <v>106.01</v>
      </c>
      <c r="R139" t="str">
        <f>"DROGALIDER 46 (10248)"</f>
        <v>DROGALIDER 46 (10248)</v>
      </c>
      <c r="S139" t="s">
        <v>27</v>
      </c>
      <c r="T139">
        <v>3716</v>
      </c>
      <c r="U139">
        <v>3168</v>
      </c>
      <c r="V139" t="s">
        <v>22</v>
      </c>
    </row>
    <row r="140" spans="1:22">
      <c r="A140" t="str">
        <f t="shared" si="39"/>
        <v>02/01/2026</v>
      </c>
      <c r="B140" t="str">
        <f t="shared" si="41"/>
        <v>ENTRADA</v>
      </c>
      <c r="C140" t="str">
        <f t="shared" si="42"/>
        <v>NFSE</v>
      </c>
      <c r="D140" t="str">
        <f t="shared" si="45"/>
        <v>4148</v>
      </c>
      <c r="E140" t="str">
        <f t="shared" si="43"/>
        <v>1</v>
      </c>
      <c r="F140" t="str">
        <f t="shared" si="40"/>
        <v>COM</v>
      </c>
      <c r="G140" t="str">
        <f t="shared" si="46"/>
        <v>DROGALIDER 25 (10246)</v>
      </c>
      <c r="H140" t="s">
        <v>47</v>
      </c>
      <c r="I140" t="str">
        <f t="shared" si="44"/>
        <v>31/12/2025</v>
      </c>
      <c r="J140" t="str">
        <f t="shared" si="34"/>
        <v>29/12/2025</v>
      </c>
      <c r="K140">
        <v>46024</v>
      </c>
      <c r="N140">
        <v>303</v>
      </c>
      <c r="O140" t="s">
        <v>26</v>
      </c>
      <c r="Q140">
        <v>44</v>
      </c>
      <c r="R140" t="str">
        <f>"DROGALIDER 64 (10250)"</f>
        <v>DROGALIDER 64 (10250)</v>
      </c>
      <c r="S140" t="s">
        <v>27</v>
      </c>
      <c r="T140">
        <v>3716</v>
      </c>
      <c r="U140">
        <v>3168</v>
      </c>
      <c r="V140" t="s">
        <v>22</v>
      </c>
    </row>
    <row r="141" spans="1:22">
      <c r="A141" t="str">
        <f t="shared" si="39"/>
        <v>02/01/2026</v>
      </c>
      <c r="B141" t="str">
        <f t="shared" si="41"/>
        <v>ENTRADA</v>
      </c>
      <c r="C141" t="str">
        <f t="shared" si="42"/>
        <v>NFSE</v>
      </c>
      <c r="D141" t="str">
        <f t="shared" si="45"/>
        <v>4148</v>
      </c>
      <c r="E141" t="str">
        <f t="shared" si="43"/>
        <v>1</v>
      </c>
      <c r="F141" t="str">
        <f t="shared" si="40"/>
        <v>COM</v>
      </c>
      <c r="G141" t="str">
        <f t="shared" si="46"/>
        <v>DROGALIDER 25 (10246)</v>
      </c>
      <c r="H141" t="s">
        <v>47</v>
      </c>
      <c r="I141" t="str">
        <f t="shared" si="44"/>
        <v>31/12/2025</v>
      </c>
      <c r="J141" t="str">
        <f t="shared" si="34"/>
        <v>29/12/2025</v>
      </c>
      <c r="K141">
        <v>46024</v>
      </c>
      <c r="N141">
        <v>303</v>
      </c>
      <c r="O141" t="s">
        <v>26</v>
      </c>
      <c r="Q141">
        <v>43.02</v>
      </c>
      <c r="R141" t="str">
        <f>"DROGALIDER 66 (10251)"</f>
        <v>DROGALIDER 66 (10251)</v>
      </c>
      <c r="S141" t="s">
        <v>27</v>
      </c>
      <c r="T141">
        <v>3716</v>
      </c>
      <c r="U141">
        <v>3168</v>
      </c>
      <c r="V141" t="s">
        <v>22</v>
      </c>
    </row>
    <row r="142" spans="1:22">
      <c r="A142" t="str">
        <f t="shared" si="39"/>
        <v>02/01/2026</v>
      </c>
      <c r="B142" t="str">
        <f t="shared" si="41"/>
        <v>ENTRADA</v>
      </c>
      <c r="C142" t="str">
        <f t="shared" si="42"/>
        <v>NFSE</v>
      </c>
      <c r="D142" t="str">
        <f t="shared" ref="D142:D147" si="47">"4149"</f>
        <v>4149</v>
      </c>
      <c r="E142" t="str">
        <f t="shared" si="43"/>
        <v>1</v>
      </c>
      <c r="F142" t="str">
        <f t="shared" si="40"/>
        <v>COM</v>
      </c>
      <c r="G142" t="str">
        <f t="shared" ref="G142:G147" si="48">"DROGALIDER 31 (10256)"</f>
        <v>DROGALIDER 31 (10256)</v>
      </c>
      <c r="H142" t="str">
        <f>"Serv.Prest. 22/12/2025 a 28/12/2025 - RPS: 1911 - NFSe: 4149"</f>
        <v>Serv.Prest. 22/12/2025 a 28/12/2025 - RPS: 1911 - NFSe: 4149</v>
      </c>
      <c r="I142" t="str">
        <f t="shared" si="44"/>
        <v>31/12/2025</v>
      </c>
      <c r="J142" t="str">
        <f t="shared" si="34"/>
        <v>29/12/2025</v>
      </c>
      <c r="K142" t="str">
        <f>("02/01/2026")</f>
        <v>02/01/2026</v>
      </c>
      <c r="L142">
        <v>450</v>
      </c>
      <c r="M142">
        <v>450</v>
      </c>
      <c r="N142">
        <v>303</v>
      </c>
      <c r="O142" t="str">
        <f>"RECEITAS COM ENTREGAS"</f>
        <v>RECEITAS COM ENTREGAS</v>
      </c>
      <c r="P142">
        <v>450</v>
      </c>
      <c r="S142" t="str">
        <f>"RECEITAS COM ENTREGAS (303)"</f>
        <v>RECEITAS COM ENTREGAS (303)</v>
      </c>
      <c r="T142">
        <v>3717</v>
      </c>
      <c r="U142">
        <v>3169</v>
      </c>
      <c r="V142" t="s">
        <v>22</v>
      </c>
    </row>
    <row r="143" spans="1:22">
      <c r="A143" t="str">
        <f t="shared" si="39"/>
        <v>02/01/2026</v>
      </c>
      <c r="B143" t="str">
        <f t="shared" si="41"/>
        <v>ENTRADA</v>
      </c>
      <c r="C143" t="str">
        <f t="shared" si="42"/>
        <v>NFSE</v>
      </c>
      <c r="D143" t="str">
        <f t="shared" si="47"/>
        <v>4149</v>
      </c>
      <c r="E143" t="str">
        <f t="shared" si="43"/>
        <v>1</v>
      </c>
      <c r="F143" t="str">
        <f t="shared" si="40"/>
        <v>COM</v>
      </c>
      <c r="G143" t="str">
        <f t="shared" si="48"/>
        <v>DROGALIDER 31 (10256)</v>
      </c>
      <c r="H143" t="s">
        <v>48</v>
      </c>
      <c r="I143" t="str">
        <f t="shared" si="44"/>
        <v>31/12/2025</v>
      </c>
      <c r="J143" t="str">
        <f t="shared" si="34"/>
        <v>29/12/2025</v>
      </c>
      <c r="K143">
        <v>46024</v>
      </c>
      <c r="N143">
        <v>303</v>
      </c>
      <c r="O143" t="s">
        <v>26</v>
      </c>
      <c r="Q143">
        <v>90</v>
      </c>
      <c r="R143" t="str">
        <f>"DROGALIDER 42 (10247)"</f>
        <v>DROGALIDER 42 (10247)</v>
      </c>
      <c r="S143" t="s">
        <v>27</v>
      </c>
      <c r="T143">
        <v>3717</v>
      </c>
      <c r="U143">
        <v>3169</v>
      </c>
      <c r="V143" t="s">
        <v>22</v>
      </c>
    </row>
    <row r="144" spans="1:22">
      <c r="A144" t="str">
        <f t="shared" si="39"/>
        <v>02/01/2026</v>
      </c>
      <c r="B144" t="str">
        <f t="shared" si="41"/>
        <v>ENTRADA</v>
      </c>
      <c r="C144" t="str">
        <f t="shared" si="42"/>
        <v>NFSE</v>
      </c>
      <c r="D144" t="str">
        <f t="shared" si="47"/>
        <v>4149</v>
      </c>
      <c r="E144" t="str">
        <f t="shared" si="43"/>
        <v>1</v>
      </c>
      <c r="F144" t="str">
        <f t="shared" si="40"/>
        <v>COM</v>
      </c>
      <c r="G144" t="str">
        <f t="shared" si="48"/>
        <v>DROGALIDER 31 (10256)</v>
      </c>
      <c r="H144" t="s">
        <v>48</v>
      </c>
      <c r="I144" t="str">
        <f t="shared" si="44"/>
        <v>31/12/2025</v>
      </c>
      <c r="J144" t="str">
        <f t="shared" ref="J144:J158" si="49">("29/12/2025")</f>
        <v>29/12/2025</v>
      </c>
      <c r="K144">
        <v>46024</v>
      </c>
      <c r="N144">
        <v>303</v>
      </c>
      <c r="O144" t="s">
        <v>26</v>
      </c>
      <c r="Q144">
        <v>90</v>
      </c>
      <c r="R144" t="str">
        <f>"DROGALIDER 55 (10249)"</f>
        <v>DROGALIDER 55 (10249)</v>
      </c>
      <c r="S144" t="s">
        <v>27</v>
      </c>
      <c r="T144">
        <v>3717</v>
      </c>
      <c r="U144">
        <v>3169</v>
      </c>
      <c r="V144" t="s">
        <v>22</v>
      </c>
    </row>
    <row r="145" spans="1:22">
      <c r="A145" t="str">
        <f t="shared" si="39"/>
        <v>02/01/2026</v>
      </c>
      <c r="B145" t="str">
        <f t="shared" si="41"/>
        <v>ENTRADA</v>
      </c>
      <c r="C145" t="str">
        <f t="shared" si="42"/>
        <v>NFSE</v>
      </c>
      <c r="D145" t="str">
        <f t="shared" si="47"/>
        <v>4149</v>
      </c>
      <c r="E145" t="str">
        <f t="shared" si="43"/>
        <v>1</v>
      </c>
      <c r="F145" t="str">
        <f t="shared" si="40"/>
        <v>COM</v>
      </c>
      <c r="G145" t="str">
        <f t="shared" si="48"/>
        <v>DROGALIDER 31 (10256)</v>
      </c>
      <c r="H145" t="s">
        <v>48</v>
      </c>
      <c r="I145" t="str">
        <f t="shared" si="44"/>
        <v>31/12/2025</v>
      </c>
      <c r="J145" t="str">
        <f t="shared" si="49"/>
        <v>29/12/2025</v>
      </c>
      <c r="K145">
        <v>46024</v>
      </c>
      <c r="N145">
        <v>303</v>
      </c>
      <c r="O145" t="s">
        <v>26</v>
      </c>
      <c r="Q145">
        <v>90</v>
      </c>
      <c r="R145" t="str">
        <f>"DROGALIDER 67 (10252)"</f>
        <v>DROGALIDER 67 (10252)</v>
      </c>
      <c r="S145" t="s">
        <v>27</v>
      </c>
      <c r="T145">
        <v>3717</v>
      </c>
      <c r="U145">
        <v>3169</v>
      </c>
      <c r="V145" t="s">
        <v>22</v>
      </c>
    </row>
    <row r="146" spans="1:22">
      <c r="A146" t="str">
        <f t="shared" si="39"/>
        <v>02/01/2026</v>
      </c>
      <c r="B146" t="str">
        <f t="shared" si="41"/>
        <v>ENTRADA</v>
      </c>
      <c r="C146" t="str">
        <f t="shared" si="42"/>
        <v>NFSE</v>
      </c>
      <c r="D146" t="str">
        <f t="shared" si="47"/>
        <v>4149</v>
      </c>
      <c r="E146" t="str">
        <f t="shared" si="43"/>
        <v>1</v>
      </c>
      <c r="F146" t="str">
        <f t="shared" si="40"/>
        <v>COM</v>
      </c>
      <c r="G146" t="str">
        <f t="shared" si="48"/>
        <v>DROGALIDER 31 (10256)</v>
      </c>
      <c r="H146" t="s">
        <v>48</v>
      </c>
      <c r="I146" t="str">
        <f t="shared" si="44"/>
        <v>31/12/2025</v>
      </c>
      <c r="J146" t="str">
        <f t="shared" si="49"/>
        <v>29/12/2025</v>
      </c>
      <c r="K146">
        <v>46024</v>
      </c>
      <c r="N146">
        <v>303</v>
      </c>
      <c r="O146" t="s">
        <v>26</v>
      </c>
      <c r="Q146">
        <v>90</v>
      </c>
      <c r="R146" t="str">
        <f>"DROGALIDER 68 (10253)"</f>
        <v>DROGALIDER 68 (10253)</v>
      </c>
      <c r="S146" t="s">
        <v>27</v>
      </c>
      <c r="T146">
        <v>3717</v>
      </c>
      <c r="U146">
        <v>3169</v>
      </c>
      <c r="V146" t="s">
        <v>22</v>
      </c>
    </row>
    <row r="147" spans="1:22">
      <c r="A147" t="str">
        <f t="shared" si="39"/>
        <v>02/01/2026</v>
      </c>
      <c r="B147" t="str">
        <f t="shared" si="41"/>
        <v>ENTRADA</v>
      </c>
      <c r="C147" t="str">
        <f t="shared" si="42"/>
        <v>NFSE</v>
      </c>
      <c r="D147" t="str">
        <f t="shared" si="47"/>
        <v>4149</v>
      </c>
      <c r="E147" t="str">
        <f t="shared" si="43"/>
        <v>1</v>
      </c>
      <c r="F147" t="str">
        <f t="shared" si="40"/>
        <v>COM</v>
      </c>
      <c r="G147" t="str">
        <f t="shared" si="48"/>
        <v>DROGALIDER 31 (10256)</v>
      </c>
      <c r="H147" t="s">
        <v>48</v>
      </c>
      <c r="I147" t="str">
        <f t="shared" si="44"/>
        <v>31/12/2025</v>
      </c>
      <c r="J147" t="str">
        <f t="shared" si="49"/>
        <v>29/12/2025</v>
      </c>
      <c r="K147">
        <v>46024</v>
      </c>
      <c r="N147">
        <v>303</v>
      </c>
      <c r="O147" t="s">
        <v>26</v>
      </c>
      <c r="Q147">
        <v>90</v>
      </c>
      <c r="R147" t="str">
        <f>"DROGALIDER 31 (10256)"</f>
        <v>DROGALIDER 31 (10256)</v>
      </c>
      <c r="S147" t="s">
        <v>27</v>
      </c>
      <c r="T147">
        <v>3717</v>
      </c>
      <c r="U147">
        <v>3169</v>
      </c>
      <c r="V147" t="s">
        <v>22</v>
      </c>
    </row>
    <row r="148" spans="1:22">
      <c r="A148" t="str">
        <f t="shared" si="39"/>
        <v>02/01/2026</v>
      </c>
      <c r="B148" t="str">
        <f t="shared" si="41"/>
        <v>ENTRADA</v>
      </c>
      <c r="C148" t="str">
        <f t="shared" si="42"/>
        <v>NFSE</v>
      </c>
      <c r="D148" t="str">
        <f>"4153"</f>
        <v>4153</v>
      </c>
      <c r="E148" t="str">
        <f t="shared" si="43"/>
        <v>1</v>
      </c>
      <c r="F148" t="str">
        <f t="shared" si="40"/>
        <v>COM</v>
      </c>
      <c r="G148" t="str">
        <f>"DROGARIA TOTAL JUNDIAI (10177)"</f>
        <v>DROGARIA TOTAL JUNDIAI (10177)</v>
      </c>
      <c r="H148" t="str">
        <f>"Serv.Prest. 22/12/2025 a 28/12/2025 - RPS: 1915 - NFSe: 4153"</f>
        <v>Serv.Prest. 22/12/2025 a 28/12/2025 - RPS: 1915 - NFSe: 4153</v>
      </c>
      <c r="I148" t="str">
        <f t="shared" si="44"/>
        <v>31/12/2025</v>
      </c>
      <c r="J148" t="str">
        <f t="shared" si="49"/>
        <v>29/12/2025</v>
      </c>
      <c r="K148" t="str">
        <f>("02/01/2026")</f>
        <v>02/01/2026</v>
      </c>
      <c r="L148">
        <v>100.27</v>
      </c>
      <c r="M148">
        <v>100.27</v>
      </c>
      <c r="N148">
        <v>303</v>
      </c>
      <c r="O148" t="str">
        <f>"RECEITAS COM ENTREGAS"</f>
        <v>RECEITAS COM ENTREGAS</v>
      </c>
      <c r="P148">
        <v>100.27</v>
      </c>
      <c r="S148" t="str">
        <f>"RECEITAS COM ENTREGAS (303)"</f>
        <v>RECEITAS COM ENTREGAS (303)</v>
      </c>
      <c r="T148">
        <v>3718</v>
      </c>
      <c r="U148">
        <v>3173</v>
      </c>
      <c r="V148" t="s">
        <v>22</v>
      </c>
    </row>
    <row r="149" spans="1:22">
      <c r="A149" t="str">
        <f t="shared" si="39"/>
        <v>02/01/2026</v>
      </c>
      <c r="B149" t="str">
        <f t="shared" si="41"/>
        <v>ENTRADA</v>
      </c>
      <c r="C149" t="str">
        <f t="shared" si="42"/>
        <v>NFSE</v>
      </c>
      <c r="D149" t="str">
        <f>"4153"</f>
        <v>4153</v>
      </c>
      <c r="E149" t="str">
        <f t="shared" si="43"/>
        <v>1</v>
      </c>
      <c r="F149" t="str">
        <f t="shared" si="40"/>
        <v>COM</v>
      </c>
      <c r="G149" t="str">
        <f>"DROGARIA TOTAL JUNDIAI (10177)"</f>
        <v>DROGARIA TOTAL JUNDIAI (10177)</v>
      </c>
      <c r="H149" t="s">
        <v>49</v>
      </c>
      <c r="I149" t="str">
        <f t="shared" si="44"/>
        <v>31/12/2025</v>
      </c>
      <c r="J149" t="str">
        <f t="shared" si="49"/>
        <v>29/12/2025</v>
      </c>
      <c r="K149">
        <v>46024</v>
      </c>
      <c r="N149">
        <v>303</v>
      </c>
      <c r="O149" t="s">
        <v>26</v>
      </c>
      <c r="Q149">
        <v>100.27</v>
      </c>
      <c r="R149" t="str">
        <f>"DROGARIA TOTAL JUNDIAI (10177)"</f>
        <v>DROGARIA TOTAL JUNDIAI (10177)</v>
      </c>
      <c r="S149" t="s">
        <v>27</v>
      </c>
      <c r="T149">
        <v>3718</v>
      </c>
      <c r="U149">
        <v>3173</v>
      </c>
      <c r="V149" t="s">
        <v>22</v>
      </c>
    </row>
    <row r="150" spans="1:22">
      <c r="A150" t="str">
        <f t="shared" si="39"/>
        <v>02/01/2026</v>
      </c>
      <c r="B150" t="str">
        <f t="shared" si="41"/>
        <v>ENTRADA</v>
      </c>
      <c r="C150" t="str">
        <f t="shared" si="42"/>
        <v>NFSE</v>
      </c>
      <c r="D150" t="str">
        <f>"4158"</f>
        <v>4158</v>
      </c>
      <c r="E150" t="str">
        <f t="shared" si="43"/>
        <v>1</v>
      </c>
      <c r="F150" t="str">
        <f t="shared" si="40"/>
        <v>COM</v>
      </c>
      <c r="G150" t="str">
        <f>"PENSE FARMA 15 (10195)"</f>
        <v>PENSE FARMA 15 (10195)</v>
      </c>
      <c r="H150" t="str">
        <f>"Serv.Prest. 22/12/2025 a 28/12/2025 - RPS: 1920 - NFSe: 4158"</f>
        <v>Serv.Prest. 22/12/2025 a 28/12/2025 - RPS: 1920 - NFSe: 4158</v>
      </c>
      <c r="I150" t="str">
        <f t="shared" si="44"/>
        <v>31/12/2025</v>
      </c>
      <c r="J150" t="str">
        <f t="shared" si="49"/>
        <v>29/12/2025</v>
      </c>
      <c r="K150" t="str">
        <f>("02/01/2026")</f>
        <v>02/01/2026</v>
      </c>
      <c r="L150">
        <v>642</v>
      </c>
      <c r="M150">
        <v>642</v>
      </c>
      <c r="N150">
        <v>303</v>
      </c>
      <c r="O150" t="str">
        <f>"RECEITAS COM ENTREGAS"</f>
        <v>RECEITAS COM ENTREGAS</v>
      </c>
      <c r="P150">
        <v>642</v>
      </c>
      <c r="S150" t="str">
        <f>"RECEITAS COM ENTREGAS (303)"</f>
        <v>RECEITAS COM ENTREGAS (303)</v>
      </c>
      <c r="T150">
        <v>3719</v>
      </c>
      <c r="U150">
        <v>3178</v>
      </c>
      <c r="V150" t="s">
        <v>22</v>
      </c>
    </row>
    <row r="151" spans="1:22">
      <c r="A151" t="str">
        <f t="shared" si="39"/>
        <v>02/01/2026</v>
      </c>
      <c r="B151" t="str">
        <f t="shared" si="41"/>
        <v>ENTRADA</v>
      </c>
      <c r="C151" t="str">
        <f t="shared" si="42"/>
        <v>NFSE</v>
      </c>
      <c r="D151" t="str">
        <f>"4158"</f>
        <v>4158</v>
      </c>
      <c r="E151" t="str">
        <f t="shared" si="43"/>
        <v>1</v>
      </c>
      <c r="F151" t="str">
        <f t="shared" si="40"/>
        <v>COM</v>
      </c>
      <c r="G151" t="str">
        <f>"PENSE FARMA 15 (10195)"</f>
        <v>PENSE FARMA 15 (10195)</v>
      </c>
      <c r="H151" t="s">
        <v>50</v>
      </c>
      <c r="I151" t="str">
        <f t="shared" si="44"/>
        <v>31/12/2025</v>
      </c>
      <c r="J151" t="str">
        <f t="shared" si="49"/>
        <v>29/12/2025</v>
      </c>
      <c r="K151">
        <v>46024</v>
      </c>
      <c r="N151">
        <v>303</v>
      </c>
      <c r="O151" t="s">
        <v>26</v>
      </c>
      <c r="Q151">
        <v>160.5</v>
      </c>
      <c r="R151" t="str">
        <f>"PENSE FARMA 15 (10195)"</f>
        <v>PENSE FARMA 15 (10195)</v>
      </c>
      <c r="S151" t="s">
        <v>27</v>
      </c>
      <c r="T151">
        <v>3719</v>
      </c>
      <c r="U151">
        <v>3178</v>
      </c>
      <c r="V151" t="s">
        <v>22</v>
      </c>
    </row>
    <row r="152" spans="1:22">
      <c r="A152" t="str">
        <f t="shared" si="39"/>
        <v>02/01/2026</v>
      </c>
      <c r="B152" t="str">
        <f t="shared" si="41"/>
        <v>ENTRADA</v>
      </c>
      <c r="C152" t="str">
        <f t="shared" si="42"/>
        <v>NFSE</v>
      </c>
      <c r="D152" t="str">
        <f>"4158"</f>
        <v>4158</v>
      </c>
      <c r="E152" t="str">
        <f t="shared" si="43"/>
        <v>1</v>
      </c>
      <c r="F152" t="str">
        <f t="shared" si="40"/>
        <v>COM</v>
      </c>
      <c r="G152" t="str">
        <f>"PENSE FARMA 15 (10195)"</f>
        <v>PENSE FARMA 15 (10195)</v>
      </c>
      <c r="H152" t="s">
        <v>50</v>
      </c>
      <c r="I152" t="str">
        <f t="shared" si="44"/>
        <v>31/12/2025</v>
      </c>
      <c r="J152" t="str">
        <f t="shared" si="49"/>
        <v>29/12/2025</v>
      </c>
      <c r="K152">
        <v>46024</v>
      </c>
      <c r="N152">
        <v>303</v>
      </c>
      <c r="O152" t="s">
        <v>26</v>
      </c>
      <c r="Q152">
        <v>160.5</v>
      </c>
      <c r="R152" t="str">
        <f>"PENSE FARMA 26 (10196)"</f>
        <v>PENSE FARMA 26 (10196)</v>
      </c>
      <c r="S152" t="s">
        <v>27</v>
      </c>
      <c r="T152">
        <v>3719</v>
      </c>
      <c r="U152">
        <v>3178</v>
      </c>
      <c r="V152" t="s">
        <v>22</v>
      </c>
    </row>
    <row r="153" spans="1:22">
      <c r="A153" t="str">
        <f t="shared" si="39"/>
        <v>02/01/2026</v>
      </c>
      <c r="B153" t="str">
        <f t="shared" si="41"/>
        <v>ENTRADA</v>
      </c>
      <c r="C153" t="str">
        <f t="shared" si="42"/>
        <v>NFSE</v>
      </c>
      <c r="D153" t="str">
        <f>"4158"</f>
        <v>4158</v>
      </c>
      <c r="E153" t="str">
        <f t="shared" si="43"/>
        <v>1</v>
      </c>
      <c r="F153" t="str">
        <f t="shared" si="40"/>
        <v>COM</v>
      </c>
      <c r="G153" t="str">
        <f>"PENSE FARMA 15 (10195)"</f>
        <v>PENSE FARMA 15 (10195)</v>
      </c>
      <c r="H153" t="s">
        <v>50</v>
      </c>
      <c r="I153" t="str">
        <f t="shared" si="44"/>
        <v>31/12/2025</v>
      </c>
      <c r="J153" t="str">
        <f t="shared" si="49"/>
        <v>29/12/2025</v>
      </c>
      <c r="K153">
        <v>46024</v>
      </c>
      <c r="N153">
        <v>303</v>
      </c>
      <c r="O153" t="s">
        <v>26</v>
      </c>
      <c r="Q153">
        <v>160.5</v>
      </c>
      <c r="R153" t="str">
        <f>"PENSE FARMA 60 (10197)"</f>
        <v>PENSE FARMA 60 (10197)</v>
      </c>
      <c r="S153" t="s">
        <v>27</v>
      </c>
      <c r="T153">
        <v>3719</v>
      </c>
      <c r="U153">
        <v>3178</v>
      </c>
      <c r="V153" t="s">
        <v>22</v>
      </c>
    </row>
    <row r="154" spans="1:22">
      <c r="A154" t="str">
        <f t="shared" si="39"/>
        <v>02/01/2026</v>
      </c>
      <c r="B154" t="str">
        <f t="shared" si="41"/>
        <v>ENTRADA</v>
      </c>
      <c r="C154" t="str">
        <f t="shared" si="42"/>
        <v>NFSE</v>
      </c>
      <c r="D154" t="str">
        <f>"4158"</f>
        <v>4158</v>
      </c>
      <c r="E154" t="str">
        <f t="shared" si="43"/>
        <v>1</v>
      </c>
      <c r="F154" t="str">
        <f t="shared" si="40"/>
        <v>COM</v>
      </c>
      <c r="G154" t="str">
        <f>"PENSE FARMA 15 (10195)"</f>
        <v>PENSE FARMA 15 (10195)</v>
      </c>
      <c r="H154" t="s">
        <v>50</v>
      </c>
      <c r="I154" t="str">
        <f t="shared" si="44"/>
        <v>31/12/2025</v>
      </c>
      <c r="J154" t="str">
        <f t="shared" si="49"/>
        <v>29/12/2025</v>
      </c>
      <c r="K154">
        <v>46024</v>
      </c>
      <c r="N154">
        <v>303</v>
      </c>
      <c r="O154" t="s">
        <v>26</v>
      </c>
      <c r="Q154">
        <v>160.5</v>
      </c>
      <c r="R154" t="str">
        <f>"PENSE FARMA 61 (10243)"</f>
        <v>PENSE FARMA 61 (10243)</v>
      </c>
      <c r="S154" t="s">
        <v>27</v>
      </c>
      <c r="T154">
        <v>3719</v>
      </c>
      <c r="U154">
        <v>3178</v>
      </c>
      <c r="V154" t="s">
        <v>22</v>
      </c>
    </row>
    <row r="155" spans="1:22">
      <c r="A155" t="str">
        <f t="shared" si="39"/>
        <v>02/01/2026</v>
      </c>
      <c r="B155" t="str">
        <f t="shared" si="41"/>
        <v>ENTRADA</v>
      </c>
      <c r="C155" t="str">
        <f t="shared" si="42"/>
        <v>NFSE</v>
      </c>
      <c r="D155" t="str">
        <f>"4160"</f>
        <v>4160</v>
      </c>
      <c r="E155" t="str">
        <f t="shared" si="43"/>
        <v>1</v>
      </c>
      <c r="F155" t="str">
        <f t="shared" si="40"/>
        <v>COM</v>
      </c>
      <c r="G155" t="str">
        <f>"PENSE FARMA 46 (10194)"</f>
        <v>PENSE FARMA 46 (10194)</v>
      </c>
      <c r="H155" t="str">
        <f>"Serv.Prest. 22/12/2025 a 28/12/2025 - RPS: 1922 - NFSe: 4160"</f>
        <v>Serv.Prest. 22/12/2025 a 28/12/2025 - RPS: 1922 - NFSe: 4160</v>
      </c>
      <c r="I155" t="str">
        <f t="shared" si="44"/>
        <v>31/12/2025</v>
      </c>
      <c r="J155" t="str">
        <f t="shared" si="49"/>
        <v>29/12/2025</v>
      </c>
      <c r="K155" t="str">
        <f>("02/01/2026")</f>
        <v>02/01/2026</v>
      </c>
      <c r="L155">
        <v>342</v>
      </c>
      <c r="M155">
        <v>342</v>
      </c>
      <c r="N155">
        <v>303</v>
      </c>
      <c r="O155" t="str">
        <f>"RECEITAS COM ENTREGAS"</f>
        <v>RECEITAS COM ENTREGAS</v>
      </c>
      <c r="P155">
        <v>342</v>
      </c>
      <c r="S155" t="str">
        <f>"RECEITAS COM ENTREGAS (303)"</f>
        <v>RECEITAS COM ENTREGAS (303)</v>
      </c>
      <c r="T155">
        <v>3720</v>
      </c>
      <c r="U155">
        <v>3180</v>
      </c>
      <c r="V155" t="s">
        <v>22</v>
      </c>
    </row>
    <row r="156" spans="1:22">
      <c r="A156" t="str">
        <f t="shared" si="39"/>
        <v>02/01/2026</v>
      </c>
      <c r="B156" t="str">
        <f t="shared" si="41"/>
        <v>ENTRADA</v>
      </c>
      <c r="C156" t="str">
        <f t="shared" si="42"/>
        <v>NFSE</v>
      </c>
      <c r="D156" t="str">
        <f>"4160"</f>
        <v>4160</v>
      </c>
      <c r="E156" t="str">
        <f t="shared" si="43"/>
        <v>1</v>
      </c>
      <c r="F156" t="str">
        <f t="shared" si="40"/>
        <v>COM</v>
      </c>
      <c r="G156" t="str">
        <f>"PENSE FARMA 46 (10194)"</f>
        <v>PENSE FARMA 46 (10194)</v>
      </c>
      <c r="H156" t="s">
        <v>51</v>
      </c>
      <c r="I156" t="str">
        <f t="shared" si="44"/>
        <v>31/12/2025</v>
      </c>
      <c r="J156" t="str">
        <f t="shared" si="49"/>
        <v>29/12/2025</v>
      </c>
      <c r="K156">
        <v>46024</v>
      </c>
      <c r="N156">
        <v>303</v>
      </c>
      <c r="O156" t="s">
        <v>26</v>
      </c>
      <c r="Q156">
        <v>342</v>
      </c>
      <c r="R156" t="str">
        <f>"PENSE FARMA 46 (10194)"</f>
        <v>PENSE FARMA 46 (10194)</v>
      </c>
      <c r="S156" t="s">
        <v>27</v>
      </c>
      <c r="T156">
        <v>3720</v>
      </c>
      <c r="U156">
        <v>3180</v>
      </c>
      <c r="V156" t="s">
        <v>22</v>
      </c>
    </row>
    <row r="157" spans="1:22">
      <c r="A157" t="str">
        <f t="shared" si="39"/>
        <v>02/01/2026</v>
      </c>
      <c r="B157" t="str">
        <f t="shared" si="41"/>
        <v>ENTRADA</v>
      </c>
      <c r="C157" t="str">
        <f t="shared" si="42"/>
        <v>NFSE</v>
      </c>
      <c r="D157" t="str">
        <f>"4161"</f>
        <v>4161</v>
      </c>
      <c r="E157" t="str">
        <f t="shared" si="43"/>
        <v>1</v>
      </c>
      <c r="F157" t="str">
        <f t="shared" si="40"/>
        <v>COM</v>
      </c>
      <c r="G157" t="str">
        <f>"DELTA LOJA 2 (10123)"</f>
        <v>DELTA LOJA 2 (10123)</v>
      </c>
      <c r="H157" t="str">
        <f>"Serv.Prest. 22/12/2025 a 28/12/2025 - RPS: 1923 - NFSe: 4161"</f>
        <v>Serv.Prest. 22/12/2025 a 28/12/2025 - RPS: 1923 - NFSe: 4161</v>
      </c>
      <c r="I157" t="str">
        <f t="shared" si="44"/>
        <v>31/12/2025</v>
      </c>
      <c r="J157" t="str">
        <f t="shared" si="49"/>
        <v>29/12/2025</v>
      </c>
      <c r="K157" t="str">
        <f>("02/01/2026")</f>
        <v>02/01/2026</v>
      </c>
      <c r="L157">
        <v>801.15</v>
      </c>
      <c r="M157">
        <v>801.15</v>
      </c>
      <c r="N157">
        <v>303</v>
      </c>
      <c r="O157" t="str">
        <f>"RECEITAS COM ENTREGAS"</f>
        <v>RECEITAS COM ENTREGAS</v>
      </c>
      <c r="P157">
        <v>801.15</v>
      </c>
      <c r="S157" t="str">
        <f>"RECEITAS COM ENTREGAS (303)"</f>
        <v>RECEITAS COM ENTREGAS (303)</v>
      </c>
      <c r="T157">
        <v>3721</v>
      </c>
      <c r="U157">
        <v>3181</v>
      </c>
      <c r="V157" t="s">
        <v>22</v>
      </c>
    </row>
    <row r="158" spans="1:22">
      <c r="A158" t="str">
        <f t="shared" si="39"/>
        <v>02/01/2026</v>
      </c>
      <c r="B158" t="str">
        <f t="shared" si="41"/>
        <v>ENTRADA</v>
      </c>
      <c r="C158" t="str">
        <f t="shared" si="42"/>
        <v>NFSE</v>
      </c>
      <c r="D158" t="str">
        <f>"4161"</f>
        <v>4161</v>
      </c>
      <c r="E158" t="str">
        <f t="shared" si="43"/>
        <v>1</v>
      </c>
      <c r="F158" t="str">
        <f t="shared" si="40"/>
        <v>COM</v>
      </c>
      <c r="G158" t="str">
        <f>"DELTA LOJA 2 (10123)"</f>
        <v>DELTA LOJA 2 (10123)</v>
      </c>
      <c r="H158" t="s">
        <v>52</v>
      </c>
      <c r="I158" t="str">
        <f t="shared" si="44"/>
        <v>31/12/2025</v>
      </c>
      <c r="J158" t="str">
        <f t="shared" si="49"/>
        <v>29/12/2025</v>
      </c>
      <c r="K158">
        <v>46024</v>
      </c>
      <c r="N158">
        <v>303</v>
      </c>
      <c r="O158" t="s">
        <v>26</v>
      </c>
      <c r="Q158">
        <v>801.15</v>
      </c>
      <c r="R158" t="str">
        <f>"DELTA LOJA 2 (10123)"</f>
        <v>DELTA LOJA 2 (10123)</v>
      </c>
      <c r="S158" t="s">
        <v>27</v>
      </c>
      <c r="T158">
        <v>3721</v>
      </c>
      <c r="U158">
        <v>3181</v>
      </c>
      <c r="V158" t="s">
        <v>22</v>
      </c>
    </row>
    <row r="159" spans="1:22">
      <c r="A159" t="str">
        <f t="shared" si="39"/>
        <v>02/01/2026</v>
      </c>
      <c r="B159" t="str">
        <f t="shared" si="41"/>
        <v>ENTRADA</v>
      </c>
      <c r="C159" t="str">
        <f t="shared" si="42"/>
        <v>NFSE</v>
      </c>
      <c r="D159" t="str">
        <f>"4166"</f>
        <v>4166</v>
      </c>
      <c r="E159" t="str">
        <f t="shared" si="43"/>
        <v>1</v>
      </c>
      <c r="F159" t="str">
        <f t="shared" si="40"/>
        <v>COM</v>
      </c>
      <c r="G159" t="str">
        <f>"PENSE FARMA 22 (10198)"</f>
        <v>PENSE FARMA 22 (10198)</v>
      </c>
      <c r="H159" t="str">
        <f>"Serv.Prest. 22/12/2025 a 28/12/2025 - RPS: 1928 - NFSe: 4166"</f>
        <v>Serv.Prest. 22/12/2025 a 28/12/2025 - RPS: 1928 - NFSe: 4166</v>
      </c>
      <c r="I159" t="str">
        <f t="shared" si="44"/>
        <v>31/12/2025</v>
      </c>
      <c r="J159" t="str">
        <f>("30/12/2025")</f>
        <v>30/12/2025</v>
      </c>
      <c r="K159" t="str">
        <f>("02/01/2026")</f>
        <v>02/01/2026</v>
      </c>
      <c r="L159">
        <v>333.54</v>
      </c>
      <c r="M159">
        <v>333.54</v>
      </c>
      <c r="N159">
        <v>303</v>
      </c>
      <c r="O159" t="str">
        <f>"RECEITAS COM ENTREGAS"</f>
        <v>RECEITAS COM ENTREGAS</v>
      </c>
      <c r="P159">
        <v>333.54</v>
      </c>
      <c r="S159" t="str">
        <f>"RECEITAS COM ENTREGAS (303)"</f>
        <v>RECEITAS COM ENTREGAS (303)</v>
      </c>
      <c r="T159">
        <v>3722</v>
      </c>
      <c r="U159">
        <v>3186</v>
      </c>
      <c r="V159" t="s">
        <v>22</v>
      </c>
    </row>
    <row r="160" spans="1:22">
      <c r="A160" t="str">
        <f t="shared" si="39"/>
        <v>02/01/2026</v>
      </c>
      <c r="B160" t="str">
        <f t="shared" si="41"/>
        <v>ENTRADA</v>
      </c>
      <c r="C160" t="str">
        <f t="shared" si="42"/>
        <v>NFSE</v>
      </c>
      <c r="D160" t="str">
        <f>"4166"</f>
        <v>4166</v>
      </c>
      <c r="E160" t="str">
        <f t="shared" si="43"/>
        <v>1</v>
      </c>
      <c r="F160" t="str">
        <f t="shared" si="40"/>
        <v>COM</v>
      </c>
      <c r="G160" t="str">
        <f>"PENSE FARMA 22 (10198)"</f>
        <v>PENSE FARMA 22 (10198)</v>
      </c>
      <c r="H160" t="s">
        <v>53</v>
      </c>
      <c r="I160" t="str">
        <f t="shared" si="44"/>
        <v>31/12/2025</v>
      </c>
      <c r="J160" t="str">
        <f>("30/12/2025")</f>
        <v>30/12/2025</v>
      </c>
      <c r="K160">
        <v>46024</v>
      </c>
      <c r="N160">
        <v>303</v>
      </c>
      <c r="O160" t="s">
        <v>26</v>
      </c>
      <c r="Q160">
        <v>333.54</v>
      </c>
      <c r="R160" t="str">
        <f>"PENSE FARMA 22 (10198)"</f>
        <v>PENSE FARMA 22 (10198)</v>
      </c>
      <c r="S160" t="s">
        <v>27</v>
      </c>
      <c r="T160">
        <v>3722</v>
      </c>
      <c r="U160">
        <v>3186</v>
      </c>
      <c r="V160" t="s">
        <v>22</v>
      </c>
    </row>
    <row r="161" spans="1:22">
      <c r="A161" t="str">
        <f t="shared" si="39"/>
        <v>02/01/2026</v>
      </c>
      <c r="B161" t="str">
        <f>"SAÍDA"</f>
        <v>SAÍDA</v>
      </c>
      <c r="C161" t="str">
        <f>"JUROS"</f>
        <v>JUROS</v>
      </c>
      <c r="D161" t="str">
        <f>""</f>
        <v/>
      </c>
      <c r="F161" t="str">
        <f>"CXA"</f>
        <v>CXA</v>
      </c>
      <c r="G161" t="str">
        <f>""</f>
        <v/>
      </c>
      <c r="H161" t="str">
        <f>"MANUTENCAO DE TITULOS"</f>
        <v>MANUTENCAO DE TITULOS</v>
      </c>
      <c r="I161" t="str">
        <f>("02/01/2026")</f>
        <v>02/01/2026</v>
      </c>
      <c r="J161" t="str">
        <f>("02/01/2026")</f>
        <v>02/01/2026</v>
      </c>
      <c r="K161" t="str">
        <f>("02/01/2026")</f>
        <v>02/01/2026</v>
      </c>
      <c r="L161">
        <v>6.5</v>
      </c>
      <c r="M161">
        <v>6.5</v>
      </c>
      <c r="N161">
        <v>401</v>
      </c>
      <c r="O161" t="str">
        <f>"IOF/JUROS/DESP.FINANCEIRA"</f>
        <v>IOF/JUROS/DESP.FINANCEIRA</v>
      </c>
      <c r="P161">
        <v>6.5</v>
      </c>
      <c r="S161" t="str">
        <f>"BANCO SICREDI (131)"</f>
        <v>BANCO SICREDI (131)</v>
      </c>
      <c r="T161">
        <v>4124</v>
      </c>
      <c r="U161">
        <v>0</v>
      </c>
      <c r="V161" t="s">
        <v>54</v>
      </c>
    </row>
    <row r="162" spans="1:22">
      <c r="A162" t="str">
        <f t="shared" ref="A162:A168" si="50">("02/01/2026")</f>
        <v>02/01/2026</v>
      </c>
      <c r="B162" t="str">
        <f>"ENTRADA"</f>
        <v>ENTRADA</v>
      </c>
      <c r="C162" t="str">
        <f>"NFSE"</f>
        <v>NFSE</v>
      </c>
      <c r="D162" t="str">
        <f>"4144"</f>
        <v>4144</v>
      </c>
      <c r="E162" t="str">
        <f>"1"</f>
        <v>1</v>
      </c>
      <c r="F162" t="str">
        <f>"COM"</f>
        <v>COM</v>
      </c>
      <c r="G162" t="str">
        <f>"PENSE FARMA 09 (10218)"</f>
        <v>PENSE FARMA 09 (10218)</v>
      </c>
      <c r="H162" t="str">
        <f>"Serv.Prest. 22/12/2025 a 28/12/2025 - RPS: 1906 - NFSe: 4144"</f>
        <v>Serv.Prest. 22/12/2025 a 28/12/2025 - RPS: 1906 - NFSe: 4144</v>
      </c>
      <c r="I162" t="str">
        <f>("31/12/2025")</f>
        <v>31/12/2025</v>
      </c>
      <c r="J162" t="str">
        <f>("29/12/2025")</f>
        <v>29/12/2025</v>
      </c>
      <c r="K162" t="str">
        <f>("02/01/2026")</f>
        <v>02/01/2026</v>
      </c>
      <c r="L162">
        <v>336.54</v>
      </c>
      <c r="M162">
        <v>336.54</v>
      </c>
      <c r="N162">
        <v>303</v>
      </c>
      <c r="O162" t="str">
        <f>"RECEITAS COM ENTREGAS"</f>
        <v>RECEITAS COM ENTREGAS</v>
      </c>
      <c r="P162">
        <v>336.54</v>
      </c>
      <c r="S162" t="str">
        <f>"RECEITAS COM ENTREGAS (303)"</f>
        <v>RECEITAS COM ENTREGAS (303)</v>
      </c>
      <c r="T162">
        <v>4162</v>
      </c>
      <c r="U162">
        <v>3164</v>
      </c>
      <c r="V162" t="s">
        <v>22</v>
      </c>
    </row>
    <row r="163" spans="1:22">
      <c r="A163" t="str">
        <f t="shared" si="50"/>
        <v>02/01/2026</v>
      </c>
      <c r="B163" t="str">
        <f>"ENTRADA"</f>
        <v>ENTRADA</v>
      </c>
      <c r="C163" t="str">
        <f>"NFSE"</f>
        <v>NFSE</v>
      </c>
      <c r="D163" t="str">
        <f>"4144"</f>
        <v>4144</v>
      </c>
      <c r="E163" t="str">
        <f>"1"</f>
        <v>1</v>
      </c>
      <c r="F163" t="str">
        <f>"COM"</f>
        <v>COM</v>
      </c>
      <c r="G163" t="str">
        <f>"PENSE FARMA 09 (10218)"</f>
        <v>PENSE FARMA 09 (10218)</v>
      </c>
      <c r="H163" t="s">
        <v>55</v>
      </c>
      <c r="I163" t="str">
        <f>("31/12/2025")</f>
        <v>31/12/2025</v>
      </c>
      <c r="J163" t="str">
        <f>("29/12/2025")</f>
        <v>29/12/2025</v>
      </c>
      <c r="K163">
        <v>46024</v>
      </c>
      <c r="N163">
        <v>303</v>
      </c>
      <c r="O163" t="s">
        <v>26</v>
      </c>
      <c r="Q163">
        <v>168.27</v>
      </c>
      <c r="R163" t="str">
        <f>"PENSE FARMA 09 (10218)"</f>
        <v>PENSE FARMA 09 (10218)</v>
      </c>
      <c r="S163" t="s">
        <v>27</v>
      </c>
      <c r="T163">
        <v>4162</v>
      </c>
      <c r="U163">
        <v>3164</v>
      </c>
      <c r="V163" t="s">
        <v>22</v>
      </c>
    </row>
    <row r="164" spans="1:22">
      <c r="A164" t="str">
        <f t="shared" si="50"/>
        <v>02/01/2026</v>
      </c>
      <c r="B164" t="str">
        <f>"ENTRADA"</f>
        <v>ENTRADA</v>
      </c>
      <c r="C164" t="str">
        <f>"NFSE"</f>
        <v>NFSE</v>
      </c>
      <c r="D164" t="str">
        <f>"4144"</f>
        <v>4144</v>
      </c>
      <c r="E164" t="str">
        <f>"1"</f>
        <v>1</v>
      </c>
      <c r="F164" t="str">
        <f>"COM"</f>
        <v>COM</v>
      </c>
      <c r="G164" t="str">
        <f>"PENSE FARMA 09 (10218)"</f>
        <v>PENSE FARMA 09 (10218)</v>
      </c>
      <c r="H164" t="s">
        <v>55</v>
      </c>
      <c r="I164" t="str">
        <f>("31/12/2025")</f>
        <v>31/12/2025</v>
      </c>
      <c r="J164" t="str">
        <f>("29/12/2025")</f>
        <v>29/12/2025</v>
      </c>
      <c r="K164">
        <v>46024</v>
      </c>
      <c r="N164">
        <v>303</v>
      </c>
      <c r="O164" t="s">
        <v>26</v>
      </c>
      <c r="Q164">
        <v>168.27</v>
      </c>
      <c r="R164" t="str">
        <f>"PENSE FARMA 10 (10219)"</f>
        <v>PENSE FARMA 10 (10219)</v>
      </c>
      <c r="S164" t="s">
        <v>27</v>
      </c>
      <c r="T164">
        <v>4162</v>
      </c>
      <c r="U164">
        <v>3164</v>
      </c>
      <c r="V164" t="s">
        <v>22</v>
      </c>
    </row>
    <row r="165" spans="1:22">
      <c r="A165" t="str">
        <f t="shared" si="50"/>
        <v>02/01/2026</v>
      </c>
      <c r="B165" t="str">
        <f>"SAÍDA"</f>
        <v>SAÍDA</v>
      </c>
      <c r="C165" t="str">
        <f>"TRANSFERENCIA"</f>
        <v>TRANSFERENCIA</v>
      </c>
      <c r="D165" t="str">
        <f>""</f>
        <v/>
      </c>
      <c r="F165" t="str">
        <f>"TRF"</f>
        <v>TRF</v>
      </c>
      <c r="G165" t="str">
        <f>""</f>
        <v/>
      </c>
      <c r="H165" t="str">
        <f>"TRANSFERENCIA APOIO DE CAIXA COOPERATIVA (102-&gt;120)"</f>
        <v>TRANSFERENCIA APOIO DE CAIXA COOPERATIVA (102-&gt;120)</v>
      </c>
      <c r="I165" t="str">
        <f t="shared" ref="I165:K167" si="51">("02/01/2026")</f>
        <v>02/01/2026</v>
      </c>
      <c r="J165" t="str">
        <f t="shared" si="51"/>
        <v>02/01/2026</v>
      </c>
      <c r="K165" t="str">
        <f t="shared" si="51"/>
        <v>02/01/2026</v>
      </c>
      <c r="N165">
        <v>102</v>
      </c>
      <c r="O165" t="str">
        <f>"BANCO CORA"</f>
        <v>BANCO CORA</v>
      </c>
      <c r="P165">
        <v>29112.81</v>
      </c>
      <c r="S165" t="str">
        <f>"BANCO CORA (102)"</f>
        <v>BANCO CORA (102)</v>
      </c>
      <c r="T165">
        <v>4163</v>
      </c>
      <c r="U165">
        <v>0</v>
      </c>
      <c r="V165" t="s">
        <v>22</v>
      </c>
    </row>
    <row r="166" spans="1:22">
      <c r="A166" t="str">
        <f t="shared" si="50"/>
        <v>02/01/2026</v>
      </c>
      <c r="B166" t="str">
        <f>"ENTRADA"</f>
        <v>ENTRADA</v>
      </c>
      <c r="C166" t="str">
        <f>"TRANSFERENCIA"</f>
        <v>TRANSFERENCIA</v>
      </c>
      <c r="D166" t="str">
        <f>""</f>
        <v/>
      </c>
      <c r="F166" t="str">
        <f>"TRF"</f>
        <v>TRF</v>
      </c>
      <c r="G166" t="str">
        <f>""</f>
        <v/>
      </c>
      <c r="H166" t="str">
        <f>"TRANSFERENCIA APOIO DE CAIXA COOPERATIVA (102-&gt;120)"</f>
        <v>TRANSFERENCIA APOIO DE CAIXA COOPERATIVA (102-&gt;120)</v>
      </c>
      <c r="I166" t="str">
        <f t="shared" si="51"/>
        <v>02/01/2026</v>
      </c>
      <c r="J166" t="str">
        <f t="shared" si="51"/>
        <v>02/01/2026</v>
      </c>
      <c r="K166" t="str">
        <f t="shared" si="51"/>
        <v>02/01/2026</v>
      </c>
      <c r="N166">
        <v>120</v>
      </c>
      <c r="O166" t="str">
        <f>"CAIXA - COOPERATIVA"</f>
        <v>CAIXA - COOPERATIVA</v>
      </c>
      <c r="S166" t="str">
        <f>"CAIXA - COOPERATIVA (120)"</f>
        <v>CAIXA - COOPERATIVA (120)</v>
      </c>
      <c r="T166">
        <v>4163</v>
      </c>
      <c r="U166">
        <v>0</v>
      </c>
      <c r="V166" t="s">
        <v>56</v>
      </c>
    </row>
    <row r="167" spans="1:22">
      <c r="A167" t="str">
        <f t="shared" si="50"/>
        <v>02/01/2026</v>
      </c>
      <c r="B167" t="str">
        <f t="shared" ref="B167:B172" si="52">"SAÍDA"</f>
        <v>SAÍDA</v>
      </c>
      <c r="C167" t="str">
        <f>"BOLETO"</f>
        <v>BOLETO</v>
      </c>
      <c r="D167" t="str">
        <f>"02012026"</f>
        <v>02012026</v>
      </c>
      <c r="E167" t="str">
        <f>"1"</f>
        <v>1</v>
      </c>
      <c r="F167" t="str">
        <f t="shared" ref="F167:F198" si="53">"COM"</f>
        <v>COM</v>
      </c>
      <c r="G167" t="str">
        <f>"CORA SOCIEDADE DE CREDITO, FINANCIAMENTO E INVESTIMENTO (20035)"</f>
        <v>CORA SOCIEDADE DE CREDITO, FINANCIAMENTO E INVESTIMENTO (20035)</v>
      </c>
      <c r="H167" t="str">
        <f>"TAXA BOLETO CORA (25x1,7)"</f>
        <v>TAXA BOLETO CORA (25x1,7)</v>
      </c>
      <c r="I167" t="str">
        <f t="shared" si="51"/>
        <v>02/01/2026</v>
      </c>
      <c r="J167" t="str">
        <f t="shared" si="51"/>
        <v>02/01/2026</v>
      </c>
      <c r="K167" t="str">
        <f t="shared" si="51"/>
        <v>02/01/2026</v>
      </c>
      <c r="L167">
        <v>42.5</v>
      </c>
      <c r="M167">
        <v>42.5</v>
      </c>
      <c r="N167">
        <v>401</v>
      </c>
      <c r="O167" t="str">
        <f>"IOF/JUROS/DESP.FINANCEIRA"</f>
        <v>IOF/JUROS/DESP.FINANCEIRA</v>
      </c>
      <c r="P167">
        <v>42.5</v>
      </c>
      <c r="S167" t="str">
        <f>"BANCO CORA (102)"</f>
        <v>BANCO CORA (102)</v>
      </c>
      <c r="T167">
        <v>4164</v>
      </c>
      <c r="U167">
        <v>3736</v>
      </c>
      <c r="V167" t="s">
        <v>22</v>
      </c>
    </row>
    <row r="168" spans="1:22">
      <c r="A168" t="str">
        <f t="shared" si="50"/>
        <v>02/01/2026</v>
      </c>
      <c r="B168" t="str">
        <f t="shared" si="52"/>
        <v>SAÍDA</v>
      </c>
      <c r="C168" t="str">
        <f>"BOLETO"</f>
        <v>BOLETO</v>
      </c>
      <c r="D168" t="str">
        <f>"02012026"</f>
        <v>02012026</v>
      </c>
      <c r="E168" t="str">
        <f>"1"</f>
        <v>1</v>
      </c>
      <c r="F168" t="str">
        <f t="shared" si="53"/>
        <v>COM</v>
      </c>
      <c r="G168" t="str">
        <f>"CORA SOCIEDADE DE CREDITO, FINANCIAMENTO E INVESTIMENTO (20035)"</f>
        <v>CORA SOCIEDADE DE CREDITO, FINANCIAMENTO E INVESTIMENTO (20035)</v>
      </c>
      <c r="H168" t="s">
        <v>57</v>
      </c>
      <c r="I168" t="str">
        <f>("02/01/2026")</f>
        <v>02/01/2026</v>
      </c>
      <c r="J168" t="str">
        <f>("02/01/2026")</f>
        <v>02/01/2026</v>
      </c>
      <c r="K168">
        <v>46024</v>
      </c>
      <c r="N168">
        <v>401</v>
      </c>
      <c r="O168" t="s">
        <v>58</v>
      </c>
      <c r="Q168">
        <v>42.5</v>
      </c>
      <c r="R168" t="str">
        <f>"CORA SOCIEDADE DE CREDITO, FINANCIAMENTO E INVESTIMENTO (20035)"</f>
        <v>CORA SOCIEDADE DE CREDITO, FINANCIAMENTO E INVESTIMENTO (20035)</v>
      </c>
      <c r="S168" t="s">
        <v>22</v>
      </c>
      <c r="T168">
        <v>4164</v>
      </c>
      <c r="U168">
        <v>3736</v>
      </c>
      <c r="V168" t="s">
        <v>22</v>
      </c>
    </row>
    <row r="169" spans="1:22">
      <c r="A169" t="str">
        <f>("03/01/2026")</f>
        <v>03/01/2026</v>
      </c>
      <c r="B169" t="str">
        <f t="shared" si="52"/>
        <v>SAÍDA</v>
      </c>
      <c r="C169" t="str">
        <f>"PIX"</f>
        <v>PIX</v>
      </c>
      <c r="D169" t="str">
        <f>"0301"</f>
        <v>0301</v>
      </c>
      <c r="E169" t="str">
        <f>"26"</f>
        <v>26</v>
      </c>
      <c r="F169" t="str">
        <f t="shared" si="53"/>
        <v>COM</v>
      </c>
      <c r="G169" t="str">
        <f>"BUSER BRASIL TECNOLOGIA LTDA. (20115)"</f>
        <v>BUSER BRASIL TECNOLOGIA LTDA. (20115)</v>
      </c>
      <c r="H169" t="str">
        <f>"COMPRA PASSAGEM DESPESAS VIAGEM LIMEIRA / RIO CLARO / JUNDIAI"</f>
        <v>COMPRA PASSAGEM DESPESAS VIAGEM LIMEIRA / RIO CLARO / JUNDIAI</v>
      </c>
      <c r="I169" t="str">
        <f>("03/01/2026")</f>
        <v>03/01/2026</v>
      </c>
      <c r="J169" t="str">
        <f>("03/01/2026")</f>
        <v>03/01/2026</v>
      </c>
      <c r="K169" t="str">
        <f>("03/01/2026")</f>
        <v>03/01/2026</v>
      </c>
      <c r="L169">
        <v>256.19</v>
      </c>
      <c r="M169">
        <v>256.19</v>
      </c>
      <c r="N169">
        <v>128</v>
      </c>
      <c r="O169" t="str">
        <f>"DESPESAS COM VIAGENS"</f>
        <v>DESPESAS COM VIAGENS</v>
      </c>
      <c r="P169">
        <v>256.19</v>
      </c>
      <c r="S169" t="str">
        <f>"BANCO CORA (102)"</f>
        <v>BANCO CORA (102)</v>
      </c>
      <c r="T169">
        <v>4165</v>
      </c>
      <c r="U169">
        <v>3737</v>
      </c>
      <c r="V169" t="s">
        <v>22</v>
      </c>
    </row>
    <row r="170" spans="1:22">
      <c r="A170" t="str">
        <f>("03/01/2026")</f>
        <v>03/01/2026</v>
      </c>
      <c r="B170" t="str">
        <f t="shared" si="52"/>
        <v>SAÍDA</v>
      </c>
      <c r="C170" t="str">
        <f>"PIX"</f>
        <v>PIX</v>
      </c>
      <c r="D170" t="str">
        <f>"0301"</f>
        <v>0301</v>
      </c>
      <c r="E170" t="str">
        <f>"26"</f>
        <v>26</v>
      </c>
      <c r="F170" t="str">
        <f t="shared" si="53"/>
        <v>COM</v>
      </c>
      <c r="G170" t="str">
        <f>"BUSER BRASIL TECNOLOGIA LTDA. (20115)"</f>
        <v>BUSER BRASIL TECNOLOGIA LTDA. (20115)</v>
      </c>
      <c r="H170" t="s">
        <v>59</v>
      </c>
      <c r="I170" t="str">
        <f t="shared" ref="I170:J172" si="54">("03/01/2026")</f>
        <v>03/01/2026</v>
      </c>
      <c r="J170" t="str">
        <f t="shared" si="54"/>
        <v>03/01/2026</v>
      </c>
      <c r="K170">
        <v>46025</v>
      </c>
      <c r="N170">
        <v>128</v>
      </c>
      <c r="O170" t="s">
        <v>60</v>
      </c>
      <c r="Q170">
        <v>42.68</v>
      </c>
      <c r="R170" t="str">
        <f>"DROGARIA MORENO LTDA (10171)"</f>
        <v>DROGARIA MORENO LTDA (10171)</v>
      </c>
      <c r="S170" t="s">
        <v>22</v>
      </c>
      <c r="T170">
        <v>4165</v>
      </c>
      <c r="U170">
        <v>3737</v>
      </c>
      <c r="V170" t="s">
        <v>22</v>
      </c>
    </row>
    <row r="171" spans="1:22">
      <c r="A171" t="str">
        <f>("03/01/2026")</f>
        <v>03/01/2026</v>
      </c>
      <c r="B171" t="str">
        <f t="shared" si="52"/>
        <v>SAÍDA</v>
      </c>
      <c r="C171" t="str">
        <f>"PIX"</f>
        <v>PIX</v>
      </c>
      <c r="D171" t="str">
        <f>"0301"</f>
        <v>0301</v>
      </c>
      <c r="E171" t="str">
        <f>"26"</f>
        <v>26</v>
      </c>
      <c r="F171" t="str">
        <f t="shared" si="53"/>
        <v>COM</v>
      </c>
      <c r="G171" t="str">
        <f>"BUSER BRASIL TECNOLOGIA LTDA. (20115)"</f>
        <v>BUSER BRASIL TECNOLOGIA LTDA. (20115)</v>
      </c>
      <c r="H171" t="s">
        <v>59</v>
      </c>
      <c r="I171" t="str">
        <f t="shared" si="54"/>
        <v>03/01/2026</v>
      </c>
      <c r="J171" t="str">
        <f t="shared" si="54"/>
        <v>03/01/2026</v>
      </c>
      <c r="K171">
        <v>46025</v>
      </c>
      <c r="N171">
        <v>128</v>
      </c>
      <c r="O171" t="s">
        <v>60</v>
      </c>
      <c r="Q171">
        <v>42.71</v>
      </c>
      <c r="R171" t="str">
        <f>"DROGARIA MEDIC CENTER LTDA (10172)"</f>
        <v>DROGARIA MEDIC CENTER LTDA (10172)</v>
      </c>
      <c r="S171" t="s">
        <v>22</v>
      </c>
      <c r="T171">
        <v>4165</v>
      </c>
      <c r="U171">
        <v>3737</v>
      </c>
      <c r="V171" t="s">
        <v>22</v>
      </c>
    </row>
    <row r="172" spans="1:22">
      <c r="A172" t="str">
        <f>("03/01/2026")</f>
        <v>03/01/2026</v>
      </c>
      <c r="B172" t="str">
        <f t="shared" si="52"/>
        <v>SAÍDA</v>
      </c>
      <c r="C172" t="str">
        <f>"PIX"</f>
        <v>PIX</v>
      </c>
      <c r="D172" t="str">
        <f>"0301"</f>
        <v>0301</v>
      </c>
      <c r="E172" t="str">
        <f>"26"</f>
        <v>26</v>
      </c>
      <c r="F172" t="str">
        <f t="shared" si="53"/>
        <v>COM</v>
      </c>
      <c r="G172" t="str">
        <f>"BUSER BRASIL TECNOLOGIA LTDA. (20115)"</f>
        <v>BUSER BRASIL TECNOLOGIA LTDA. (20115)</v>
      </c>
      <c r="H172" t="s">
        <v>59</v>
      </c>
      <c r="I172" t="str">
        <f t="shared" si="54"/>
        <v>03/01/2026</v>
      </c>
      <c r="J172" t="str">
        <f t="shared" si="54"/>
        <v>03/01/2026</v>
      </c>
      <c r="K172">
        <v>46025</v>
      </c>
      <c r="N172">
        <v>128</v>
      </c>
      <c r="O172" t="s">
        <v>60</v>
      </c>
      <c r="Q172">
        <v>170.8</v>
      </c>
      <c r="R172" t="str">
        <f>"BEM TE FAZ 01 (10283)"</f>
        <v>BEM TE FAZ 01 (10283)</v>
      </c>
      <c r="S172" t="s">
        <v>22</v>
      </c>
      <c r="T172">
        <v>4165</v>
      </c>
      <c r="U172">
        <v>3737</v>
      </c>
      <c r="V172" t="s">
        <v>22</v>
      </c>
    </row>
    <row r="173" spans="1:22">
      <c r="A173" t="str">
        <f t="shared" ref="A173:A204" si="55">("05/01/2026")</f>
        <v>05/01/2026</v>
      </c>
      <c r="B173" t="str">
        <f t="shared" ref="B173:B204" si="56">"ENTRADA"</f>
        <v>ENTRADA</v>
      </c>
      <c r="C173" t="str">
        <f t="shared" ref="C173:C204" si="57">"NFSE"</f>
        <v>NFSE</v>
      </c>
      <c r="D173" t="str">
        <f t="shared" ref="D173:D204" si="58">"4120"</f>
        <v>4120</v>
      </c>
      <c r="E173" t="str">
        <f t="shared" ref="E173:E204" si="59">"1"</f>
        <v>1</v>
      </c>
      <c r="F173" t="str">
        <f t="shared" si="53"/>
        <v>COM</v>
      </c>
      <c r="G173" t="str">
        <f t="shared" ref="G173:G204" si="60">"FARMÁCIA INDIANA LJ 1 (10126)"</f>
        <v>FARMÁCIA INDIANA LJ 1 (10126)</v>
      </c>
      <c r="H173" t="str">
        <f>"Serv.Prest. 22/12/2025 a 25/12/2025 - RPS: 1882 - NFSe: 4120"</f>
        <v>Serv.Prest. 22/12/2025 a 25/12/2025 - RPS: 1882 - NFSe: 4120</v>
      </c>
      <c r="I173" t="str">
        <f t="shared" ref="I173:I204" si="61">("05/01/2026")</f>
        <v>05/01/2026</v>
      </c>
      <c r="J173" t="str">
        <f t="shared" ref="J173:J204" si="62">("26/12/2025")</f>
        <v>26/12/2025</v>
      </c>
      <c r="K173" t="str">
        <f>("05/01/2026")</f>
        <v>05/01/2026</v>
      </c>
      <c r="L173">
        <v>9480.7000000000007</v>
      </c>
      <c r="M173">
        <v>9480.7000000000007</v>
      </c>
      <c r="N173">
        <v>303</v>
      </c>
      <c r="O173" t="str">
        <f>"RECEITAS COM ENTREGAS"</f>
        <v>RECEITAS COM ENTREGAS</v>
      </c>
      <c r="P173">
        <v>9480.7000000000007</v>
      </c>
      <c r="S173" t="str">
        <f>"RECEITAS COM ENTREGAS (303)"</f>
        <v>RECEITAS COM ENTREGAS (303)</v>
      </c>
      <c r="T173">
        <v>3723</v>
      </c>
      <c r="U173">
        <v>3140</v>
      </c>
      <c r="V173" t="s">
        <v>22</v>
      </c>
    </row>
    <row r="174" spans="1:22">
      <c r="A174" t="str">
        <f t="shared" si="55"/>
        <v>05/01/2026</v>
      </c>
      <c r="B174" t="str">
        <f t="shared" si="56"/>
        <v>ENTRADA</v>
      </c>
      <c r="C174" t="str">
        <f t="shared" si="57"/>
        <v>NFSE</v>
      </c>
      <c r="D174" t="str">
        <f t="shared" si="58"/>
        <v>4120</v>
      </c>
      <c r="E174" t="str">
        <f t="shared" si="59"/>
        <v>1</v>
      </c>
      <c r="F174" t="str">
        <f t="shared" si="53"/>
        <v>COM</v>
      </c>
      <c r="G174" t="str">
        <f t="shared" si="60"/>
        <v>FARMÁCIA INDIANA LJ 1 (10126)</v>
      </c>
      <c r="H174" t="s">
        <v>61</v>
      </c>
      <c r="I174" t="str">
        <f t="shared" si="61"/>
        <v>05/01/2026</v>
      </c>
      <c r="J174" t="str">
        <f t="shared" si="62"/>
        <v>26/12/2025</v>
      </c>
      <c r="K174">
        <v>46027</v>
      </c>
      <c r="N174">
        <v>303</v>
      </c>
      <c r="O174" t="s">
        <v>26</v>
      </c>
      <c r="Q174">
        <v>1175.5999999999999</v>
      </c>
      <c r="R174" t="str">
        <f>"FARMÁCIA INDIANA LJ 06 (10006)"</f>
        <v>FARMÁCIA INDIANA LJ 06 (10006)</v>
      </c>
      <c r="S174" t="s">
        <v>27</v>
      </c>
      <c r="T174">
        <v>3723</v>
      </c>
      <c r="U174">
        <v>3140</v>
      </c>
      <c r="V174" t="s">
        <v>22</v>
      </c>
    </row>
    <row r="175" spans="1:22">
      <c r="A175" t="str">
        <f t="shared" si="55"/>
        <v>05/01/2026</v>
      </c>
      <c r="B175" t="str">
        <f t="shared" si="56"/>
        <v>ENTRADA</v>
      </c>
      <c r="C175" t="str">
        <f t="shared" si="57"/>
        <v>NFSE</v>
      </c>
      <c r="D175" t="str">
        <f t="shared" si="58"/>
        <v>4120</v>
      </c>
      <c r="E175" t="str">
        <f t="shared" si="59"/>
        <v>1</v>
      </c>
      <c r="F175" t="str">
        <f t="shared" si="53"/>
        <v>COM</v>
      </c>
      <c r="G175" t="str">
        <f t="shared" si="60"/>
        <v>FARMÁCIA INDIANA LJ 1 (10126)</v>
      </c>
      <c r="H175" t="s">
        <v>61</v>
      </c>
      <c r="I175" t="str">
        <f t="shared" si="61"/>
        <v>05/01/2026</v>
      </c>
      <c r="J175" t="str">
        <f t="shared" si="62"/>
        <v>26/12/2025</v>
      </c>
      <c r="K175">
        <v>46027</v>
      </c>
      <c r="N175">
        <v>303</v>
      </c>
      <c r="O175" t="s">
        <v>26</v>
      </c>
      <c r="Q175">
        <v>820.08</v>
      </c>
      <c r="R175" t="str">
        <f>"FARMÁCIA INDIANA LJ 07 (10007)"</f>
        <v>FARMÁCIA INDIANA LJ 07 (10007)</v>
      </c>
      <c r="S175" t="s">
        <v>27</v>
      </c>
      <c r="T175">
        <v>3723</v>
      </c>
      <c r="U175">
        <v>3140</v>
      </c>
      <c r="V175" t="s">
        <v>22</v>
      </c>
    </row>
    <row r="176" spans="1:22">
      <c r="A176" t="str">
        <f t="shared" si="55"/>
        <v>05/01/2026</v>
      </c>
      <c r="B176" t="str">
        <f t="shared" si="56"/>
        <v>ENTRADA</v>
      </c>
      <c r="C176" t="str">
        <f t="shared" si="57"/>
        <v>NFSE</v>
      </c>
      <c r="D176" t="str">
        <f t="shared" si="58"/>
        <v>4120</v>
      </c>
      <c r="E176" t="str">
        <f t="shared" si="59"/>
        <v>1</v>
      </c>
      <c r="F176" t="str">
        <f t="shared" si="53"/>
        <v>COM</v>
      </c>
      <c r="G176" t="str">
        <f t="shared" si="60"/>
        <v>FARMÁCIA INDIANA LJ 1 (10126)</v>
      </c>
      <c r="H176" t="s">
        <v>61</v>
      </c>
      <c r="I176" t="str">
        <f t="shared" si="61"/>
        <v>05/01/2026</v>
      </c>
      <c r="J176" t="str">
        <f t="shared" si="62"/>
        <v>26/12/2025</v>
      </c>
      <c r="K176">
        <v>46027</v>
      </c>
      <c r="N176">
        <v>303</v>
      </c>
      <c r="O176" t="s">
        <v>26</v>
      </c>
      <c r="Q176">
        <v>576.42999999999995</v>
      </c>
      <c r="R176" t="str">
        <f>"FARMÁCIA INDIANA LJ 11 (10008)"</f>
        <v>FARMÁCIA INDIANA LJ 11 (10008)</v>
      </c>
      <c r="S176" t="s">
        <v>27</v>
      </c>
      <c r="T176">
        <v>3723</v>
      </c>
      <c r="U176">
        <v>3140</v>
      </c>
      <c r="V176" t="s">
        <v>22</v>
      </c>
    </row>
    <row r="177" spans="1:22">
      <c r="A177" t="str">
        <f t="shared" si="55"/>
        <v>05/01/2026</v>
      </c>
      <c r="B177" t="str">
        <f t="shared" si="56"/>
        <v>ENTRADA</v>
      </c>
      <c r="C177" t="str">
        <f t="shared" si="57"/>
        <v>NFSE</v>
      </c>
      <c r="D177" t="str">
        <f t="shared" si="58"/>
        <v>4120</v>
      </c>
      <c r="E177" t="str">
        <f t="shared" si="59"/>
        <v>1</v>
      </c>
      <c r="F177" t="str">
        <f t="shared" si="53"/>
        <v>COM</v>
      </c>
      <c r="G177" t="str">
        <f t="shared" si="60"/>
        <v>FARMÁCIA INDIANA LJ 1 (10126)</v>
      </c>
      <c r="H177" t="s">
        <v>61</v>
      </c>
      <c r="I177" t="str">
        <f t="shared" si="61"/>
        <v>05/01/2026</v>
      </c>
      <c r="J177" t="str">
        <f t="shared" si="62"/>
        <v>26/12/2025</v>
      </c>
      <c r="K177">
        <v>46027</v>
      </c>
      <c r="N177">
        <v>303</v>
      </c>
      <c r="O177" t="s">
        <v>26</v>
      </c>
      <c r="Q177">
        <v>282.52</v>
      </c>
      <c r="R177" t="str">
        <f>"FARMÁCIA INDIANA LJ 14 (10009)"</f>
        <v>FARMÁCIA INDIANA LJ 14 (10009)</v>
      </c>
      <c r="S177" t="s">
        <v>27</v>
      </c>
      <c r="T177">
        <v>3723</v>
      </c>
      <c r="U177">
        <v>3140</v>
      </c>
      <c r="V177" t="s">
        <v>22</v>
      </c>
    </row>
    <row r="178" spans="1:22">
      <c r="A178" t="str">
        <f t="shared" si="55"/>
        <v>05/01/2026</v>
      </c>
      <c r="B178" t="str">
        <f t="shared" si="56"/>
        <v>ENTRADA</v>
      </c>
      <c r="C178" t="str">
        <f t="shared" si="57"/>
        <v>NFSE</v>
      </c>
      <c r="D178" t="str">
        <f t="shared" si="58"/>
        <v>4120</v>
      </c>
      <c r="E178" t="str">
        <f t="shared" si="59"/>
        <v>1</v>
      </c>
      <c r="F178" t="str">
        <f t="shared" si="53"/>
        <v>COM</v>
      </c>
      <c r="G178" t="str">
        <f t="shared" si="60"/>
        <v>FARMÁCIA INDIANA LJ 1 (10126)</v>
      </c>
      <c r="H178" t="s">
        <v>61</v>
      </c>
      <c r="I178" t="str">
        <f t="shared" si="61"/>
        <v>05/01/2026</v>
      </c>
      <c r="J178" t="str">
        <f t="shared" si="62"/>
        <v>26/12/2025</v>
      </c>
      <c r="K178">
        <v>46027</v>
      </c>
      <c r="N178">
        <v>303</v>
      </c>
      <c r="O178" t="s">
        <v>26</v>
      </c>
      <c r="Q178">
        <v>230.38</v>
      </c>
      <c r="R178" t="str">
        <f>"FARMÁCIA INDIANA LJ 18 (10011)"</f>
        <v>FARMÁCIA INDIANA LJ 18 (10011)</v>
      </c>
      <c r="S178" t="s">
        <v>27</v>
      </c>
      <c r="T178">
        <v>3723</v>
      </c>
      <c r="U178">
        <v>3140</v>
      </c>
      <c r="V178" t="s">
        <v>22</v>
      </c>
    </row>
    <row r="179" spans="1:22">
      <c r="A179" t="str">
        <f t="shared" si="55"/>
        <v>05/01/2026</v>
      </c>
      <c r="B179" t="str">
        <f t="shared" si="56"/>
        <v>ENTRADA</v>
      </c>
      <c r="C179" t="str">
        <f t="shared" si="57"/>
        <v>NFSE</v>
      </c>
      <c r="D179" t="str">
        <f t="shared" si="58"/>
        <v>4120</v>
      </c>
      <c r="E179" t="str">
        <f t="shared" si="59"/>
        <v>1</v>
      </c>
      <c r="F179" t="str">
        <f t="shared" si="53"/>
        <v>COM</v>
      </c>
      <c r="G179" t="str">
        <f t="shared" si="60"/>
        <v>FARMÁCIA INDIANA LJ 1 (10126)</v>
      </c>
      <c r="H179" t="s">
        <v>61</v>
      </c>
      <c r="I179" t="str">
        <f t="shared" si="61"/>
        <v>05/01/2026</v>
      </c>
      <c r="J179" t="str">
        <f t="shared" si="62"/>
        <v>26/12/2025</v>
      </c>
      <c r="K179">
        <v>46027</v>
      </c>
      <c r="N179">
        <v>303</v>
      </c>
      <c r="O179" t="s">
        <v>26</v>
      </c>
      <c r="Q179">
        <v>220.9</v>
      </c>
      <c r="R179" t="str">
        <f>"FARMÁCIA INDIANA LJ 19 (10012)"</f>
        <v>FARMÁCIA INDIANA LJ 19 (10012)</v>
      </c>
      <c r="S179" t="s">
        <v>27</v>
      </c>
      <c r="T179">
        <v>3723</v>
      </c>
      <c r="U179">
        <v>3140</v>
      </c>
      <c r="V179" t="s">
        <v>22</v>
      </c>
    </row>
    <row r="180" spans="1:22">
      <c r="A180" t="str">
        <f t="shared" si="55"/>
        <v>05/01/2026</v>
      </c>
      <c r="B180" t="str">
        <f t="shared" si="56"/>
        <v>ENTRADA</v>
      </c>
      <c r="C180" t="str">
        <f t="shared" si="57"/>
        <v>NFSE</v>
      </c>
      <c r="D180" t="str">
        <f t="shared" si="58"/>
        <v>4120</v>
      </c>
      <c r="E180" t="str">
        <f t="shared" si="59"/>
        <v>1</v>
      </c>
      <c r="F180" t="str">
        <f t="shared" si="53"/>
        <v>COM</v>
      </c>
      <c r="G180" t="str">
        <f t="shared" si="60"/>
        <v>FARMÁCIA INDIANA LJ 1 (10126)</v>
      </c>
      <c r="H180" t="s">
        <v>61</v>
      </c>
      <c r="I180" t="str">
        <f t="shared" si="61"/>
        <v>05/01/2026</v>
      </c>
      <c r="J180" t="str">
        <f t="shared" si="62"/>
        <v>26/12/2025</v>
      </c>
      <c r="K180">
        <v>46027</v>
      </c>
      <c r="N180">
        <v>303</v>
      </c>
      <c r="O180" t="s">
        <v>26</v>
      </c>
      <c r="Q180">
        <v>343.2</v>
      </c>
      <c r="R180" t="str">
        <f>"FARMÁCIA INDIANA LJ 40 (10016)"</f>
        <v>FARMÁCIA INDIANA LJ 40 (10016)</v>
      </c>
      <c r="S180" t="s">
        <v>27</v>
      </c>
      <c r="T180">
        <v>3723</v>
      </c>
      <c r="U180">
        <v>3140</v>
      </c>
      <c r="V180" t="s">
        <v>22</v>
      </c>
    </row>
    <row r="181" spans="1:22">
      <c r="A181" t="str">
        <f t="shared" si="55"/>
        <v>05/01/2026</v>
      </c>
      <c r="B181" t="str">
        <f t="shared" si="56"/>
        <v>ENTRADA</v>
      </c>
      <c r="C181" t="str">
        <f t="shared" si="57"/>
        <v>NFSE</v>
      </c>
      <c r="D181" t="str">
        <f t="shared" si="58"/>
        <v>4120</v>
      </c>
      <c r="E181" t="str">
        <f t="shared" si="59"/>
        <v>1</v>
      </c>
      <c r="F181" t="str">
        <f t="shared" si="53"/>
        <v>COM</v>
      </c>
      <c r="G181" t="str">
        <f t="shared" si="60"/>
        <v>FARMÁCIA INDIANA LJ 1 (10126)</v>
      </c>
      <c r="H181" t="s">
        <v>61</v>
      </c>
      <c r="I181" t="str">
        <f t="shared" si="61"/>
        <v>05/01/2026</v>
      </c>
      <c r="J181" t="str">
        <f t="shared" si="62"/>
        <v>26/12/2025</v>
      </c>
      <c r="K181">
        <v>46027</v>
      </c>
      <c r="N181">
        <v>303</v>
      </c>
      <c r="O181" t="s">
        <v>26</v>
      </c>
      <c r="Q181">
        <v>136.52000000000001</v>
      </c>
      <c r="R181" t="str">
        <f>"FARMÁCIA INDIANA LJ 59 (10026)"</f>
        <v>FARMÁCIA INDIANA LJ 59 (10026)</v>
      </c>
      <c r="S181" t="s">
        <v>27</v>
      </c>
      <c r="T181">
        <v>3723</v>
      </c>
      <c r="U181">
        <v>3140</v>
      </c>
      <c r="V181" t="s">
        <v>22</v>
      </c>
    </row>
    <row r="182" spans="1:22">
      <c r="A182" t="str">
        <f t="shared" si="55"/>
        <v>05/01/2026</v>
      </c>
      <c r="B182" t="str">
        <f t="shared" si="56"/>
        <v>ENTRADA</v>
      </c>
      <c r="C182" t="str">
        <f t="shared" si="57"/>
        <v>NFSE</v>
      </c>
      <c r="D182" t="str">
        <f t="shared" si="58"/>
        <v>4120</v>
      </c>
      <c r="E182" t="str">
        <f t="shared" si="59"/>
        <v>1</v>
      </c>
      <c r="F182" t="str">
        <f t="shared" si="53"/>
        <v>COM</v>
      </c>
      <c r="G182" t="str">
        <f t="shared" si="60"/>
        <v>FARMÁCIA INDIANA LJ 1 (10126)</v>
      </c>
      <c r="H182" t="s">
        <v>61</v>
      </c>
      <c r="I182" t="str">
        <f t="shared" si="61"/>
        <v>05/01/2026</v>
      </c>
      <c r="J182" t="str">
        <f t="shared" si="62"/>
        <v>26/12/2025</v>
      </c>
      <c r="K182">
        <v>46027</v>
      </c>
      <c r="N182">
        <v>303</v>
      </c>
      <c r="O182" t="s">
        <v>26</v>
      </c>
      <c r="Q182">
        <v>269.25</v>
      </c>
      <c r="R182" t="str">
        <f>"FARMÁCIA INDIANA LJ 61 (10027)"</f>
        <v>FARMÁCIA INDIANA LJ 61 (10027)</v>
      </c>
      <c r="S182" t="s">
        <v>27</v>
      </c>
      <c r="T182">
        <v>3723</v>
      </c>
      <c r="U182">
        <v>3140</v>
      </c>
      <c r="V182" t="s">
        <v>22</v>
      </c>
    </row>
    <row r="183" spans="1:22">
      <c r="A183" t="str">
        <f t="shared" si="55"/>
        <v>05/01/2026</v>
      </c>
      <c r="B183" t="str">
        <f t="shared" si="56"/>
        <v>ENTRADA</v>
      </c>
      <c r="C183" t="str">
        <f t="shared" si="57"/>
        <v>NFSE</v>
      </c>
      <c r="D183" t="str">
        <f t="shared" si="58"/>
        <v>4120</v>
      </c>
      <c r="E183" t="str">
        <f t="shared" si="59"/>
        <v>1</v>
      </c>
      <c r="F183" t="str">
        <f t="shared" si="53"/>
        <v>COM</v>
      </c>
      <c r="G183" t="str">
        <f t="shared" si="60"/>
        <v>FARMÁCIA INDIANA LJ 1 (10126)</v>
      </c>
      <c r="H183" t="s">
        <v>61</v>
      </c>
      <c r="I183" t="str">
        <f t="shared" si="61"/>
        <v>05/01/2026</v>
      </c>
      <c r="J183" t="str">
        <f t="shared" si="62"/>
        <v>26/12/2025</v>
      </c>
      <c r="K183">
        <v>46027</v>
      </c>
      <c r="N183">
        <v>303</v>
      </c>
      <c r="O183" t="s">
        <v>26</v>
      </c>
      <c r="Q183">
        <v>292.95</v>
      </c>
      <c r="R183" t="str">
        <f>"FARMÁCIA INDIANA LJ 62 (10028)"</f>
        <v>FARMÁCIA INDIANA LJ 62 (10028)</v>
      </c>
      <c r="S183" t="s">
        <v>27</v>
      </c>
      <c r="T183">
        <v>3723</v>
      </c>
      <c r="U183">
        <v>3140</v>
      </c>
      <c r="V183" t="s">
        <v>22</v>
      </c>
    </row>
    <row r="184" spans="1:22">
      <c r="A184" t="str">
        <f t="shared" si="55"/>
        <v>05/01/2026</v>
      </c>
      <c r="B184" t="str">
        <f t="shared" si="56"/>
        <v>ENTRADA</v>
      </c>
      <c r="C184" t="str">
        <f t="shared" si="57"/>
        <v>NFSE</v>
      </c>
      <c r="D184" t="str">
        <f t="shared" si="58"/>
        <v>4120</v>
      </c>
      <c r="E184" t="str">
        <f t="shared" si="59"/>
        <v>1</v>
      </c>
      <c r="F184" t="str">
        <f t="shared" si="53"/>
        <v>COM</v>
      </c>
      <c r="G184" t="str">
        <f t="shared" si="60"/>
        <v>FARMÁCIA INDIANA LJ 1 (10126)</v>
      </c>
      <c r="H184" t="s">
        <v>61</v>
      </c>
      <c r="I184" t="str">
        <f t="shared" si="61"/>
        <v>05/01/2026</v>
      </c>
      <c r="J184" t="str">
        <f t="shared" si="62"/>
        <v>26/12/2025</v>
      </c>
      <c r="K184">
        <v>46027</v>
      </c>
      <c r="N184">
        <v>303</v>
      </c>
      <c r="O184" t="s">
        <v>26</v>
      </c>
      <c r="Q184">
        <v>85.33</v>
      </c>
      <c r="R184" t="str">
        <f>"FARMÁCIA INDIANA LJ 64 (10029)"</f>
        <v>FARMÁCIA INDIANA LJ 64 (10029)</v>
      </c>
      <c r="S184" t="s">
        <v>27</v>
      </c>
      <c r="T184">
        <v>3723</v>
      </c>
      <c r="U184">
        <v>3140</v>
      </c>
      <c r="V184" t="s">
        <v>22</v>
      </c>
    </row>
    <row r="185" spans="1:22">
      <c r="A185" t="str">
        <f t="shared" si="55"/>
        <v>05/01/2026</v>
      </c>
      <c r="B185" t="str">
        <f t="shared" si="56"/>
        <v>ENTRADA</v>
      </c>
      <c r="C185" t="str">
        <f t="shared" si="57"/>
        <v>NFSE</v>
      </c>
      <c r="D185" t="str">
        <f t="shared" si="58"/>
        <v>4120</v>
      </c>
      <c r="E185" t="str">
        <f t="shared" si="59"/>
        <v>1</v>
      </c>
      <c r="F185" t="str">
        <f t="shared" si="53"/>
        <v>COM</v>
      </c>
      <c r="G185" t="str">
        <f t="shared" si="60"/>
        <v>FARMÁCIA INDIANA LJ 1 (10126)</v>
      </c>
      <c r="H185" t="s">
        <v>61</v>
      </c>
      <c r="I185" t="str">
        <f t="shared" si="61"/>
        <v>05/01/2026</v>
      </c>
      <c r="J185" t="str">
        <f t="shared" si="62"/>
        <v>26/12/2025</v>
      </c>
      <c r="K185">
        <v>46027</v>
      </c>
      <c r="N185">
        <v>303</v>
      </c>
      <c r="O185" t="s">
        <v>26</v>
      </c>
      <c r="Q185">
        <v>67.31</v>
      </c>
      <c r="R185" t="str">
        <f>"FARMÁCIA INDIANA LJ 97 (10040)"</f>
        <v>FARMÁCIA INDIANA LJ 97 (10040)</v>
      </c>
      <c r="S185" t="s">
        <v>27</v>
      </c>
      <c r="T185">
        <v>3723</v>
      </c>
      <c r="U185">
        <v>3140</v>
      </c>
      <c r="V185" t="s">
        <v>22</v>
      </c>
    </row>
    <row r="186" spans="1:22">
      <c r="A186" t="str">
        <f t="shared" si="55"/>
        <v>05/01/2026</v>
      </c>
      <c r="B186" t="str">
        <f t="shared" si="56"/>
        <v>ENTRADA</v>
      </c>
      <c r="C186" t="str">
        <f t="shared" si="57"/>
        <v>NFSE</v>
      </c>
      <c r="D186" t="str">
        <f t="shared" si="58"/>
        <v>4120</v>
      </c>
      <c r="E186" t="str">
        <f t="shared" si="59"/>
        <v>1</v>
      </c>
      <c r="F186" t="str">
        <f t="shared" si="53"/>
        <v>COM</v>
      </c>
      <c r="G186" t="str">
        <f t="shared" si="60"/>
        <v>FARMÁCIA INDIANA LJ 1 (10126)</v>
      </c>
      <c r="H186" t="s">
        <v>61</v>
      </c>
      <c r="I186" t="str">
        <f t="shared" si="61"/>
        <v>05/01/2026</v>
      </c>
      <c r="J186" t="str">
        <f t="shared" si="62"/>
        <v>26/12/2025</v>
      </c>
      <c r="K186">
        <v>46027</v>
      </c>
      <c r="N186">
        <v>303</v>
      </c>
      <c r="O186" t="s">
        <v>26</v>
      </c>
      <c r="Q186">
        <v>200.04</v>
      </c>
      <c r="R186" t="str">
        <f>"FARMÁCIA INDIANA LJ 100 (10042)"</f>
        <v>FARMÁCIA INDIANA LJ 100 (10042)</v>
      </c>
      <c r="S186" t="s">
        <v>27</v>
      </c>
      <c r="T186">
        <v>3723</v>
      </c>
      <c r="U186">
        <v>3140</v>
      </c>
      <c r="V186" t="s">
        <v>22</v>
      </c>
    </row>
    <row r="187" spans="1:22">
      <c r="A187" t="str">
        <f t="shared" si="55"/>
        <v>05/01/2026</v>
      </c>
      <c r="B187" t="str">
        <f t="shared" si="56"/>
        <v>ENTRADA</v>
      </c>
      <c r="C187" t="str">
        <f t="shared" si="57"/>
        <v>NFSE</v>
      </c>
      <c r="D187" t="str">
        <f t="shared" si="58"/>
        <v>4120</v>
      </c>
      <c r="E187" t="str">
        <f t="shared" si="59"/>
        <v>1</v>
      </c>
      <c r="F187" t="str">
        <f t="shared" si="53"/>
        <v>COM</v>
      </c>
      <c r="G187" t="str">
        <f t="shared" si="60"/>
        <v>FARMÁCIA INDIANA LJ 1 (10126)</v>
      </c>
      <c r="H187" t="s">
        <v>61</v>
      </c>
      <c r="I187" t="str">
        <f t="shared" si="61"/>
        <v>05/01/2026</v>
      </c>
      <c r="J187" t="str">
        <f t="shared" si="62"/>
        <v>26/12/2025</v>
      </c>
      <c r="K187">
        <v>46027</v>
      </c>
      <c r="N187">
        <v>303</v>
      </c>
      <c r="O187" t="s">
        <v>26</v>
      </c>
      <c r="Q187">
        <v>432.32</v>
      </c>
      <c r="R187" t="str">
        <f>"FARMÁCIA INDIANA LJ 101 (10043)"</f>
        <v>FARMÁCIA INDIANA LJ 101 (10043)</v>
      </c>
      <c r="S187" t="s">
        <v>27</v>
      </c>
      <c r="T187">
        <v>3723</v>
      </c>
      <c r="U187">
        <v>3140</v>
      </c>
      <c r="V187" t="s">
        <v>22</v>
      </c>
    </row>
    <row r="188" spans="1:22">
      <c r="A188" t="str">
        <f t="shared" si="55"/>
        <v>05/01/2026</v>
      </c>
      <c r="B188" t="str">
        <f t="shared" si="56"/>
        <v>ENTRADA</v>
      </c>
      <c r="C188" t="str">
        <f t="shared" si="57"/>
        <v>NFSE</v>
      </c>
      <c r="D188" t="str">
        <f t="shared" si="58"/>
        <v>4120</v>
      </c>
      <c r="E188" t="str">
        <f t="shared" si="59"/>
        <v>1</v>
      </c>
      <c r="F188" t="str">
        <f t="shared" si="53"/>
        <v>COM</v>
      </c>
      <c r="G188" t="str">
        <f t="shared" si="60"/>
        <v>FARMÁCIA INDIANA LJ 1 (10126)</v>
      </c>
      <c r="H188" t="s">
        <v>61</v>
      </c>
      <c r="I188" t="str">
        <f t="shared" si="61"/>
        <v>05/01/2026</v>
      </c>
      <c r="J188" t="str">
        <f t="shared" si="62"/>
        <v>26/12/2025</v>
      </c>
      <c r="K188">
        <v>46027</v>
      </c>
      <c r="N188">
        <v>303</v>
      </c>
      <c r="O188" t="s">
        <v>26</v>
      </c>
      <c r="Q188">
        <v>44.56</v>
      </c>
      <c r="R188" t="str">
        <f>"FARMÁCIA INDIANA LJ 103 (10044)"</f>
        <v>FARMÁCIA INDIANA LJ 103 (10044)</v>
      </c>
      <c r="S188" t="s">
        <v>27</v>
      </c>
      <c r="T188">
        <v>3723</v>
      </c>
      <c r="U188">
        <v>3140</v>
      </c>
      <c r="V188" t="s">
        <v>22</v>
      </c>
    </row>
    <row r="189" spans="1:22">
      <c r="A189" t="str">
        <f t="shared" si="55"/>
        <v>05/01/2026</v>
      </c>
      <c r="B189" t="str">
        <f t="shared" si="56"/>
        <v>ENTRADA</v>
      </c>
      <c r="C189" t="str">
        <f t="shared" si="57"/>
        <v>NFSE</v>
      </c>
      <c r="D189" t="str">
        <f t="shared" si="58"/>
        <v>4120</v>
      </c>
      <c r="E189" t="str">
        <f t="shared" si="59"/>
        <v>1</v>
      </c>
      <c r="F189" t="str">
        <f t="shared" si="53"/>
        <v>COM</v>
      </c>
      <c r="G189" t="str">
        <f t="shared" si="60"/>
        <v>FARMÁCIA INDIANA LJ 1 (10126)</v>
      </c>
      <c r="H189" t="s">
        <v>61</v>
      </c>
      <c r="I189" t="str">
        <f t="shared" si="61"/>
        <v>05/01/2026</v>
      </c>
      <c r="J189" t="str">
        <f t="shared" si="62"/>
        <v>26/12/2025</v>
      </c>
      <c r="K189">
        <v>46027</v>
      </c>
      <c r="N189">
        <v>303</v>
      </c>
      <c r="O189" t="s">
        <v>26</v>
      </c>
      <c r="Q189">
        <v>146</v>
      </c>
      <c r="R189" t="str">
        <f>"FARMÁCIA INDIANA LJ 109 (10047)"</f>
        <v>FARMÁCIA INDIANA LJ 109 (10047)</v>
      </c>
      <c r="S189" t="s">
        <v>27</v>
      </c>
      <c r="T189">
        <v>3723</v>
      </c>
      <c r="U189">
        <v>3140</v>
      </c>
      <c r="V189" t="s">
        <v>22</v>
      </c>
    </row>
    <row r="190" spans="1:22">
      <c r="A190" t="str">
        <f t="shared" si="55"/>
        <v>05/01/2026</v>
      </c>
      <c r="B190" t="str">
        <f t="shared" si="56"/>
        <v>ENTRADA</v>
      </c>
      <c r="C190" t="str">
        <f t="shared" si="57"/>
        <v>NFSE</v>
      </c>
      <c r="D190" t="str">
        <f t="shared" si="58"/>
        <v>4120</v>
      </c>
      <c r="E190" t="str">
        <f t="shared" si="59"/>
        <v>1</v>
      </c>
      <c r="F190" t="str">
        <f t="shared" si="53"/>
        <v>COM</v>
      </c>
      <c r="G190" t="str">
        <f t="shared" si="60"/>
        <v>FARMÁCIA INDIANA LJ 1 (10126)</v>
      </c>
      <c r="H190" t="s">
        <v>61</v>
      </c>
      <c r="I190" t="str">
        <f t="shared" si="61"/>
        <v>05/01/2026</v>
      </c>
      <c r="J190" t="str">
        <f t="shared" si="62"/>
        <v>26/12/2025</v>
      </c>
      <c r="K190">
        <v>46027</v>
      </c>
      <c r="N190">
        <v>303</v>
      </c>
      <c r="O190" t="s">
        <v>26</v>
      </c>
      <c r="Q190">
        <v>375.44</v>
      </c>
      <c r="R190" t="str">
        <f>"FARMÁCIA INDIANA LJ 110 (10048)"</f>
        <v>FARMÁCIA INDIANA LJ 110 (10048)</v>
      </c>
      <c r="S190" t="s">
        <v>27</v>
      </c>
      <c r="T190">
        <v>3723</v>
      </c>
      <c r="U190">
        <v>3140</v>
      </c>
      <c r="V190" t="s">
        <v>22</v>
      </c>
    </row>
    <row r="191" spans="1:22">
      <c r="A191" t="str">
        <f t="shared" si="55"/>
        <v>05/01/2026</v>
      </c>
      <c r="B191" t="str">
        <f t="shared" si="56"/>
        <v>ENTRADA</v>
      </c>
      <c r="C191" t="str">
        <f t="shared" si="57"/>
        <v>NFSE</v>
      </c>
      <c r="D191" t="str">
        <f t="shared" si="58"/>
        <v>4120</v>
      </c>
      <c r="E191" t="str">
        <f t="shared" si="59"/>
        <v>1</v>
      </c>
      <c r="F191" t="str">
        <f t="shared" si="53"/>
        <v>COM</v>
      </c>
      <c r="G191" t="str">
        <f t="shared" si="60"/>
        <v>FARMÁCIA INDIANA LJ 1 (10126)</v>
      </c>
      <c r="H191" t="s">
        <v>61</v>
      </c>
      <c r="I191" t="str">
        <f t="shared" si="61"/>
        <v>05/01/2026</v>
      </c>
      <c r="J191" t="str">
        <f t="shared" si="62"/>
        <v>26/12/2025</v>
      </c>
      <c r="K191">
        <v>46027</v>
      </c>
      <c r="N191">
        <v>303</v>
      </c>
      <c r="O191" t="s">
        <v>26</v>
      </c>
      <c r="Q191">
        <v>65.42</v>
      </c>
      <c r="R191" t="str">
        <f>"FARMÁCIA INDIANA LJ 111 (10049)"</f>
        <v>FARMÁCIA INDIANA LJ 111 (10049)</v>
      </c>
      <c r="S191" t="s">
        <v>27</v>
      </c>
      <c r="T191">
        <v>3723</v>
      </c>
      <c r="U191">
        <v>3140</v>
      </c>
      <c r="V191" t="s">
        <v>22</v>
      </c>
    </row>
    <row r="192" spans="1:22">
      <c r="A192" t="str">
        <f t="shared" si="55"/>
        <v>05/01/2026</v>
      </c>
      <c r="B192" t="str">
        <f t="shared" si="56"/>
        <v>ENTRADA</v>
      </c>
      <c r="C192" t="str">
        <f t="shared" si="57"/>
        <v>NFSE</v>
      </c>
      <c r="D192" t="str">
        <f t="shared" si="58"/>
        <v>4120</v>
      </c>
      <c r="E192" t="str">
        <f t="shared" si="59"/>
        <v>1</v>
      </c>
      <c r="F192" t="str">
        <f t="shared" si="53"/>
        <v>COM</v>
      </c>
      <c r="G192" t="str">
        <f t="shared" si="60"/>
        <v>FARMÁCIA INDIANA LJ 1 (10126)</v>
      </c>
      <c r="H192" t="s">
        <v>61</v>
      </c>
      <c r="I192" t="str">
        <f t="shared" si="61"/>
        <v>05/01/2026</v>
      </c>
      <c r="J192" t="str">
        <f t="shared" si="62"/>
        <v>26/12/2025</v>
      </c>
      <c r="K192">
        <v>46027</v>
      </c>
      <c r="N192">
        <v>303</v>
      </c>
      <c r="O192" t="s">
        <v>26</v>
      </c>
      <c r="Q192">
        <v>99.55</v>
      </c>
      <c r="R192" t="str">
        <f>"FARMÁCIA INDIANA LJ 112 (10050)"</f>
        <v>FARMÁCIA INDIANA LJ 112 (10050)</v>
      </c>
      <c r="S192" t="s">
        <v>27</v>
      </c>
      <c r="T192">
        <v>3723</v>
      </c>
      <c r="U192">
        <v>3140</v>
      </c>
      <c r="V192" t="s">
        <v>22</v>
      </c>
    </row>
    <row r="193" spans="1:22">
      <c r="A193" t="str">
        <f t="shared" si="55"/>
        <v>05/01/2026</v>
      </c>
      <c r="B193" t="str">
        <f t="shared" si="56"/>
        <v>ENTRADA</v>
      </c>
      <c r="C193" t="str">
        <f t="shared" si="57"/>
        <v>NFSE</v>
      </c>
      <c r="D193" t="str">
        <f t="shared" si="58"/>
        <v>4120</v>
      </c>
      <c r="E193" t="str">
        <f t="shared" si="59"/>
        <v>1</v>
      </c>
      <c r="F193" t="str">
        <f t="shared" si="53"/>
        <v>COM</v>
      </c>
      <c r="G193" t="str">
        <f t="shared" si="60"/>
        <v>FARMÁCIA INDIANA LJ 1 (10126)</v>
      </c>
      <c r="H193" t="s">
        <v>61</v>
      </c>
      <c r="I193" t="str">
        <f t="shared" si="61"/>
        <v>05/01/2026</v>
      </c>
      <c r="J193" t="str">
        <f t="shared" si="62"/>
        <v>26/12/2025</v>
      </c>
      <c r="K193">
        <v>46027</v>
      </c>
      <c r="N193">
        <v>303</v>
      </c>
      <c r="O193" t="s">
        <v>26</v>
      </c>
      <c r="Q193">
        <v>99.55</v>
      </c>
      <c r="R193" t="str">
        <f>"FARMÁCIA INDIANA LJ 116 (10051)"</f>
        <v>FARMÁCIA INDIANA LJ 116 (10051)</v>
      </c>
      <c r="S193" t="s">
        <v>27</v>
      </c>
      <c r="T193">
        <v>3723</v>
      </c>
      <c r="U193">
        <v>3140</v>
      </c>
      <c r="V193" t="s">
        <v>22</v>
      </c>
    </row>
    <row r="194" spans="1:22">
      <c r="A194" t="str">
        <f t="shared" si="55"/>
        <v>05/01/2026</v>
      </c>
      <c r="B194" t="str">
        <f t="shared" si="56"/>
        <v>ENTRADA</v>
      </c>
      <c r="C194" t="str">
        <f t="shared" si="57"/>
        <v>NFSE</v>
      </c>
      <c r="D194" t="str">
        <f t="shared" si="58"/>
        <v>4120</v>
      </c>
      <c r="E194" t="str">
        <f t="shared" si="59"/>
        <v>1</v>
      </c>
      <c r="F194" t="str">
        <f t="shared" si="53"/>
        <v>COM</v>
      </c>
      <c r="G194" t="str">
        <f t="shared" si="60"/>
        <v>FARMÁCIA INDIANA LJ 1 (10126)</v>
      </c>
      <c r="H194" t="s">
        <v>61</v>
      </c>
      <c r="I194" t="str">
        <f t="shared" si="61"/>
        <v>05/01/2026</v>
      </c>
      <c r="J194" t="str">
        <f t="shared" si="62"/>
        <v>26/12/2025</v>
      </c>
      <c r="K194">
        <v>46027</v>
      </c>
      <c r="N194">
        <v>303</v>
      </c>
      <c r="O194" t="s">
        <v>26</v>
      </c>
      <c r="Q194">
        <v>96.7</v>
      </c>
      <c r="R194" t="str">
        <f>"FARMÁCIA INDIANA LJ 118 (10052)"</f>
        <v>FARMÁCIA INDIANA LJ 118 (10052)</v>
      </c>
      <c r="S194" t="s">
        <v>27</v>
      </c>
      <c r="T194">
        <v>3723</v>
      </c>
      <c r="U194">
        <v>3140</v>
      </c>
      <c r="V194" t="s">
        <v>22</v>
      </c>
    </row>
    <row r="195" spans="1:22">
      <c r="A195" t="str">
        <f t="shared" si="55"/>
        <v>05/01/2026</v>
      </c>
      <c r="B195" t="str">
        <f t="shared" si="56"/>
        <v>ENTRADA</v>
      </c>
      <c r="C195" t="str">
        <f t="shared" si="57"/>
        <v>NFSE</v>
      </c>
      <c r="D195" t="str">
        <f t="shared" si="58"/>
        <v>4120</v>
      </c>
      <c r="E195" t="str">
        <f t="shared" si="59"/>
        <v>1</v>
      </c>
      <c r="F195" t="str">
        <f t="shared" si="53"/>
        <v>COM</v>
      </c>
      <c r="G195" t="str">
        <f t="shared" si="60"/>
        <v>FARMÁCIA INDIANA LJ 1 (10126)</v>
      </c>
      <c r="H195" t="s">
        <v>61</v>
      </c>
      <c r="I195" t="str">
        <f t="shared" si="61"/>
        <v>05/01/2026</v>
      </c>
      <c r="J195" t="str">
        <f t="shared" si="62"/>
        <v>26/12/2025</v>
      </c>
      <c r="K195">
        <v>46027</v>
      </c>
      <c r="N195">
        <v>303</v>
      </c>
      <c r="O195" t="s">
        <v>26</v>
      </c>
      <c r="Q195">
        <v>99.55</v>
      </c>
      <c r="R195" t="str">
        <f>"FARMÁCIA INDIANA LJ 121 (10054)"</f>
        <v>FARMÁCIA INDIANA LJ 121 (10054)</v>
      </c>
      <c r="S195" t="s">
        <v>27</v>
      </c>
      <c r="T195">
        <v>3723</v>
      </c>
      <c r="U195">
        <v>3140</v>
      </c>
      <c r="V195" t="s">
        <v>22</v>
      </c>
    </row>
    <row r="196" spans="1:22">
      <c r="A196" t="str">
        <f t="shared" si="55"/>
        <v>05/01/2026</v>
      </c>
      <c r="B196" t="str">
        <f t="shared" si="56"/>
        <v>ENTRADA</v>
      </c>
      <c r="C196" t="str">
        <f t="shared" si="57"/>
        <v>NFSE</v>
      </c>
      <c r="D196" t="str">
        <f t="shared" si="58"/>
        <v>4120</v>
      </c>
      <c r="E196" t="str">
        <f t="shared" si="59"/>
        <v>1</v>
      </c>
      <c r="F196" t="str">
        <f t="shared" si="53"/>
        <v>COM</v>
      </c>
      <c r="G196" t="str">
        <f t="shared" si="60"/>
        <v>FARMÁCIA INDIANA LJ 1 (10126)</v>
      </c>
      <c r="H196" t="s">
        <v>61</v>
      </c>
      <c r="I196" t="str">
        <f t="shared" si="61"/>
        <v>05/01/2026</v>
      </c>
      <c r="J196" t="str">
        <f t="shared" si="62"/>
        <v>26/12/2025</v>
      </c>
      <c r="K196">
        <v>46027</v>
      </c>
      <c r="N196">
        <v>303</v>
      </c>
      <c r="O196" t="s">
        <v>26</v>
      </c>
      <c r="Q196">
        <v>99.55</v>
      </c>
      <c r="R196" t="str">
        <f>"FARMÁCIA INDIANA LJ 128 (10057)"</f>
        <v>FARMÁCIA INDIANA LJ 128 (10057)</v>
      </c>
      <c r="S196" t="s">
        <v>27</v>
      </c>
      <c r="T196">
        <v>3723</v>
      </c>
      <c r="U196">
        <v>3140</v>
      </c>
      <c r="V196" t="s">
        <v>22</v>
      </c>
    </row>
    <row r="197" spans="1:22">
      <c r="A197" t="str">
        <f t="shared" si="55"/>
        <v>05/01/2026</v>
      </c>
      <c r="B197" t="str">
        <f t="shared" si="56"/>
        <v>ENTRADA</v>
      </c>
      <c r="C197" t="str">
        <f t="shared" si="57"/>
        <v>NFSE</v>
      </c>
      <c r="D197" t="str">
        <f t="shared" si="58"/>
        <v>4120</v>
      </c>
      <c r="E197" t="str">
        <f t="shared" si="59"/>
        <v>1</v>
      </c>
      <c r="F197" t="str">
        <f t="shared" si="53"/>
        <v>COM</v>
      </c>
      <c r="G197" t="str">
        <f t="shared" si="60"/>
        <v>FARMÁCIA INDIANA LJ 1 (10126)</v>
      </c>
      <c r="H197" t="s">
        <v>61</v>
      </c>
      <c r="I197" t="str">
        <f t="shared" si="61"/>
        <v>05/01/2026</v>
      </c>
      <c r="J197" t="str">
        <f t="shared" si="62"/>
        <v>26/12/2025</v>
      </c>
      <c r="K197">
        <v>46027</v>
      </c>
      <c r="N197">
        <v>303</v>
      </c>
      <c r="O197" t="s">
        <v>26</v>
      </c>
      <c r="Q197">
        <v>18.010000000000002</v>
      </c>
      <c r="R197" t="str">
        <f>"FARMÁCIA INDIANA LJ 140 (10064)"</f>
        <v>FARMÁCIA INDIANA LJ 140 (10064)</v>
      </c>
      <c r="S197" t="s">
        <v>27</v>
      </c>
      <c r="T197">
        <v>3723</v>
      </c>
      <c r="U197">
        <v>3140</v>
      </c>
      <c r="V197" t="s">
        <v>22</v>
      </c>
    </row>
    <row r="198" spans="1:22">
      <c r="A198" t="str">
        <f t="shared" si="55"/>
        <v>05/01/2026</v>
      </c>
      <c r="B198" t="str">
        <f t="shared" si="56"/>
        <v>ENTRADA</v>
      </c>
      <c r="C198" t="str">
        <f t="shared" si="57"/>
        <v>NFSE</v>
      </c>
      <c r="D198" t="str">
        <f t="shared" si="58"/>
        <v>4120</v>
      </c>
      <c r="E198" t="str">
        <f t="shared" si="59"/>
        <v>1</v>
      </c>
      <c r="F198" t="str">
        <f t="shared" si="53"/>
        <v>COM</v>
      </c>
      <c r="G198" t="str">
        <f t="shared" si="60"/>
        <v>FARMÁCIA INDIANA LJ 1 (10126)</v>
      </c>
      <c r="H198" t="s">
        <v>61</v>
      </c>
      <c r="I198" t="str">
        <f t="shared" si="61"/>
        <v>05/01/2026</v>
      </c>
      <c r="J198" t="str">
        <f t="shared" si="62"/>
        <v>26/12/2025</v>
      </c>
      <c r="K198">
        <v>46027</v>
      </c>
      <c r="N198">
        <v>303</v>
      </c>
      <c r="O198" t="s">
        <v>26</v>
      </c>
      <c r="Q198">
        <v>13.27</v>
      </c>
      <c r="R198" t="str">
        <f>"FARMÁCIA INDIANA LJ 141 (10065)"</f>
        <v>FARMÁCIA INDIANA LJ 141 (10065)</v>
      </c>
      <c r="S198" t="s">
        <v>27</v>
      </c>
      <c r="T198">
        <v>3723</v>
      </c>
      <c r="U198">
        <v>3140</v>
      </c>
      <c r="V198" t="s">
        <v>22</v>
      </c>
    </row>
    <row r="199" spans="1:22">
      <c r="A199" t="str">
        <f t="shared" si="55"/>
        <v>05/01/2026</v>
      </c>
      <c r="B199" t="str">
        <f t="shared" si="56"/>
        <v>ENTRADA</v>
      </c>
      <c r="C199" t="str">
        <f t="shared" si="57"/>
        <v>NFSE</v>
      </c>
      <c r="D199" t="str">
        <f t="shared" si="58"/>
        <v>4120</v>
      </c>
      <c r="E199" t="str">
        <f t="shared" si="59"/>
        <v>1</v>
      </c>
      <c r="F199" t="str">
        <f t="shared" ref="F199:F230" si="63">"COM"</f>
        <v>COM</v>
      </c>
      <c r="G199" t="str">
        <f t="shared" si="60"/>
        <v>FARMÁCIA INDIANA LJ 1 (10126)</v>
      </c>
      <c r="H199" t="s">
        <v>61</v>
      </c>
      <c r="I199" t="str">
        <f t="shared" si="61"/>
        <v>05/01/2026</v>
      </c>
      <c r="J199" t="str">
        <f t="shared" si="62"/>
        <v>26/12/2025</v>
      </c>
      <c r="K199">
        <v>46027</v>
      </c>
      <c r="N199">
        <v>303</v>
      </c>
      <c r="O199" t="s">
        <v>26</v>
      </c>
      <c r="Q199">
        <v>550.83000000000004</v>
      </c>
      <c r="R199" t="str">
        <f>"FARMÁCIA INDIANA LJ 142 (10066)"</f>
        <v>FARMÁCIA INDIANA LJ 142 (10066)</v>
      </c>
      <c r="S199" t="s">
        <v>27</v>
      </c>
      <c r="T199">
        <v>3723</v>
      </c>
      <c r="U199">
        <v>3140</v>
      </c>
      <c r="V199" t="s">
        <v>22</v>
      </c>
    </row>
    <row r="200" spans="1:22">
      <c r="A200" t="str">
        <f t="shared" si="55"/>
        <v>05/01/2026</v>
      </c>
      <c r="B200" t="str">
        <f t="shared" si="56"/>
        <v>ENTRADA</v>
      </c>
      <c r="C200" t="str">
        <f t="shared" si="57"/>
        <v>NFSE</v>
      </c>
      <c r="D200" t="str">
        <f t="shared" si="58"/>
        <v>4120</v>
      </c>
      <c r="E200" t="str">
        <f t="shared" si="59"/>
        <v>1</v>
      </c>
      <c r="F200" t="str">
        <f t="shared" si="63"/>
        <v>COM</v>
      </c>
      <c r="G200" t="str">
        <f t="shared" si="60"/>
        <v>FARMÁCIA INDIANA LJ 1 (10126)</v>
      </c>
      <c r="H200" t="s">
        <v>61</v>
      </c>
      <c r="I200" t="str">
        <f t="shared" si="61"/>
        <v>05/01/2026</v>
      </c>
      <c r="J200" t="str">
        <f t="shared" si="62"/>
        <v>26/12/2025</v>
      </c>
      <c r="K200">
        <v>46027</v>
      </c>
      <c r="N200">
        <v>303</v>
      </c>
      <c r="O200" t="s">
        <v>26</v>
      </c>
      <c r="Q200">
        <v>67.31</v>
      </c>
      <c r="R200" t="str">
        <f>"FARMÁCIA INDIANA LJ 143 (10067)"</f>
        <v>FARMÁCIA INDIANA LJ 143 (10067)</v>
      </c>
      <c r="S200" t="s">
        <v>27</v>
      </c>
      <c r="T200">
        <v>3723</v>
      </c>
      <c r="U200">
        <v>3140</v>
      </c>
      <c r="V200" t="s">
        <v>22</v>
      </c>
    </row>
    <row r="201" spans="1:22">
      <c r="A201" t="str">
        <f t="shared" si="55"/>
        <v>05/01/2026</v>
      </c>
      <c r="B201" t="str">
        <f t="shared" si="56"/>
        <v>ENTRADA</v>
      </c>
      <c r="C201" t="str">
        <f t="shared" si="57"/>
        <v>NFSE</v>
      </c>
      <c r="D201" t="str">
        <f t="shared" si="58"/>
        <v>4120</v>
      </c>
      <c r="E201" t="str">
        <f t="shared" si="59"/>
        <v>1</v>
      </c>
      <c r="F201" t="str">
        <f t="shared" si="63"/>
        <v>COM</v>
      </c>
      <c r="G201" t="str">
        <f t="shared" si="60"/>
        <v>FARMÁCIA INDIANA LJ 1 (10126)</v>
      </c>
      <c r="H201" t="s">
        <v>61</v>
      </c>
      <c r="I201" t="str">
        <f t="shared" si="61"/>
        <v>05/01/2026</v>
      </c>
      <c r="J201" t="str">
        <f t="shared" si="62"/>
        <v>26/12/2025</v>
      </c>
      <c r="K201">
        <v>46027</v>
      </c>
      <c r="N201">
        <v>303</v>
      </c>
      <c r="O201" t="s">
        <v>26</v>
      </c>
      <c r="Q201">
        <v>204.78</v>
      </c>
      <c r="R201" t="str">
        <f>"FARMÁCIA INDIANA LJ 152 (10069)"</f>
        <v>FARMÁCIA INDIANA LJ 152 (10069)</v>
      </c>
      <c r="S201" t="s">
        <v>27</v>
      </c>
      <c r="T201">
        <v>3723</v>
      </c>
      <c r="U201">
        <v>3140</v>
      </c>
      <c r="V201" t="s">
        <v>22</v>
      </c>
    </row>
    <row r="202" spans="1:22">
      <c r="A202" t="str">
        <f t="shared" si="55"/>
        <v>05/01/2026</v>
      </c>
      <c r="B202" t="str">
        <f t="shared" si="56"/>
        <v>ENTRADA</v>
      </c>
      <c r="C202" t="str">
        <f t="shared" si="57"/>
        <v>NFSE</v>
      </c>
      <c r="D202" t="str">
        <f t="shared" si="58"/>
        <v>4120</v>
      </c>
      <c r="E202" t="str">
        <f t="shared" si="59"/>
        <v>1</v>
      </c>
      <c r="F202" t="str">
        <f t="shared" si="63"/>
        <v>COM</v>
      </c>
      <c r="G202" t="str">
        <f t="shared" si="60"/>
        <v>FARMÁCIA INDIANA LJ 1 (10126)</v>
      </c>
      <c r="H202" t="s">
        <v>61</v>
      </c>
      <c r="I202" t="str">
        <f t="shared" si="61"/>
        <v>05/01/2026</v>
      </c>
      <c r="J202" t="str">
        <f t="shared" si="62"/>
        <v>26/12/2025</v>
      </c>
      <c r="K202">
        <v>46027</v>
      </c>
      <c r="N202">
        <v>303</v>
      </c>
      <c r="O202" t="s">
        <v>26</v>
      </c>
      <c r="Q202">
        <v>24.65</v>
      </c>
      <c r="R202" t="str">
        <f>"FARMÁCIA INDIANA LJ 154 (10070)"</f>
        <v>FARMÁCIA INDIANA LJ 154 (10070)</v>
      </c>
      <c r="S202" t="s">
        <v>27</v>
      </c>
      <c r="T202">
        <v>3723</v>
      </c>
      <c r="U202">
        <v>3140</v>
      </c>
      <c r="V202" t="s">
        <v>22</v>
      </c>
    </row>
    <row r="203" spans="1:22">
      <c r="A203" t="str">
        <f t="shared" si="55"/>
        <v>05/01/2026</v>
      </c>
      <c r="B203" t="str">
        <f t="shared" si="56"/>
        <v>ENTRADA</v>
      </c>
      <c r="C203" t="str">
        <f t="shared" si="57"/>
        <v>NFSE</v>
      </c>
      <c r="D203" t="str">
        <f t="shared" si="58"/>
        <v>4120</v>
      </c>
      <c r="E203" t="str">
        <f t="shared" si="59"/>
        <v>1</v>
      </c>
      <c r="F203" t="str">
        <f t="shared" si="63"/>
        <v>COM</v>
      </c>
      <c r="G203" t="str">
        <f t="shared" si="60"/>
        <v>FARMÁCIA INDIANA LJ 1 (10126)</v>
      </c>
      <c r="H203" t="s">
        <v>61</v>
      </c>
      <c r="I203" t="str">
        <f t="shared" si="61"/>
        <v>05/01/2026</v>
      </c>
      <c r="J203" t="str">
        <f t="shared" si="62"/>
        <v>26/12/2025</v>
      </c>
      <c r="K203">
        <v>46027</v>
      </c>
      <c r="N203">
        <v>303</v>
      </c>
      <c r="O203" t="s">
        <v>26</v>
      </c>
      <c r="Q203">
        <v>214.26</v>
      </c>
      <c r="R203" t="str">
        <f>"FARMÁCIA INDIANA LJ 171 (10074)"</f>
        <v>FARMÁCIA INDIANA LJ 171 (10074)</v>
      </c>
      <c r="S203" t="s">
        <v>27</v>
      </c>
      <c r="T203">
        <v>3723</v>
      </c>
      <c r="U203">
        <v>3140</v>
      </c>
      <c r="V203" t="s">
        <v>22</v>
      </c>
    </row>
    <row r="204" spans="1:22">
      <c r="A204" t="str">
        <f t="shared" si="55"/>
        <v>05/01/2026</v>
      </c>
      <c r="B204" t="str">
        <f t="shared" si="56"/>
        <v>ENTRADA</v>
      </c>
      <c r="C204" t="str">
        <f t="shared" si="57"/>
        <v>NFSE</v>
      </c>
      <c r="D204" t="str">
        <f t="shared" si="58"/>
        <v>4120</v>
      </c>
      <c r="E204" t="str">
        <f t="shared" si="59"/>
        <v>1</v>
      </c>
      <c r="F204" t="str">
        <f t="shared" si="63"/>
        <v>COM</v>
      </c>
      <c r="G204" t="str">
        <f t="shared" si="60"/>
        <v>FARMÁCIA INDIANA LJ 1 (10126)</v>
      </c>
      <c r="H204" t="s">
        <v>61</v>
      </c>
      <c r="I204" t="str">
        <f t="shared" si="61"/>
        <v>05/01/2026</v>
      </c>
      <c r="J204" t="str">
        <f t="shared" si="62"/>
        <v>26/12/2025</v>
      </c>
      <c r="K204">
        <v>46027</v>
      </c>
      <c r="N204">
        <v>303</v>
      </c>
      <c r="O204" t="s">
        <v>26</v>
      </c>
      <c r="Q204">
        <v>82.48</v>
      </c>
      <c r="R204" t="str">
        <f>"FARMÁCIA INDIANA LJ 175 (10076)"</f>
        <v>FARMÁCIA INDIANA LJ 175 (10076)</v>
      </c>
      <c r="S204" t="s">
        <v>27</v>
      </c>
      <c r="T204">
        <v>3723</v>
      </c>
      <c r="U204">
        <v>3140</v>
      </c>
      <c r="V204" t="s">
        <v>22</v>
      </c>
    </row>
    <row r="205" spans="1:22">
      <c r="A205" t="str">
        <f t="shared" ref="A205:A236" si="64">("05/01/2026")</f>
        <v>05/01/2026</v>
      </c>
      <c r="B205" t="str">
        <f t="shared" ref="B205:B236" si="65">"ENTRADA"</f>
        <v>ENTRADA</v>
      </c>
      <c r="C205" t="str">
        <f t="shared" ref="C205:C236" si="66">"NFSE"</f>
        <v>NFSE</v>
      </c>
      <c r="D205" t="str">
        <f t="shared" ref="D205:D221" si="67">"4120"</f>
        <v>4120</v>
      </c>
      <c r="E205" t="str">
        <f t="shared" ref="E205:E236" si="68">"1"</f>
        <v>1</v>
      </c>
      <c r="F205" t="str">
        <f t="shared" si="63"/>
        <v>COM</v>
      </c>
      <c r="G205" t="str">
        <f t="shared" ref="G205:G221" si="69">"FARMÁCIA INDIANA LJ 1 (10126)"</f>
        <v>FARMÁCIA INDIANA LJ 1 (10126)</v>
      </c>
      <c r="H205" t="s">
        <v>61</v>
      </c>
      <c r="I205" t="str">
        <f t="shared" ref="I205:I236" si="70">("05/01/2026")</f>
        <v>05/01/2026</v>
      </c>
      <c r="J205" t="str">
        <f t="shared" ref="J205:J236" si="71">("26/12/2025")</f>
        <v>26/12/2025</v>
      </c>
      <c r="K205">
        <v>46027</v>
      </c>
      <c r="N205">
        <v>303</v>
      </c>
      <c r="O205" t="s">
        <v>26</v>
      </c>
      <c r="Q205">
        <v>50.25</v>
      </c>
      <c r="R205" t="str">
        <f>"FARMÁCIA INDIANA LJ 182 (10079)"</f>
        <v>FARMÁCIA INDIANA LJ 182 (10079)</v>
      </c>
      <c r="S205" t="s">
        <v>27</v>
      </c>
      <c r="T205">
        <v>3723</v>
      </c>
      <c r="U205">
        <v>3140</v>
      </c>
      <c r="V205" t="s">
        <v>22</v>
      </c>
    </row>
    <row r="206" spans="1:22">
      <c r="A206" t="str">
        <f t="shared" si="64"/>
        <v>05/01/2026</v>
      </c>
      <c r="B206" t="str">
        <f t="shared" si="65"/>
        <v>ENTRADA</v>
      </c>
      <c r="C206" t="str">
        <f t="shared" si="66"/>
        <v>NFSE</v>
      </c>
      <c r="D206" t="str">
        <f t="shared" si="67"/>
        <v>4120</v>
      </c>
      <c r="E206" t="str">
        <f t="shared" si="68"/>
        <v>1</v>
      </c>
      <c r="F206" t="str">
        <f t="shared" si="63"/>
        <v>COM</v>
      </c>
      <c r="G206" t="str">
        <f t="shared" si="69"/>
        <v>FARMÁCIA INDIANA LJ 1 (10126)</v>
      </c>
      <c r="H206" t="s">
        <v>61</v>
      </c>
      <c r="I206" t="str">
        <f t="shared" si="70"/>
        <v>05/01/2026</v>
      </c>
      <c r="J206" t="str">
        <f t="shared" si="71"/>
        <v>26/12/2025</v>
      </c>
      <c r="K206">
        <v>46027</v>
      </c>
      <c r="N206">
        <v>303</v>
      </c>
      <c r="O206" t="s">
        <v>26</v>
      </c>
      <c r="Q206">
        <v>39.82</v>
      </c>
      <c r="R206" t="str">
        <f>"FARMÁCIA INDIANA LJ 184 (10080)"</f>
        <v>FARMÁCIA INDIANA LJ 184 (10080)</v>
      </c>
      <c r="S206" t="s">
        <v>27</v>
      </c>
      <c r="T206">
        <v>3723</v>
      </c>
      <c r="U206">
        <v>3140</v>
      </c>
      <c r="V206" t="s">
        <v>22</v>
      </c>
    </row>
    <row r="207" spans="1:22">
      <c r="A207" t="str">
        <f t="shared" si="64"/>
        <v>05/01/2026</v>
      </c>
      <c r="B207" t="str">
        <f t="shared" si="65"/>
        <v>ENTRADA</v>
      </c>
      <c r="C207" t="str">
        <f t="shared" si="66"/>
        <v>NFSE</v>
      </c>
      <c r="D207" t="str">
        <f t="shared" si="67"/>
        <v>4120</v>
      </c>
      <c r="E207" t="str">
        <f t="shared" si="68"/>
        <v>1</v>
      </c>
      <c r="F207" t="str">
        <f t="shared" si="63"/>
        <v>COM</v>
      </c>
      <c r="G207" t="str">
        <f t="shared" si="69"/>
        <v>FARMÁCIA INDIANA LJ 1 (10126)</v>
      </c>
      <c r="H207" t="s">
        <v>61</v>
      </c>
      <c r="I207" t="str">
        <f t="shared" si="70"/>
        <v>05/01/2026</v>
      </c>
      <c r="J207" t="str">
        <f t="shared" si="71"/>
        <v>26/12/2025</v>
      </c>
      <c r="K207">
        <v>46027</v>
      </c>
      <c r="N207">
        <v>303</v>
      </c>
      <c r="O207" t="s">
        <v>26</v>
      </c>
      <c r="Q207">
        <v>50.25</v>
      </c>
      <c r="R207" t="str">
        <f>"FARMÁCIA INDIANA LJ 186 (10081)"</f>
        <v>FARMÁCIA INDIANA LJ 186 (10081)</v>
      </c>
      <c r="S207" t="s">
        <v>27</v>
      </c>
      <c r="T207">
        <v>3723</v>
      </c>
      <c r="U207">
        <v>3140</v>
      </c>
      <c r="V207" t="s">
        <v>22</v>
      </c>
    </row>
    <row r="208" spans="1:22">
      <c r="A208" t="str">
        <f t="shared" si="64"/>
        <v>05/01/2026</v>
      </c>
      <c r="B208" t="str">
        <f t="shared" si="65"/>
        <v>ENTRADA</v>
      </c>
      <c r="C208" t="str">
        <f t="shared" si="66"/>
        <v>NFSE</v>
      </c>
      <c r="D208" t="str">
        <f t="shared" si="67"/>
        <v>4120</v>
      </c>
      <c r="E208" t="str">
        <f t="shared" si="68"/>
        <v>1</v>
      </c>
      <c r="F208" t="str">
        <f t="shared" si="63"/>
        <v>COM</v>
      </c>
      <c r="G208" t="str">
        <f t="shared" si="69"/>
        <v>FARMÁCIA INDIANA LJ 1 (10126)</v>
      </c>
      <c r="H208" t="s">
        <v>61</v>
      </c>
      <c r="I208" t="str">
        <f t="shared" si="70"/>
        <v>05/01/2026</v>
      </c>
      <c r="J208" t="str">
        <f t="shared" si="71"/>
        <v>26/12/2025</v>
      </c>
      <c r="K208">
        <v>46027</v>
      </c>
      <c r="N208">
        <v>303</v>
      </c>
      <c r="O208" t="s">
        <v>26</v>
      </c>
      <c r="Q208">
        <v>96.7</v>
      </c>
      <c r="R208" t="str">
        <f>"FARMÁCIA INDIANA LJ 192 (10082)"</f>
        <v>FARMÁCIA INDIANA LJ 192 (10082)</v>
      </c>
      <c r="S208" t="s">
        <v>27</v>
      </c>
      <c r="T208">
        <v>3723</v>
      </c>
      <c r="U208">
        <v>3140</v>
      </c>
      <c r="V208" t="s">
        <v>22</v>
      </c>
    </row>
    <row r="209" spans="1:22">
      <c r="A209" t="str">
        <f t="shared" si="64"/>
        <v>05/01/2026</v>
      </c>
      <c r="B209" t="str">
        <f t="shared" si="65"/>
        <v>ENTRADA</v>
      </c>
      <c r="C209" t="str">
        <f t="shared" si="66"/>
        <v>NFSE</v>
      </c>
      <c r="D209" t="str">
        <f t="shared" si="67"/>
        <v>4120</v>
      </c>
      <c r="E209" t="str">
        <f t="shared" si="68"/>
        <v>1</v>
      </c>
      <c r="F209" t="str">
        <f t="shared" si="63"/>
        <v>COM</v>
      </c>
      <c r="G209" t="str">
        <f t="shared" si="69"/>
        <v>FARMÁCIA INDIANA LJ 1 (10126)</v>
      </c>
      <c r="H209" t="s">
        <v>61</v>
      </c>
      <c r="I209" t="str">
        <f t="shared" si="70"/>
        <v>05/01/2026</v>
      </c>
      <c r="J209" t="str">
        <f t="shared" si="71"/>
        <v>26/12/2025</v>
      </c>
      <c r="K209">
        <v>46027</v>
      </c>
      <c r="N209">
        <v>303</v>
      </c>
      <c r="O209" t="s">
        <v>26</v>
      </c>
      <c r="Q209">
        <v>39.82</v>
      </c>
      <c r="R209" t="str">
        <f>"FARMÁCIA INDIANA LJ 195 (10083)"</f>
        <v>FARMÁCIA INDIANA LJ 195 (10083)</v>
      </c>
      <c r="S209" t="s">
        <v>27</v>
      </c>
      <c r="T209">
        <v>3723</v>
      </c>
      <c r="U209">
        <v>3140</v>
      </c>
      <c r="V209" t="s">
        <v>22</v>
      </c>
    </row>
    <row r="210" spans="1:22">
      <c r="A210" t="str">
        <f t="shared" si="64"/>
        <v>05/01/2026</v>
      </c>
      <c r="B210" t="str">
        <f t="shared" si="65"/>
        <v>ENTRADA</v>
      </c>
      <c r="C210" t="str">
        <f t="shared" si="66"/>
        <v>NFSE</v>
      </c>
      <c r="D210" t="str">
        <f t="shared" si="67"/>
        <v>4120</v>
      </c>
      <c r="E210" t="str">
        <f t="shared" si="68"/>
        <v>1</v>
      </c>
      <c r="F210" t="str">
        <f t="shared" si="63"/>
        <v>COM</v>
      </c>
      <c r="G210" t="str">
        <f t="shared" si="69"/>
        <v>FARMÁCIA INDIANA LJ 1 (10126)</v>
      </c>
      <c r="H210" t="s">
        <v>61</v>
      </c>
      <c r="I210" t="str">
        <f t="shared" si="70"/>
        <v>05/01/2026</v>
      </c>
      <c r="J210" t="str">
        <f t="shared" si="71"/>
        <v>26/12/2025</v>
      </c>
      <c r="K210">
        <v>46027</v>
      </c>
      <c r="N210">
        <v>303</v>
      </c>
      <c r="O210" t="s">
        <v>26</v>
      </c>
      <c r="Q210">
        <v>99.55</v>
      </c>
      <c r="R210" t="str">
        <f>"FARMÁCIA INDIANA LJ 202 (10085)"</f>
        <v>FARMÁCIA INDIANA LJ 202 (10085)</v>
      </c>
      <c r="S210" t="s">
        <v>27</v>
      </c>
      <c r="T210">
        <v>3723</v>
      </c>
      <c r="U210">
        <v>3140</v>
      </c>
      <c r="V210" t="s">
        <v>22</v>
      </c>
    </row>
    <row r="211" spans="1:22">
      <c r="A211" t="str">
        <f t="shared" si="64"/>
        <v>05/01/2026</v>
      </c>
      <c r="B211" t="str">
        <f t="shared" si="65"/>
        <v>ENTRADA</v>
      </c>
      <c r="C211" t="str">
        <f t="shared" si="66"/>
        <v>NFSE</v>
      </c>
      <c r="D211" t="str">
        <f t="shared" si="67"/>
        <v>4120</v>
      </c>
      <c r="E211" t="str">
        <f t="shared" si="68"/>
        <v>1</v>
      </c>
      <c r="F211" t="str">
        <f t="shared" si="63"/>
        <v>COM</v>
      </c>
      <c r="G211" t="str">
        <f t="shared" si="69"/>
        <v>FARMÁCIA INDIANA LJ 1 (10126)</v>
      </c>
      <c r="H211" t="s">
        <v>61</v>
      </c>
      <c r="I211" t="str">
        <f t="shared" si="70"/>
        <v>05/01/2026</v>
      </c>
      <c r="J211" t="str">
        <f t="shared" si="71"/>
        <v>26/12/2025</v>
      </c>
      <c r="K211">
        <v>46027</v>
      </c>
      <c r="N211">
        <v>303</v>
      </c>
      <c r="O211" t="s">
        <v>26</v>
      </c>
      <c r="Q211">
        <v>79.64</v>
      </c>
      <c r="R211" t="str">
        <f>"FARMÁCIA INDIANA LJ 204 (10087)"</f>
        <v>FARMÁCIA INDIANA LJ 204 (10087)</v>
      </c>
      <c r="S211" t="s">
        <v>27</v>
      </c>
      <c r="T211">
        <v>3723</v>
      </c>
      <c r="U211">
        <v>3140</v>
      </c>
      <c r="V211" t="s">
        <v>22</v>
      </c>
    </row>
    <row r="212" spans="1:22">
      <c r="A212" t="str">
        <f t="shared" si="64"/>
        <v>05/01/2026</v>
      </c>
      <c r="B212" t="str">
        <f t="shared" si="65"/>
        <v>ENTRADA</v>
      </c>
      <c r="C212" t="str">
        <f t="shared" si="66"/>
        <v>NFSE</v>
      </c>
      <c r="D212" t="str">
        <f t="shared" si="67"/>
        <v>4120</v>
      </c>
      <c r="E212" t="str">
        <f t="shared" si="68"/>
        <v>1</v>
      </c>
      <c r="F212" t="str">
        <f t="shared" si="63"/>
        <v>COM</v>
      </c>
      <c r="G212" t="str">
        <f t="shared" si="69"/>
        <v>FARMÁCIA INDIANA LJ 1 (10126)</v>
      </c>
      <c r="H212" t="s">
        <v>61</v>
      </c>
      <c r="I212" t="str">
        <f t="shared" si="70"/>
        <v>05/01/2026</v>
      </c>
      <c r="J212" t="str">
        <f t="shared" si="71"/>
        <v>26/12/2025</v>
      </c>
      <c r="K212">
        <v>46027</v>
      </c>
      <c r="N212">
        <v>303</v>
      </c>
      <c r="O212" t="s">
        <v>26</v>
      </c>
      <c r="Q212">
        <v>146.94999999999999</v>
      </c>
      <c r="R212" t="str">
        <f>"FARMÁCIA INDIANA LJ 207 (10088)"</f>
        <v>FARMÁCIA INDIANA LJ 207 (10088)</v>
      </c>
      <c r="S212" t="s">
        <v>27</v>
      </c>
      <c r="T212">
        <v>3723</v>
      </c>
      <c r="U212">
        <v>3140</v>
      </c>
      <c r="V212" t="s">
        <v>22</v>
      </c>
    </row>
    <row r="213" spans="1:22">
      <c r="A213" t="str">
        <f t="shared" si="64"/>
        <v>05/01/2026</v>
      </c>
      <c r="B213" t="str">
        <f t="shared" si="65"/>
        <v>ENTRADA</v>
      </c>
      <c r="C213" t="str">
        <f t="shared" si="66"/>
        <v>NFSE</v>
      </c>
      <c r="D213" t="str">
        <f t="shared" si="67"/>
        <v>4120</v>
      </c>
      <c r="E213" t="str">
        <f t="shared" si="68"/>
        <v>1</v>
      </c>
      <c r="F213" t="str">
        <f t="shared" si="63"/>
        <v>COM</v>
      </c>
      <c r="G213" t="str">
        <f t="shared" si="69"/>
        <v>FARMÁCIA INDIANA LJ 1 (10126)</v>
      </c>
      <c r="H213" t="s">
        <v>61</v>
      </c>
      <c r="I213" t="str">
        <f t="shared" si="70"/>
        <v>05/01/2026</v>
      </c>
      <c r="J213" t="str">
        <f t="shared" si="71"/>
        <v>26/12/2025</v>
      </c>
      <c r="K213">
        <v>46027</v>
      </c>
      <c r="N213">
        <v>303</v>
      </c>
      <c r="O213" t="s">
        <v>26</v>
      </c>
      <c r="Q213">
        <v>125.15</v>
      </c>
      <c r="R213" t="str">
        <f>"FARMÁCIA INDIANA LJ 209 (10089)"</f>
        <v>FARMÁCIA INDIANA LJ 209 (10089)</v>
      </c>
      <c r="S213" t="s">
        <v>27</v>
      </c>
      <c r="T213">
        <v>3723</v>
      </c>
      <c r="U213">
        <v>3140</v>
      </c>
      <c r="V213" t="s">
        <v>22</v>
      </c>
    </row>
    <row r="214" spans="1:22">
      <c r="A214" t="str">
        <f t="shared" si="64"/>
        <v>05/01/2026</v>
      </c>
      <c r="B214" t="str">
        <f t="shared" si="65"/>
        <v>ENTRADA</v>
      </c>
      <c r="C214" t="str">
        <f t="shared" si="66"/>
        <v>NFSE</v>
      </c>
      <c r="D214" t="str">
        <f t="shared" si="67"/>
        <v>4120</v>
      </c>
      <c r="E214" t="str">
        <f t="shared" si="68"/>
        <v>1</v>
      </c>
      <c r="F214" t="str">
        <f t="shared" si="63"/>
        <v>COM</v>
      </c>
      <c r="G214" t="str">
        <f t="shared" si="69"/>
        <v>FARMÁCIA INDIANA LJ 1 (10126)</v>
      </c>
      <c r="H214" t="s">
        <v>61</v>
      </c>
      <c r="I214" t="str">
        <f t="shared" si="70"/>
        <v>05/01/2026</v>
      </c>
      <c r="J214" t="str">
        <f t="shared" si="71"/>
        <v>26/12/2025</v>
      </c>
      <c r="K214">
        <v>46027</v>
      </c>
      <c r="N214">
        <v>303</v>
      </c>
      <c r="O214" t="s">
        <v>26</v>
      </c>
      <c r="Q214">
        <v>217.11</v>
      </c>
      <c r="R214" t="str">
        <f>"FARMÁCIA INDIANA LJ 219 (10091)"</f>
        <v>FARMÁCIA INDIANA LJ 219 (10091)</v>
      </c>
      <c r="S214" t="s">
        <v>27</v>
      </c>
      <c r="T214">
        <v>3723</v>
      </c>
      <c r="U214">
        <v>3140</v>
      </c>
      <c r="V214" t="s">
        <v>22</v>
      </c>
    </row>
    <row r="215" spans="1:22">
      <c r="A215" t="str">
        <f t="shared" si="64"/>
        <v>05/01/2026</v>
      </c>
      <c r="B215" t="str">
        <f t="shared" si="65"/>
        <v>ENTRADA</v>
      </c>
      <c r="C215" t="str">
        <f t="shared" si="66"/>
        <v>NFSE</v>
      </c>
      <c r="D215" t="str">
        <f t="shared" si="67"/>
        <v>4120</v>
      </c>
      <c r="E215" t="str">
        <f t="shared" si="68"/>
        <v>1</v>
      </c>
      <c r="F215" t="str">
        <f t="shared" si="63"/>
        <v>COM</v>
      </c>
      <c r="G215" t="str">
        <f t="shared" si="69"/>
        <v>FARMÁCIA INDIANA LJ 1 (10126)</v>
      </c>
      <c r="H215" t="s">
        <v>61</v>
      </c>
      <c r="I215" t="str">
        <f t="shared" si="70"/>
        <v>05/01/2026</v>
      </c>
      <c r="J215" t="str">
        <f t="shared" si="71"/>
        <v>26/12/2025</v>
      </c>
      <c r="K215">
        <v>46027</v>
      </c>
      <c r="N215">
        <v>303</v>
      </c>
      <c r="O215" t="s">
        <v>26</v>
      </c>
      <c r="Q215">
        <v>281.58</v>
      </c>
      <c r="R215" t="str">
        <f>"FARMÁCIA INDIANA LJ 220 (10092)"</f>
        <v>FARMÁCIA INDIANA LJ 220 (10092)</v>
      </c>
      <c r="S215" t="s">
        <v>27</v>
      </c>
      <c r="T215">
        <v>3723</v>
      </c>
      <c r="U215">
        <v>3140</v>
      </c>
      <c r="V215" t="s">
        <v>22</v>
      </c>
    </row>
    <row r="216" spans="1:22">
      <c r="A216" t="str">
        <f t="shared" si="64"/>
        <v>05/01/2026</v>
      </c>
      <c r="B216" t="str">
        <f t="shared" si="65"/>
        <v>ENTRADA</v>
      </c>
      <c r="C216" t="str">
        <f t="shared" si="66"/>
        <v>NFSE</v>
      </c>
      <c r="D216" t="str">
        <f t="shared" si="67"/>
        <v>4120</v>
      </c>
      <c r="E216" t="str">
        <f t="shared" si="68"/>
        <v>1</v>
      </c>
      <c r="F216" t="str">
        <f t="shared" si="63"/>
        <v>COM</v>
      </c>
      <c r="G216" t="str">
        <f t="shared" si="69"/>
        <v>FARMÁCIA INDIANA LJ 1 (10126)</v>
      </c>
      <c r="H216" t="s">
        <v>61</v>
      </c>
      <c r="I216" t="str">
        <f t="shared" si="70"/>
        <v>05/01/2026</v>
      </c>
      <c r="J216" t="str">
        <f t="shared" si="71"/>
        <v>26/12/2025</v>
      </c>
      <c r="K216">
        <v>46027</v>
      </c>
      <c r="N216">
        <v>303</v>
      </c>
      <c r="O216" t="s">
        <v>26</v>
      </c>
      <c r="Q216">
        <v>114.72</v>
      </c>
      <c r="R216" t="str">
        <f>"FARMÁCIA INDIANA LJ 185 (10141)"</f>
        <v>FARMÁCIA INDIANA LJ 185 (10141)</v>
      </c>
      <c r="S216" t="s">
        <v>27</v>
      </c>
      <c r="T216">
        <v>3723</v>
      </c>
      <c r="U216">
        <v>3140</v>
      </c>
      <c r="V216" t="s">
        <v>22</v>
      </c>
    </row>
    <row r="217" spans="1:22">
      <c r="A217" t="str">
        <f t="shared" si="64"/>
        <v>05/01/2026</v>
      </c>
      <c r="B217" t="str">
        <f t="shared" si="65"/>
        <v>ENTRADA</v>
      </c>
      <c r="C217" t="str">
        <f t="shared" si="66"/>
        <v>NFSE</v>
      </c>
      <c r="D217" t="str">
        <f t="shared" si="67"/>
        <v>4120</v>
      </c>
      <c r="E217" t="str">
        <f t="shared" si="68"/>
        <v>1</v>
      </c>
      <c r="F217" t="str">
        <f t="shared" si="63"/>
        <v>COM</v>
      </c>
      <c r="G217" t="str">
        <f t="shared" si="69"/>
        <v>FARMÁCIA INDIANA LJ 1 (10126)</v>
      </c>
      <c r="H217" t="s">
        <v>61</v>
      </c>
      <c r="I217" t="str">
        <f t="shared" si="70"/>
        <v>05/01/2026</v>
      </c>
      <c r="J217" t="str">
        <f t="shared" si="71"/>
        <v>26/12/2025</v>
      </c>
      <c r="K217">
        <v>46027</v>
      </c>
      <c r="N217">
        <v>303</v>
      </c>
      <c r="O217" t="s">
        <v>26</v>
      </c>
      <c r="Q217">
        <v>107.13</v>
      </c>
      <c r="R217" t="str">
        <f>"FARMÁCIA INDIANA LJ 205 (10150)"</f>
        <v>FARMÁCIA INDIANA LJ 205 (10150)</v>
      </c>
      <c r="S217" t="s">
        <v>27</v>
      </c>
      <c r="T217">
        <v>3723</v>
      </c>
      <c r="U217">
        <v>3140</v>
      </c>
      <c r="V217" t="s">
        <v>22</v>
      </c>
    </row>
    <row r="218" spans="1:22">
      <c r="A218" t="str">
        <f t="shared" si="64"/>
        <v>05/01/2026</v>
      </c>
      <c r="B218" t="str">
        <f t="shared" si="65"/>
        <v>ENTRADA</v>
      </c>
      <c r="C218" t="str">
        <f t="shared" si="66"/>
        <v>NFSE</v>
      </c>
      <c r="D218" t="str">
        <f t="shared" si="67"/>
        <v>4120</v>
      </c>
      <c r="E218" t="str">
        <f t="shared" si="68"/>
        <v>1</v>
      </c>
      <c r="F218" t="str">
        <f t="shared" si="63"/>
        <v>COM</v>
      </c>
      <c r="G218" t="str">
        <f t="shared" si="69"/>
        <v>FARMÁCIA INDIANA LJ 1 (10126)</v>
      </c>
      <c r="H218" t="s">
        <v>61</v>
      </c>
      <c r="I218" t="str">
        <f t="shared" si="70"/>
        <v>05/01/2026</v>
      </c>
      <c r="J218" t="str">
        <f t="shared" si="71"/>
        <v>26/12/2025</v>
      </c>
      <c r="K218">
        <v>46027</v>
      </c>
      <c r="N218">
        <v>303</v>
      </c>
      <c r="O218" t="s">
        <v>26</v>
      </c>
      <c r="Q218">
        <v>366.9</v>
      </c>
      <c r="R218" t="str">
        <f>"FARMÁCIA INDIANA LJ 172 (10161)"</f>
        <v>FARMÁCIA INDIANA LJ 172 (10161)</v>
      </c>
      <c r="S218" t="s">
        <v>27</v>
      </c>
      <c r="T218">
        <v>3723</v>
      </c>
      <c r="U218">
        <v>3140</v>
      </c>
      <c r="V218" t="s">
        <v>22</v>
      </c>
    </row>
    <row r="219" spans="1:22">
      <c r="A219" t="str">
        <f t="shared" si="64"/>
        <v>05/01/2026</v>
      </c>
      <c r="B219" t="str">
        <f t="shared" si="65"/>
        <v>ENTRADA</v>
      </c>
      <c r="C219" t="str">
        <f t="shared" si="66"/>
        <v>NFSE</v>
      </c>
      <c r="D219" t="str">
        <f t="shared" si="67"/>
        <v>4120</v>
      </c>
      <c r="E219" t="str">
        <f t="shared" si="68"/>
        <v>1</v>
      </c>
      <c r="F219" t="str">
        <f t="shared" si="63"/>
        <v>COM</v>
      </c>
      <c r="G219" t="str">
        <f t="shared" si="69"/>
        <v>FARMÁCIA INDIANA LJ 1 (10126)</v>
      </c>
      <c r="H219" t="s">
        <v>61</v>
      </c>
      <c r="I219" t="str">
        <f t="shared" si="70"/>
        <v>05/01/2026</v>
      </c>
      <c r="J219" t="str">
        <f t="shared" si="71"/>
        <v>26/12/2025</v>
      </c>
      <c r="K219">
        <v>46027</v>
      </c>
      <c r="N219">
        <v>303</v>
      </c>
      <c r="O219" t="s">
        <v>26</v>
      </c>
      <c r="Q219">
        <v>79.64</v>
      </c>
      <c r="R219" t="str">
        <f>"FARMÁCIA INDIANA LJ 266 (10186)"</f>
        <v>FARMÁCIA INDIANA LJ 266 (10186)</v>
      </c>
      <c r="S219" t="s">
        <v>27</v>
      </c>
      <c r="T219">
        <v>3723</v>
      </c>
      <c r="U219">
        <v>3140</v>
      </c>
      <c r="V219" t="s">
        <v>22</v>
      </c>
    </row>
    <row r="220" spans="1:22">
      <c r="A220" t="str">
        <f t="shared" si="64"/>
        <v>05/01/2026</v>
      </c>
      <c r="B220" t="str">
        <f t="shared" si="65"/>
        <v>ENTRADA</v>
      </c>
      <c r="C220" t="str">
        <f t="shared" si="66"/>
        <v>NFSE</v>
      </c>
      <c r="D220" t="str">
        <f t="shared" si="67"/>
        <v>4120</v>
      </c>
      <c r="E220" t="str">
        <f t="shared" si="68"/>
        <v>1</v>
      </c>
      <c r="F220" t="str">
        <f t="shared" si="63"/>
        <v>COM</v>
      </c>
      <c r="G220" t="str">
        <f t="shared" si="69"/>
        <v>FARMÁCIA INDIANA LJ 1 (10126)</v>
      </c>
      <c r="H220" t="s">
        <v>61</v>
      </c>
      <c r="I220" t="str">
        <f t="shared" si="70"/>
        <v>05/01/2026</v>
      </c>
      <c r="J220" t="str">
        <f t="shared" si="71"/>
        <v>26/12/2025</v>
      </c>
      <c r="K220">
        <v>46027</v>
      </c>
      <c r="N220">
        <v>303</v>
      </c>
      <c r="O220" t="s">
        <v>26</v>
      </c>
      <c r="Q220">
        <v>99.55</v>
      </c>
      <c r="R220" t="str">
        <f>"FARMÁCIA INDIANA LJ 134 (10271)"</f>
        <v>FARMÁCIA INDIANA LJ 134 (10271)</v>
      </c>
      <c r="S220" t="s">
        <v>27</v>
      </c>
      <c r="T220">
        <v>3723</v>
      </c>
      <c r="U220">
        <v>3140</v>
      </c>
      <c r="V220" t="s">
        <v>22</v>
      </c>
    </row>
    <row r="221" spans="1:22">
      <c r="A221" t="str">
        <f t="shared" si="64"/>
        <v>05/01/2026</v>
      </c>
      <c r="B221" t="str">
        <f t="shared" si="65"/>
        <v>ENTRADA</v>
      </c>
      <c r="C221" t="str">
        <f t="shared" si="66"/>
        <v>NFSE</v>
      </c>
      <c r="D221" t="str">
        <f t="shared" si="67"/>
        <v>4120</v>
      </c>
      <c r="E221" t="str">
        <f t="shared" si="68"/>
        <v>1</v>
      </c>
      <c r="F221" t="str">
        <f t="shared" si="63"/>
        <v>COM</v>
      </c>
      <c r="G221" t="str">
        <f t="shared" si="69"/>
        <v>FARMÁCIA INDIANA LJ 1 (10126)</v>
      </c>
      <c r="H221" t="s">
        <v>61</v>
      </c>
      <c r="I221" t="str">
        <f t="shared" si="70"/>
        <v>05/01/2026</v>
      </c>
      <c r="J221" t="str">
        <f t="shared" si="71"/>
        <v>26/12/2025</v>
      </c>
      <c r="K221">
        <v>46027</v>
      </c>
      <c r="N221">
        <v>303</v>
      </c>
      <c r="O221" t="s">
        <v>26</v>
      </c>
      <c r="Q221">
        <v>51.2</v>
      </c>
      <c r="R221" t="str">
        <f>"FARMÁCIA INDIANA LJ 284 (10280)"</f>
        <v>FARMÁCIA INDIANA LJ 284 (10280)</v>
      </c>
      <c r="S221" t="s">
        <v>27</v>
      </c>
      <c r="T221">
        <v>3723</v>
      </c>
      <c r="U221">
        <v>3140</v>
      </c>
      <c r="V221" t="s">
        <v>22</v>
      </c>
    </row>
    <row r="222" spans="1:22">
      <c r="A222" t="str">
        <f t="shared" si="64"/>
        <v>05/01/2026</v>
      </c>
      <c r="B222" t="str">
        <f t="shared" si="65"/>
        <v>ENTRADA</v>
      </c>
      <c r="C222" t="str">
        <f t="shared" si="66"/>
        <v>NFSE</v>
      </c>
      <c r="D222" t="str">
        <f t="shared" ref="D222:D238" si="72">"4121"</f>
        <v>4121</v>
      </c>
      <c r="E222" t="str">
        <f t="shared" si="68"/>
        <v>1</v>
      </c>
      <c r="F222" t="str">
        <f t="shared" si="63"/>
        <v>COM</v>
      </c>
      <c r="G222" t="str">
        <f t="shared" ref="G222:G238" si="73">"FARMÁCIA INDIANA LJ 30 (10127)"</f>
        <v>FARMÁCIA INDIANA LJ 30 (10127)</v>
      </c>
      <c r="H222" t="str">
        <f>"Serv.Prest. 22/12/2025 a 25/12/2025 - RPS: 1883 - NFSe: 4121"</f>
        <v>Serv.Prest. 22/12/2025 a 25/12/2025 - RPS: 1883 - NFSe: 4121</v>
      </c>
      <c r="I222" t="str">
        <f t="shared" si="70"/>
        <v>05/01/2026</v>
      </c>
      <c r="J222" t="str">
        <f t="shared" si="71"/>
        <v>26/12/2025</v>
      </c>
      <c r="K222" t="str">
        <f>("05/01/2026")</f>
        <v>05/01/2026</v>
      </c>
      <c r="L222">
        <v>2692.44</v>
      </c>
      <c r="M222">
        <v>2692.44</v>
      </c>
      <c r="N222">
        <v>303</v>
      </c>
      <c r="O222" t="str">
        <f>"RECEITAS COM ENTREGAS"</f>
        <v>RECEITAS COM ENTREGAS</v>
      </c>
      <c r="P222">
        <v>2692.44</v>
      </c>
      <c r="S222" t="str">
        <f>"RECEITAS COM ENTREGAS (303)"</f>
        <v>RECEITAS COM ENTREGAS (303)</v>
      </c>
      <c r="T222">
        <v>3724</v>
      </c>
      <c r="U222">
        <v>3141</v>
      </c>
      <c r="V222" t="s">
        <v>22</v>
      </c>
    </row>
    <row r="223" spans="1:22">
      <c r="A223" t="str">
        <f t="shared" si="64"/>
        <v>05/01/2026</v>
      </c>
      <c r="B223" t="str">
        <f t="shared" si="65"/>
        <v>ENTRADA</v>
      </c>
      <c r="C223" t="str">
        <f t="shared" si="66"/>
        <v>NFSE</v>
      </c>
      <c r="D223" t="str">
        <f t="shared" si="72"/>
        <v>4121</v>
      </c>
      <c r="E223" t="str">
        <f t="shared" si="68"/>
        <v>1</v>
      </c>
      <c r="F223" t="str">
        <f t="shared" si="63"/>
        <v>COM</v>
      </c>
      <c r="G223" t="str">
        <f t="shared" si="73"/>
        <v>FARMÁCIA INDIANA LJ 30 (10127)</v>
      </c>
      <c r="H223" t="s">
        <v>62</v>
      </c>
      <c r="I223" t="str">
        <f t="shared" si="70"/>
        <v>05/01/2026</v>
      </c>
      <c r="J223" t="str">
        <f t="shared" si="71"/>
        <v>26/12/2025</v>
      </c>
      <c r="K223">
        <v>46027</v>
      </c>
      <c r="N223">
        <v>303</v>
      </c>
      <c r="O223" t="s">
        <v>26</v>
      </c>
      <c r="Q223">
        <v>197.62</v>
      </c>
      <c r="R223" t="str">
        <f>"FARMÁCIA INDIANA LJ 34 (10014)"</f>
        <v>FARMÁCIA INDIANA LJ 34 (10014)</v>
      </c>
      <c r="S223" t="s">
        <v>27</v>
      </c>
      <c r="T223">
        <v>3724</v>
      </c>
      <c r="U223">
        <v>3141</v>
      </c>
      <c r="V223" t="s">
        <v>22</v>
      </c>
    </row>
    <row r="224" spans="1:22">
      <c r="A224" t="str">
        <f t="shared" si="64"/>
        <v>05/01/2026</v>
      </c>
      <c r="B224" t="str">
        <f t="shared" si="65"/>
        <v>ENTRADA</v>
      </c>
      <c r="C224" t="str">
        <f t="shared" si="66"/>
        <v>NFSE</v>
      </c>
      <c r="D224" t="str">
        <f t="shared" si="72"/>
        <v>4121</v>
      </c>
      <c r="E224" t="str">
        <f t="shared" si="68"/>
        <v>1</v>
      </c>
      <c r="F224" t="str">
        <f t="shared" si="63"/>
        <v>COM</v>
      </c>
      <c r="G224" t="str">
        <f t="shared" si="73"/>
        <v>FARMÁCIA INDIANA LJ 30 (10127)</v>
      </c>
      <c r="H224" t="s">
        <v>62</v>
      </c>
      <c r="I224" t="str">
        <f t="shared" si="70"/>
        <v>05/01/2026</v>
      </c>
      <c r="J224" t="str">
        <f t="shared" si="71"/>
        <v>26/12/2025</v>
      </c>
      <c r="K224">
        <v>46027</v>
      </c>
      <c r="N224">
        <v>303</v>
      </c>
      <c r="O224" t="s">
        <v>26</v>
      </c>
      <c r="Q224">
        <v>168.01</v>
      </c>
      <c r="R224" t="str">
        <f>"FARMÁCIA INDIANA LJ 35 (10015)"</f>
        <v>FARMÁCIA INDIANA LJ 35 (10015)</v>
      </c>
      <c r="S224" t="s">
        <v>27</v>
      </c>
      <c r="T224">
        <v>3724</v>
      </c>
      <c r="U224">
        <v>3141</v>
      </c>
      <c r="V224" t="s">
        <v>22</v>
      </c>
    </row>
    <row r="225" spans="1:22">
      <c r="A225" t="str">
        <f t="shared" si="64"/>
        <v>05/01/2026</v>
      </c>
      <c r="B225" t="str">
        <f t="shared" si="65"/>
        <v>ENTRADA</v>
      </c>
      <c r="C225" t="str">
        <f t="shared" si="66"/>
        <v>NFSE</v>
      </c>
      <c r="D225" t="str">
        <f t="shared" si="72"/>
        <v>4121</v>
      </c>
      <c r="E225" t="str">
        <f t="shared" si="68"/>
        <v>1</v>
      </c>
      <c r="F225" t="str">
        <f t="shared" si="63"/>
        <v>COM</v>
      </c>
      <c r="G225" t="str">
        <f t="shared" si="73"/>
        <v>FARMÁCIA INDIANA LJ 30 (10127)</v>
      </c>
      <c r="H225" t="s">
        <v>62</v>
      </c>
      <c r="I225" t="str">
        <f t="shared" si="70"/>
        <v>05/01/2026</v>
      </c>
      <c r="J225" t="str">
        <f t="shared" si="71"/>
        <v>26/12/2025</v>
      </c>
      <c r="K225">
        <v>46027</v>
      </c>
      <c r="N225">
        <v>303</v>
      </c>
      <c r="O225" t="s">
        <v>26</v>
      </c>
      <c r="Q225">
        <v>142.43</v>
      </c>
      <c r="R225" t="str">
        <f>"FARMÁCIA INDIANA LJ 48 (10018)"</f>
        <v>FARMÁCIA INDIANA LJ 48 (10018)</v>
      </c>
      <c r="S225" t="s">
        <v>27</v>
      </c>
      <c r="T225">
        <v>3724</v>
      </c>
      <c r="U225">
        <v>3141</v>
      </c>
      <c r="V225" t="s">
        <v>22</v>
      </c>
    </row>
    <row r="226" spans="1:22">
      <c r="A226" t="str">
        <f t="shared" si="64"/>
        <v>05/01/2026</v>
      </c>
      <c r="B226" t="str">
        <f t="shared" si="65"/>
        <v>ENTRADA</v>
      </c>
      <c r="C226" t="str">
        <f t="shared" si="66"/>
        <v>NFSE</v>
      </c>
      <c r="D226" t="str">
        <f t="shared" si="72"/>
        <v>4121</v>
      </c>
      <c r="E226" t="str">
        <f t="shared" si="68"/>
        <v>1</v>
      </c>
      <c r="F226" t="str">
        <f t="shared" si="63"/>
        <v>COM</v>
      </c>
      <c r="G226" t="str">
        <f t="shared" si="73"/>
        <v>FARMÁCIA INDIANA LJ 30 (10127)</v>
      </c>
      <c r="H226" t="s">
        <v>62</v>
      </c>
      <c r="I226" t="str">
        <f t="shared" si="70"/>
        <v>05/01/2026</v>
      </c>
      <c r="J226" t="str">
        <f t="shared" si="71"/>
        <v>26/12/2025</v>
      </c>
      <c r="K226">
        <v>46027</v>
      </c>
      <c r="N226">
        <v>303</v>
      </c>
      <c r="O226" t="s">
        <v>26</v>
      </c>
      <c r="Q226">
        <v>348.67</v>
      </c>
      <c r="R226" t="str">
        <f>"FARMÁCIA INDIANA LJ 65 (10030)"</f>
        <v>FARMÁCIA INDIANA LJ 65 (10030)</v>
      </c>
      <c r="S226" t="s">
        <v>27</v>
      </c>
      <c r="T226">
        <v>3724</v>
      </c>
      <c r="U226">
        <v>3141</v>
      </c>
      <c r="V226" t="s">
        <v>22</v>
      </c>
    </row>
    <row r="227" spans="1:22">
      <c r="A227" t="str">
        <f t="shared" si="64"/>
        <v>05/01/2026</v>
      </c>
      <c r="B227" t="str">
        <f t="shared" si="65"/>
        <v>ENTRADA</v>
      </c>
      <c r="C227" t="str">
        <f t="shared" si="66"/>
        <v>NFSE</v>
      </c>
      <c r="D227" t="str">
        <f t="shared" si="72"/>
        <v>4121</v>
      </c>
      <c r="E227" t="str">
        <f t="shared" si="68"/>
        <v>1</v>
      </c>
      <c r="F227" t="str">
        <f t="shared" si="63"/>
        <v>COM</v>
      </c>
      <c r="G227" t="str">
        <f t="shared" si="73"/>
        <v>FARMÁCIA INDIANA LJ 30 (10127)</v>
      </c>
      <c r="H227" t="s">
        <v>62</v>
      </c>
      <c r="I227" t="str">
        <f t="shared" si="70"/>
        <v>05/01/2026</v>
      </c>
      <c r="J227" t="str">
        <f t="shared" si="71"/>
        <v>26/12/2025</v>
      </c>
      <c r="K227">
        <v>46027</v>
      </c>
      <c r="N227">
        <v>303</v>
      </c>
      <c r="O227" t="s">
        <v>26</v>
      </c>
      <c r="Q227">
        <v>85.62</v>
      </c>
      <c r="R227" t="str">
        <f>"FARMÁCIA INDIANA LJ 77 (10034)"</f>
        <v>FARMÁCIA INDIANA LJ 77 (10034)</v>
      </c>
      <c r="S227" t="s">
        <v>27</v>
      </c>
      <c r="T227">
        <v>3724</v>
      </c>
      <c r="U227">
        <v>3141</v>
      </c>
      <c r="V227" t="s">
        <v>22</v>
      </c>
    </row>
    <row r="228" spans="1:22">
      <c r="A228" t="str">
        <f t="shared" si="64"/>
        <v>05/01/2026</v>
      </c>
      <c r="B228" t="str">
        <f t="shared" si="65"/>
        <v>ENTRADA</v>
      </c>
      <c r="C228" t="str">
        <f t="shared" si="66"/>
        <v>NFSE</v>
      </c>
      <c r="D228" t="str">
        <f t="shared" si="72"/>
        <v>4121</v>
      </c>
      <c r="E228" t="str">
        <f t="shared" si="68"/>
        <v>1</v>
      </c>
      <c r="F228" t="str">
        <f t="shared" si="63"/>
        <v>COM</v>
      </c>
      <c r="G228" t="str">
        <f t="shared" si="73"/>
        <v>FARMÁCIA INDIANA LJ 30 (10127)</v>
      </c>
      <c r="H228" t="s">
        <v>62</v>
      </c>
      <c r="I228" t="str">
        <f t="shared" si="70"/>
        <v>05/01/2026</v>
      </c>
      <c r="J228" t="str">
        <f t="shared" si="71"/>
        <v>26/12/2025</v>
      </c>
      <c r="K228">
        <v>46027</v>
      </c>
      <c r="N228">
        <v>303</v>
      </c>
      <c r="O228" t="s">
        <v>26</v>
      </c>
      <c r="Q228">
        <v>359.98</v>
      </c>
      <c r="R228" t="str">
        <f>"FARMÁCIA INDIANA LJ 91 (10037)"</f>
        <v>FARMÁCIA INDIANA LJ 91 (10037)</v>
      </c>
      <c r="S228" t="s">
        <v>27</v>
      </c>
      <c r="T228">
        <v>3724</v>
      </c>
      <c r="U228">
        <v>3141</v>
      </c>
      <c r="V228" t="s">
        <v>22</v>
      </c>
    </row>
    <row r="229" spans="1:22">
      <c r="A229" t="str">
        <f t="shared" si="64"/>
        <v>05/01/2026</v>
      </c>
      <c r="B229" t="str">
        <f t="shared" si="65"/>
        <v>ENTRADA</v>
      </c>
      <c r="C229" t="str">
        <f t="shared" si="66"/>
        <v>NFSE</v>
      </c>
      <c r="D229" t="str">
        <f t="shared" si="72"/>
        <v>4121</v>
      </c>
      <c r="E229" t="str">
        <f t="shared" si="68"/>
        <v>1</v>
      </c>
      <c r="F229" t="str">
        <f t="shared" si="63"/>
        <v>COM</v>
      </c>
      <c r="G229" t="str">
        <f t="shared" si="73"/>
        <v>FARMÁCIA INDIANA LJ 30 (10127)</v>
      </c>
      <c r="H229" t="s">
        <v>62</v>
      </c>
      <c r="I229" t="str">
        <f t="shared" si="70"/>
        <v>05/01/2026</v>
      </c>
      <c r="J229" t="str">
        <f t="shared" si="71"/>
        <v>26/12/2025</v>
      </c>
      <c r="K229">
        <v>46027</v>
      </c>
      <c r="N229">
        <v>303</v>
      </c>
      <c r="O229" t="s">
        <v>26</v>
      </c>
      <c r="Q229">
        <v>160.74</v>
      </c>
      <c r="R229" t="str">
        <f>"FARMÁCIA INDIANA LJ 95 (10039)"</f>
        <v>FARMÁCIA INDIANA LJ 95 (10039)</v>
      </c>
      <c r="S229" t="s">
        <v>27</v>
      </c>
      <c r="T229">
        <v>3724</v>
      </c>
      <c r="U229">
        <v>3141</v>
      </c>
      <c r="V229" t="s">
        <v>22</v>
      </c>
    </row>
    <row r="230" spans="1:22">
      <c r="A230" t="str">
        <f t="shared" si="64"/>
        <v>05/01/2026</v>
      </c>
      <c r="B230" t="str">
        <f t="shared" si="65"/>
        <v>ENTRADA</v>
      </c>
      <c r="C230" t="str">
        <f t="shared" si="66"/>
        <v>NFSE</v>
      </c>
      <c r="D230" t="str">
        <f t="shared" si="72"/>
        <v>4121</v>
      </c>
      <c r="E230" t="str">
        <f t="shared" si="68"/>
        <v>1</v>
      </c>
      <c r="F230" t="str">
        <f t="shared" si="63"/>
        <v>COM</v>
      </c>
      <c r="G230" t="str">
        <f t="shared" si="73"/>
        <v>FARMÁCIA INDIANA LJ 30 (10127)</v>
      </c>
      <c r="H230" t="s">
        <v>62</v>
      </c>
      <c r="I230" t="str">
        <f t="shared" si="70"/>
        <v>05/01/2026</v>
      </c>
      <c r="J230" t="str">
        <f t="shared" si="71"/>
        <v>26/12/2025</v>
      </c>
      <c r="K230">
        <v>46027</v>
      </c>
      <c r="N230">
        <v>303</v>
      </c>
      <c r="O230" t="s">
        <v>26</v>
      </c>
      <c r="Q230">
        <v>140.81</v>
      </c>
      <c r="R230" t="str">
        <f>"FARMÁCIA INDIANA LJ 145 (10068)"</f>
        <v>FARMÁCIA INDIANA LJ 145 (10068)</v>
      </c>
      <c r="S230" t="s">
        <v>27</v>
      </c>
      <c r="T230">
        <v>3724</v>
      </c>
      <c r="U230">
        <v>3141</v>
      </c>
      <c r="V230" t="s">
        <v>22</v>
      </c>
    </row>
    <row r="231" spans="1:22">
      <c r="A231" t="str">
        <f t="shared" si="64"/>
        <v>05/01/2026</v>
      </c>
      <c r="B231" t="str">
        <f t="shared" si="65"/>
        <v>ENTRADA</v>
      </c>
      <c r="C231" t="str">
        <f t="shared" si="66"/>
        <v>NFSE</v>
      </c>
      <c r="D231" t="str">
        <f t="shared" si="72"/>
        <v>4121</v>
      </c>
      <c r="E231" t="str">
        <f t="shared" si="68"/>
        <v>1</v>
      </c>
      <c r="F231" t="str">
        <f t="shared" ref="F231:F262" si="74">"COM"</f>
        <v>COM</v>
      </c>
      <c r="G231" t="str">
        <f t="shared" si="73"/>
        <v>FARMÁCIA INDIANA LJ 30 (10127)</v>
      </c>
      <c r="H231" t="s">
        <v>62</v>
      </c>
      <c r="I231" t="str">
        <f t="shared" si="70"/>
        <v>05/01/2026</v>
      </c>
      <c r="J231" t="str">
        <f t="shared" si="71"/>
        <v>26/12/2025</v>
      </c>
      <c r="K231">
        <v>46027</v>
      </c>
      <c r="N231">
        <v>303</v>
      </c>
      <c r="O231" t="s">
        <v>26</v>
      </c>
      <c r="Q231">
        <v>96.66</v>
      </c>
      <c r="R231" t="str">
        <f>"FARMÁCIA INDIANA LJ 169 (10073)"</f>
        <v>FARMÁCIA INDIANA LJ 169 (10073)</v>
      </c>
      <c r="S231" t="s">
        <v>27</v>
      </c>
      <c r="T231">
        <v>3724</v>
      </c>
      <c r="U231">
        <v>3141</v>
      </c>
      <c r="V231" t="s">
        <v>22</v>
      </c>
    </row>
    <row r="232" spans="1:22">
      <c r="A232" t="str">
        <f t="shared" si="64"/>
        <v>05/01/2026</v>
      </c>
      <c r="B232" t="str">
        <f t="shared" si="65"/>
        <v>ENTRADA</v>
      </c>
      <c r="C232" t="str">
        <f t="shared" si="66"/>
        <v>NFSE</v>
      </c>
      <c r="D232" t="str">
        <f t="shared" si="72"/>
        <v>4121</v>
      </c>
      <c r="E232" t="str">
        <f t="shared" si="68"/>
        <v>1</v>
      </c>
      <c r="F232" t="str">
        <f t="shared" si="74"/>
        <v>COM</v>
      </c>
      <c r="G232" t="str">
        <f t="shared" si="73"/>
        <v>FARMÁCIA INDIANA LJ 30 (10127)</v>
      </c>
      <c r="H232" t="s">
        <v>62</v>
      </c>
      <c r="I232" t="str">
        <f t="shared" si="70"/>
        <v>05/01/2026</v>
      </c>
      <c r="J232" t="str">
        <f t="shared" si="71"/>
        <v>26/12/2025</v>
      </c>
      <c r="K232">
        <v>46027</v>
      </c>
      <c r="N232">
        <v>303</v>
      </c>
      <c r="O232" t="s">
        <v>26</v>
      </c>
      <c r="Q232">
        <v>174.47</v>
      </c>
      <c r="R232" t="str">
        <f>"FARMÁCIA INDIANA LJ 173 (10075)"</f>
        <v>FARMÁCIA INDIANA LJ 173 (10075)</v>
      </c>
      <c r="S232" t="s">
        <v>27</v>
      </c>
      <c r="T232">
        <v>3724</v>
      </c>
      <c r="U232">
        <v>3141</v>
      </c>
      <c r="V232" t="s">
        <v>22</v>
      </c>
    </row>
    <row r="233" spans="1:22">
      <c r="A233" t="str">
        <f t="shared" si="64"/>
        <v>05/01/2026</v>
      </c>
      <c r="B233" t="str">
        <f t="shared" si="65"/>
        <v>ENTRADA</v>
      </c>
      <c r="C233" t="str">
        <f t="shared" si="66"/>
        <v>NFSE</v>
      </c>
      <c r="D233" t="str">
        <f t="shared" si="72"/>
        <v>4121</v>
      </c>
      <c r="E233" t="str">
        <f t="shared" si="68"/>
        <v>1</v>
      </c>
      <c r="F233" t="str">
        <f t="shared" si="74"/>
        <v>COM</v>
      </c>
      <c r="G233" t="str">
        <f t="shared" si="73"/>
        <v>FARMÁCIA INDIANA LJ 30 (10127)</v>
      </c>
      <c r="H233" t="s">
        <v>62</v>
      </c>
      <c r="I233" t="str">
        <f t="shared" si="70"/>
        <v>05/01/2026</v>
      </c>
      <c r="J233" t="str">
        <f t="shared" si="71"/>
        <v>26/12/2025</v>
      </c>
      <c r="K233">
        <v>46027</v>
      </c>
      <c r="N233">
        <v>303</v>
      </c>
      <c r="O233" t="s">
        <v>26</v>
      </c>
      <c r="Q233">
        <v>79.97</v>
      </c>
      <c r="R233" t="str">
        <f>"FARMÁCIA INDIANA LJ 213 (10090)"</f>
        <v>FARMÁCIA INDIANA LJ 213 (10090)</v>
      </c>
      <c r="S233" t="s">
        <v>27</v>
      </c>
      <c r="T233">
        <v>3724</v>
      </c>
      <c r="U233">
        <v>3141</v>
      </c>
      <c r="V233" t="s">
        <v>22</v>
      </c>
    </row>
    <row r="234" spans="1:22">
      <c r="A234" t="str">
        <f t="shared" si="64"/>
        <v>05/01/2026</v>
      </c>
      <c r="B234" t="str">
        <f t="shared" si="65"/>
        <v>ENTRADA</v>
      </c>
      <c r="C234" t="str">
        <f t="shared" si="66"/>
        <v>NFSE</v>
      </c>
      <c r="D234" t="str">
        <f t="shared" si="72"/>
        <v>4121</v>
      </c>
      <c r="E234" t="str">
        <f t="shared" si="68"/>
        <v>1</v>
      </c>
      <c r="F234" t="str">
        <f t="shared" si="74"/>
        <v>COM</v>
      </c>
      <c r="G234" t="str">
        <f t="shared" si="73"/>
        <v>FARMÁCIA INDIANA LJ 30 (10127)</v>
      </c>
      <c r="H234" t="s">
        <v>62</v>
      </c>
      <c r="I234" t="str">
        <f t="shared" si="70"/>
        <v>05/01/2026</v>
      </c>
      <c r="J234" t="str">
        <f t="shared" si="71"/>
        <v>26/12/2025</v>
      </c>
      <c r="K234">
        <v>46027</v>
      </c>
      <c r="N234">
        <v>303</v>
      </c>
      <c r="O234" t="s">
        <v>26</v>
      </c>
      <c r="Q234">
        <v>135.97</v>
      </c>
      <c r="R234" t="str">
        <f>"FARMÁCIA INDIANA LJ 200 (10155)"</f>
        <v>FARMÁCIA INDIANA LJ 200 (10155)</v>
      </c>
      <c r="S234" t="s">
        <v>27</v>
      </c>
      <c r="T234">
        <v>3724</v>
      </c>
      <c r="U234">
        <v>3141</v>
      </c>
      <c r="V234" t="s">
        <v>22</v>
      </c>
    </row>
    <row r="235" spans="1:22">
      <c r="A235" t="str">
        <f t="shared" si="64"/>
        <v>05/01/2026</v>
      </c>
      <c r="B235" t="str">
        <f t="shared" si="65"/>
        <v>ENTRADA</v>
      </c>
      <c r="C235" t="str">
        <f t="shared" si="66"/>
        <v>NFSE</v>
      </c>
      <c r="D235" t="str">
        <f t="shared" si="72"/>
        <v>4121</v>
      </c>
      <c r="E235" t="str">
        <f t="shared" si="68"/>
        <v>1</v>
      </c>
      <c r="F235" t="str">
        <f t="shared" si="74"/>
        <v>COM</v>
      </c>
      <c r="G235" t="str">
        <f t="shared" si="73"/>
        <v>FARMÁCIA INDIANA LJ 30 (10127)</v>
      </c>
      <c r="H235" t="s">
        <v>62</v>
      </c>
      <c r="I235" t="str">
        <f t="shared" si="70"/>
        <v>05/01/2026</v>
      </c>
      <c r="J235" t="str">
        <f t="shared" si="71"/>
        <v>26/12/2025</v>
      </c>
      <c r="K235">
        <v>46027</v>
      </c>
      <c r="N235">
        <v>303</v>
      </c>
      <c r="O235" t="s">
        <v>26</v>
      </c>
      <c r="Q235">
        <v>247.7</v>
      </c>
      <c r="R235" t="str">
        <f>"FARMÁCIA INDIANA LJ 33 (10187)"</f>
        <v>FARMÁCIA INDIANA LJ 33 (10187)</v>
      </c>
      <c r="S235" t="s">
        <v>27</v>
      </c>
      <c r="T235">
        <v>3724</v>
      </c>
      <c r="U235">
        <v>3141</v>
      </c>
      <c r="V235" t="s">
        <v>22</v>
      </c>
    </row>
    <row r="236" spans="1:22">
      <c r="A236" t="str">
        <f t="shared" si="64"/>
        <v>05/01/2026</v>
      </c>
      <c r="B236" t="str">
        <f t="shared" si="65"/>
        <v>ENTRADA</v>
      </c>
      <c r="C236" t="str">
        <f t="shared" si="66"/>
        <v>NFSE</v>
      </c>
      <c r="D236" t="str">
        <f t="shared" si="72"/>
        <v>4121</v>
      </c>
      <c r="E236" t="str">
        <f t="shared" si="68"/>
        <v>1</v>
      </c>
      <c r="F236" t="str">
        <f t="shared" si="74"/>
        <v>COM</v>
      </c>
      <c r="G236" t="str">
        <f t="shared" si="73"/>
        <v>FARMÁCIA INDIANA LJ 30 (10127)</v>
      </c>
      <c r="H236" t="s">
        <v>62</v>
      </c>
      <c r="I236" t="str">
        <f t="shared" si="70"/>
        <v>05/01/2026</v>
      </c>
      <c r="J236" t="str">
        <f t="shared" si="71"/>
        <v>26/12/2025</v>
      </c>
      <c r="K236">
        <v>46027</v>
      </c>
      <c r="N236">
        <v>303</v>
      </c>
      <c r="O236" t="s">
        <v>26</v>
      </c>
      <c r="Q236">
        <v>99.89</v>
      </c>
      <c r="R236" t="str">
        <f>"FARMÁCIA INDIANA LJ 283 (10268)"</f>
        <v>FARMÁCIA INDIANA LJ 283 (10268)</v>
      </c>
      <c r="S236" t="s">
        <v>27</v>
      </c>
      <c r="T236">
        <v>3724</v>
      </c>
      <c r="U236">
        <v>3141</v>
      </c>
      <c r="V236" t="s">
        <v>22</v>
      </c>
    </row>
    <row r="237" spans="1:22">
      <c r="A237" t="str">
        <f t="shared" ref="A237:A269" si="75">("05/01/2026")</f>
        <v>05/01/2026</v>
      </c>
      <c r="B237" t="str">
        <f t="shared" ref="B237:B263" si="76">"ENTRADA"</f>
        <v>ENTRADA</v>
      </c>
      <c r="C237" t="str">
        <f t="shared" ref="C237:C263" si="77">"NFSE"</f>
        <v>NFSE</v>
      </c>
      <c r="D237" t="str">
        <f t="shared" si="72"/>
        <v>4121</v>
      </c>
      <c r="E237" t="str">
        <f t="shared" ref="E237:E263" si="78">"1"</f>
        <v>1</v>
      </c>
      <c r="F237" t="str">
        <f t="shared" si="74"/>
        <v>COM</v>
      </c>
      <c r="G237" t="str">
        <f t="shared" si="73"/>
        <v>FARMÁCIA INDIANA LJ 30 (10127)</v>
      </c>
      <c r="H237" t="s">
        <v>62</v>
      </c>
      <c r="I237" t="str">
        <f t="shared" ref="I237:I249" si="79">("05/01/2026")</f>
        <v>05/01/2026</v>
      </c>
      <c r="J237" t="str">
        <f t="shared" ref="J237:J249" si="80">("26/12/2025")</f>
        <v>26/12/2025</v>
      </c>
      <c r="K237">
        <v>46027</v>
      </c>
      <c r="N237">
        <v>303</v>
      </c>
      <c r="O237" t="s">
        <v>26</v>
      </c>
      <c r="Q237">
        <v>140.01</v>
      </c>
      <c r="R237" t="str">
        <f>"FARMÁCIA INDIANA LJ 155 (10273)"</f>
        <v>FARMÁCIA INDIANA LJ 155 (10273)</v>
      </c>
      <c r="S237" t="s">
        <v>27</v>
      </c>
      <c r="T237">
        <v>3724</v>
      </c>
      <c r="U237">
        <v>3141</v>
      </c>
      <c r="V237" t="s">
        <v>22</v>
      </c>
    </row>
    <row r="238" spans="1:22">
      <c r="A238" t="str">
        <f t="shared" si="75"/>
        <v>05/01/2026</v>
      </c>
      <c r="B238" t="str">
        <f t="shared" si="76"/>
        <v>ENTRADA</v>
      </c>
      <c r="C238" t="str">
        <f t="shared" si="77"/>
        <v>NFSE</v>
      </c>
      <c r="D238" t="str">
        <f t="shared" si="72"/>
        <v>4121</v>
      </c>
      <c r="E238" t="str">
        <f t="shared" si="78"/>
        <v>1</v>
      </c>
      <c r="F238" t="str">
        <f t="shared" si="74"/>
        <v>COM</v>
      </c>
      <c r="G238" t="str">
        <f t="shared" si="73"/>
        <v>FARMÁCIA INDIANA LJ 30 (10127)</v>
      </c>
      <c r="H238" t="s">
        <v>62</v>
      </c>
      <c r="I238" t="str">
        <f t="shared" si="79"/>
        <v>05/01/2026</v>
      </c>
      <c r="J238" t="str">
        <f t="shared" si="80"/>
        <v>26/12/2025</v>
      </c>
      <c r="K238">
        <v>46027</v>
      </c>
      <c r="N238">
        <v>303</v>
      </c>
      <c r="O238" t="s">
        <v>26</v>
      </c>
      <c r="Q238">
        <v>113.89</v>
      </c>
      <c r="R238" t="str">
        <f>"FARMÁCIA INDIANA LJ 158 (10275)"</f>
        <v>FARMÁCIA INDIANA LJ 158 (10275)</v>
      </c>
      <c r="S238" t="s">
        <v>27</v>
      </c>
      <c r="T238">
        <v>3724</v>
      </c>
      <c r="U238">
        <v>3141</v>
      </c>
      <c r="V238" t="s">
        <v>22</v>
      </c>
    </row>
    <row r="239" spans="1:22">
      <c r="A239" t="str">
        <f t="shared" si="75"/>
        <v>05/01/2026</v>
      </c>
      <c r="B239" t="str">
        <f t="shared" si="76"/>
        <v>ENTRADA</v>
      </c>
      <c r="C239" t="str">
        <f t="shared" si="77"/>
        <v>NFSE</v>
      </c>
      <c r="D239" t="str">
        <f t="shared" ref="D239:D249" si="81">"4122"</f>
        <v>4122</v>
      </c>
      <c r="E239" t="str">
        <f t="shared" si="78"/>
        <v>1</v>
      </c>
      <c r="F239" t="str">
        <f t="shared" si="74"/>
        <v>COM</v>
      </c>
      <c r="G239" t="str">
        <f t="shared" ref="G239:G249" si="82">"FARMÁCIA INDIANA LJ 85 (10128)"</f>
        <v>FARMÁCIA INDIANA LJ 85 (10128)</v>
      </c>
      <c r="H239" t="str">
        <f>"Serv.Prest. 22/12/2025 a 25/12/2025 - RPS: 1884 - NFSe: 4122"</f>
        <v>Serv.Prest. 22/12/2025 a 25/12/2025 - RPS: 1884 - NFSe: 4122</v>
      </c>
      <c r="I239" t="str">
        <f t="shared" si="79"/>
        <v>05/01/2026</v>
      </c>
      <c r="J239" t="str">
        <f t="shared" si="80"/>
        <v>26/12/2025</v>
      </c>
      <c r="K239" t="str">
        <f>("05/01/2026")</f>
        <v>05/01/2026</v>
      </c>
      <c r="L239">
        <v>900.68</v>
      </c>
      <c r="M239">
        <v>900.68</v>
      </c>
      <c r="N239">
        <v>303</v>
      </c>
      <c r="O239" t="str">
        <f>"RECEITAS COM ENTREGAS"</f>
        <v>RECEITAS COM ENTREGAS</v>
      </c>
      <c r="P239">
        <v>900.68</v>
      </c>
      <c r="S239" t="str">
        <f>"RECEITAS COM ENTREGAS (303)"</f>
        <v>RECEITAS COM ENTREGAS (303)</v>
      </c>
      <c r="T239">
        <v>3725</v>
      </c>
      <c r="U239">
        <v>3142</v>
      </c>
      <c r="V239" t="s">
        <v>22</v>
      </c>
    </row>
    <row r="240" spans="1:22">
      <c r="A240" t="str">
        <f t="shared" si="75"/>
        <v>05/01/2026</v>
      </c>
      <c r="B240" t="str">
        <f t="shared" si="76"/>
        <v>ENTRADA</v>
      </c>
      <c r="C240" t="str">
        <f t="shared" si="77"/>
        <v>NFSE</v>
      </c>
      <c r="D240" t="str">
        <f t="shared" si="81"/>
        <v>4122</v>
      </c>
      <c r="E240" t="str">
        <f t="shared" si="78"/>
        <v>1</v>
      </c>
      <c r="F240" t="str">
        <f t="shared" si="74"/>
        <v>COM</v>
      </c>
      <c r="G240" t="str">
        <f t="shared" si="82"/>
        <v>FARMÁCIA INDIANA LJ 85 (10128)</v>
      </c>
      <c r="H240" t="s">
        <v>63</v>
      </c>
      <c r="I240" t="str">
        <f t="shared" si="79"/>
        <v>05/01/2026</v>
      </c>
      <c r="J240" t="str">
        <f t="shared" si="80"/>
        <v>26/12/2025</v>
      </c>
      <c r="K240">
        <v>46027</v>
      </c>
      <c r="N240">
        <v>303</v>
      </c>
      <c r="O240" t="s">
        <v>26</v>
      </c>
      <c r="Q240">
        <v>108</v>
      </c>
      <c r="R240" t="str">
        <f>"FARMÁCIA INDIANA LJ 119 (10053)"</f>
        <v>FARMÁCIA INDIANA LJ 119 (10053)</v>
      </c>
      <c r="S240" t="s">
        <v>27</v>
      </c>
      <c r="T240">
        <v>3725</v>
      </c>
      <c r="U240">
        <v>3142</v>
      </c>
      <c r="V240" t="s">
        <v>22</v>
      </c>
    </row>
    <row r="241" spans="1:22">
      <c r="A241" t="str">
        <f t="shared" si="75"/>
        <v>05/01/2026</v>
      </c>
      <c r="B241" t="str">
        <f t="shared" si="76"/>
        <v>ENTRADA</v>
      </c>
      <c r="C241" t="str">
        <f t="shared" si="77"/>
        <v>NFSE</v>
      </c>
      <c r="D241" t="str">
        <f t="shared" si="81"/>
        <v>4122</v>
      </c>
      <c r="E241" t="str">
        <f t="shared" si="78"/>
        <v>1</v>
      </c>
      <c r="F241" t="str">
        <f t="shared" si="74"/>
        <v>COM</v>
      </c>
      <c r="G241" t="str">
        <f t="shared" si="82"/>
        <v>FARMÁCIA INDIANA LJ 85 (10128)</v>
      </c>
      <c r="H241" t="s">
        <v>63</v>
      </c>
      <c r="I241" t="str">
        <f t="shared" si="79"/>
        <v>05/01/2026</v>
      </c>
      <c r="J241" t="str">
        <f t="shared" si="80"/>
        <v>26/12/2025</v>
      </c>
      <c r="K241">
        <v>46027</v>
      </c>
      <c r="N241">
        <v>303</v>
      </c>
      <c r="O241" t="s">
        <v>26</v>
      </c>
      <c r="Q241">
        <v>79.98</v>
      </c>
      <c r="R241" t="str">
        <f>"FARMÁCIA INDIANA LJ 163 (10072)"</f>
        <v>FARMÁCIA INDIANA LJ 163 (10072)</v>
      </c>
      <c r="S241" t="s">
        <v>27</v>
      </c>
      <c r="T241">
        <v>3725</v>
      </c>
      <c r="U241">
        <v>3142</v>
      </c>
      <c r="V241" t="s">
        <v>22</v>
      </c>
    </row>
    <row r="242" spans="1:22">
      <c r="A242" t="str">
        <f t="shared" si="75"/>
        <v>05/01/2026</v>
      </c>
      <c r="B242" t="str">
        <f t="shared" si="76"/>
        <v>ENTRADA</v>
      </c>
      <c r="C242" t="str">
        <f t="shared" si="77"/>
        <v>NFSE</v>
      </c>
      <c r="D242" t="str">
        <f t="shared" si="81"/>
        <v>4122</v>
      </c>
      <c r="E242" t="str">
        <f t="shared" si="78"/>
        <v>1</v>
      </c>
      <c r="F242" t="str">
        <f t="shared" si="74"/>
        <v>COM</v>
      </c>
      <c r="G242" t="str">
        <f t="shared" si="82"/>
        <v>FARMÁCIA INDIANA LJ 85 (10128)</v>
      </c>
      <c r="H242" t="s">
        <v>63</v>
      </c>
      <c r="I242" t="str">
        <f t="shared" si="79"/>
        <v>05/01/2026</v>
      </c>
      <c r="J242" t="str">
        <f t="shared" si="80"/>
        <v>26/12/2025</v>
      </c>
      <c r="K242">
        <v>46027</v>
      </c>
      <c r="N242">
        <v>303</v>
      </c>
      <c r="O242" t="s">
        <v>26</v>
      </c>
      <c r="Q242">
        <v>94.21</v>
      </c>
      <c r="R242" t="str">
        <f>"FARMÁCIA INDIANA LJ 181 (10078)"</f>
        <v>FARMÁCIA INDIANA LJ 181 (10078)</v>
      </c>
      <c r="S242" t="s">
        <v>27</v>
      </c>
      <c r="T242">
        <v>3725</v>
      </c>
      <c r="U242">
        <v>3142</v>
      </c>
      <c r="V242" t="s">
        <v>22</v>
      </c>
    </row>
    <row r="243" spans="1:22">
      <c r="A243" t="str">
        <f t="shared" si="75"/>
        <v>05/01/2026</v>
      </c>
      <c r="B243" t="str">
        <f t="shared" si="76"/>
        <v>ENTRADA</v>
      </c>
      <c r="C243" t="str">
        <f t="shared" si="77"/>
        <v>NFSE</v>
      </c>
      <c r="D243" t="str">
        <f t="shared" si="81"/>
        <v>4122</v>
      </c>
      <c r="E243" t="str">
        <f t="shared" si="78"/>
        <v>1</v>
      </c>
      <c r="F243" t="str">
        <f t="shared" si="74"/>
        <v>COM</v>
      </c>
      <c r="G243" t="str">
        <f t="shared" si="82"/>
        <v>FARMÁCIA INDIANA LJ 85 (10128)</v>
      </c>
      <c r="H243" t="s">
        <v>63</v>
      </c>
      <c r="I243" t="str">
        <f t="shared" si="79"/>
        <v>05/01/2026</v>
      </c>
      <c r="J243" t="str">
        <f t="shared" si="80"/>
        <v>26/12/2025</v>
      </c>
      <c r="K243">
        <v>46027</v>
      </c>
      <c r="N243">
        <v>303</v>
      </c>
      <c r="O243" t="s">
        <v>26</v>
      </c>
      <c r="Q243">
        <v>107.81</v>
      </c>
      <c r="R243" t="str">
        <f>"FARMÁCIA INDIANA LJ 221 (10093)"</f>
        <v>FARMÁCIA INDIANA LJ 221 (10093)</v>
      </c>
      <c r="S243" t="s">
        <v>27</v>
      </c>
      <c r="T243">
        <v>3725</v>
      </c>
      <c r="U243">
        <v>3142</v>
      </c>
      <c r="V243" t="s">
        <v>22</v>
      </c>
    </row>
    <row r="244" spans="1:22">
      <c r="A244" t="str">
        <f t="shared" si="75"/>
        <v>05/01/2026</v>
      </c>
      <c r="B244" t="str">
        <f t="shared" si="76"/>
        <v>ENTRADA</v>
      </c>
      <c r="C244" t="str">
        <f t="shared" si="77"/>
        <v>NFSE</v>
      </c>
      <c r="D244" t="str">
        <f t="shared" si="81"/>
        <v>4122</v>
      </c>
      <c r="E244" t="str">
        <f t="shared" si="78"/>
        <v>1</v>
      </c>
      <c r="F244" t="str">
        <f t="shared" si="74"/>
        <v>COM</v>
      </c>
      <c r="G244" t="str">
        <f t="shared" si="82"/>
        <v>FARMÁCIA INDIANA LJ 85 (10128)</v>
      </c>
      <c r="H244" t="s">
        <v>63</v>
      </c>
      <c r="I244" t="str">
        <f t="shared" si="79"/>
        <v>05/01/2026</v>
      </c>
      <c r="J244" t="str">
        <f t="shared" si="80"/>
        <v>26/12/2025</v>
      </c>
      <c r="K244">
        <v>46027</v>
      </c>
      <c r="N244">
        <v>303</v>
      </c>
      <c r="O244" t="s">
        <v>26</v>
      </c>
      <c r="Q244">
        <v>127.99</v>
      </c>
      <c r="R244" t="str">
        <f>"FARMÁCIA INDIANA LJ 243 (10142)"</f>
        <v>FARMÁCIA INDIANA LJ 243 (10142)</v>
      </c>
      <c r="S244" t="s">
        <v>27</v>
      </c>
      <c r="T244">
        <v>3725</v>
      </c>
      <c r="U244">
        <v>3142</v>
      </c>
      <c r="V244" t="s">
        <v>22</v>
      </c>
    </row>
    <row r="245" spans="1:22">
      <c r="A245" t="str">
        <f t="shared" si="75"/>
        <v>05/01/2026</v>
      </c>
      <c r="B245" t="str">
        <f t="shared" si="76"/>
        <v>ENTRADA</v>
      </c>
      <c r="C245" t="str">
        <f t="shared" si="77"/>
        <v>NFSE</v>
      </c>
      <c r="D245" t="str">
        <f t="shared" si="81"/>
        <v>4122</v>
      </c>
      <c r="E245" t="str">
        <f t="shared" si="78"/>
        <v>1</v>
      </c>
      <c r="F245" t="str">
        <f t="shared" si="74"/>
        <v>COM</v>
      </c>
      <c r="G245" t="str">
        <f t="shared" si="82"/>
        <v>FARMÁCIA INDIANA LJ 85 (10128)</v>
      </c>
      <c r="H245" t="s">
        <v>63</v>
      </c>
      <c r="I245" t="str">
        <f t="shared" si="79"/>
        <v>05/01/2026</v>
      </c>
      <c r="J245" t="str">
        <f t="shared" si="80"/>
        <v>26/12/2025</v>
      </c>
      <c r="K245">
        <v>46027</v>
      </c>
      <c r="N245">
        <v>303</v>
      </c>
      <c r="O245" t="s">
        <v>26</v>
      </c>
      <c r="Q245">
        <v>57.46</v>
      </c>
      <c r="R245" t="str">
        <f>"FARMÁCIA INDIANA LJ 211 (10168)"</f>
        <v>FARMÁCIA INDIANA LJ 211 (10168)</v>
      </c>
      <c r="S245" t="s">
        <v>27</v>
      </c>
      <c r="T245">
        <v>3725</v>
      </c>
      <c r="U245">
        <v>3142</v>
      </c>
      <c r="V245" t="s">
        <v>22</v>
      </c>
    </row>
    <row r="246" spans="1:22">
      <c r="A246" t="str">
        <f t="shared" si="75"/>
        <v>05/01/2026</v>
      </c>
      <c r="B246" t="str">
        <f t="shared" si="76"/>
        <v>ENTRADA</v>
      </c>
      <c r="C246" t="str">
        <f t="shared" si="77"/>
        <v>NFSE</v>
      </c>
      <c r="D246" t="str">
        <f t="shared" si="81"/>
        <v>4122</v>
      </c>
      <c r="E246" t="str">
        <f t="shared" si="78"/>
        <v>1</v>
      </c>
      <c r="F246" t="str">
        <f t="shared" si="74"/>
        <v>COM</v>
      </c>
      <c r="G246" t="str">
        <f t="shared" si="82"/>
        <v>FARMÁCIA INDIANA LJ 85 (10128)</v>
      </c>
      <c r="H246" t="s">
        <v>63</v>
      </c>
      <c r="I246" t="str">
        <f t="shared" si="79"/>
        <v>05/01/2026</v>
      </c>
      <c r="J246" t="str">
        <f t="shared" si="80"/>
        <v>26/12/2025</v>
      </c>
      <c r="K246">
        <v>46027</v>
      </c>
      <c r="N246">
        <v>303</v>
      </c>
      <c r="O246" t="s">
        <v>26</v>
      </c>
      <c r="Q246">
        <v>57.46</v>
      </c>
      <c r="R246" t="str">
        <f>"FARMÁCIA INDIANA LJ 236 (10169)"</f>
        <v>FARMÁCIA INDIANA LJ 236 (10169)</v>
      </c>
      <c r="S246" t="s">
        <v>27</v>
      </c>
      <c r="T246">
        <v>3725</v>
      </c>
      <c r="U246">
        <v>3142</v>
      </c>
      <c r="V246" t="s">
        <v>22</v>
      </c>
    </row>
    <row r="247" spans="1:22">
      <c r="A247" t="str">
        <f t="shared" si="75"/>
        <v>05/01/2026</v>
      </c>
      <c r="B247" t="str">
        <f t="shared" si="76"/>
        <v>ENTRADA</v>
      </c>
      <c r="C247" t="str">
        <f t="shared" si="77"/>
        <v>NFSE</v>
      </c>
      <c r="D247" t="str">
        <f t="shared" si="81"/>
        <v>4122</v>
      </c>
      <c r="E247" t="str">
        <f t="shared" si="78"/>
        <v>1</v>
      </c>
      <c r="F247" t="str">
        <f t="shared" si="74"/>
        <v>COM</v>
      </c>
      <c r="G247" t="str">
        <f t="shared" si="82"/>
        <v>FARMÁCIA INDIANA LJ 85 (10128)</v>
      </c>
      <c r="H247" t="s">
        <v>63</v>
      </c>
      <c r="I247" t="str">
        <f t="shared" si="79"/>
        <v>05/01/2026</v>
      </c>
      <c r="J247" t="str">
        <f t="shared" si="80"/>
        <v>26/12/2025</v>
      </c>
      <c r="K247">
        <v>46027</v>
      </c>
      <c r="N247">
        <v>303</v>
      </c>
      <c r="O247" t="s">
        <v>26</v>
      </c>
      <c r="Q247">
        <v>114.84</v>
      </c>
      <c r="R247" t="str">
        <f>"FARMÁCIA INDIANA LJ 188 (10176)"</f>
        <v>FARMÁCIA INDIANA LJ 188 (10176)</v>
      </c>
      <c r="S247" t="s">
        <v>27</v>
      </c>
      <c r="T247">
        <v>3725</v>
      </c>
      <c r="U247">
        <v>3142</v>
      </c>
      <c r="V247" t="s">
        <v>22</v>
      </c>
    </row>
    <row r="248" spans="1:22">
      <c r="A248" t="str">
        <f t="shared" si="75"/>
        <v>05/01/2026</v>
      </c>
      <c r="B248" t="str">
        <f t="shared" si="76"/>
        <v>ENTRADA</v>
      </c>
      <c r="C248" t="str">
        <f t="shared" si="77"/>
        <v>NFSE</v>
      </c>
      <c r="D248" t="str">
        <f t="shared" si="81"/>
        <v>4122</v>
      </c>
      <c r="E248" t="str">
        <f t="shared" si="78"/>
        <v>1</v>
      </c>
      <c r="F248" t="str">
        <f t="shared" si="74"/>
        <v>COM</v>
      </c>
      <c r="G248" t="str">
        <f t="shared" si="82"/>
        <v>FARMÁCIA INDIANA LJ 85 (10128)</v>
      </c>
      <c r="H248" t="s">
        <v>63</v>
      </c>
      <c r="I248" t="str">
        <f t="shared" si="79"/>
        <v>05/01/2026</v>
      </c>
      <c r="J248" t="str">
        <f t="shared" si="80"/>
        <v>26/12/2025</v>
      </c>
      <c r="K248">
        <v>46027</v>
      </c>
      <c r="N248">
        <v>303</v>
      </c>
      <c r="O248" t="s">
        <v>26</v>
      </c>
      <c r="Q248">
        <v>135.01</v>
      </c>
      <c r="R248" t="str">
        <f>"FARMÁCIA INDIANA LJ 273 (10188)"</f>
        <v>FARMÁCIA INDIANA LJ 273 (10188)</v>
      </c>
      <c r="S248" t="s">
        <v>27</v>
      </c>
      <c r="T248">
        <v>3725</v>
      </c>
      <c r="U248">
        <v>3142</v>
      </c>
      <c r="V248" t="s">
        <v>22</v>
      </c>
    </row>
    <row r="249" spans="1:22">
      <c r="A249" t="str">
        <f t="shared" si="75"/>
        <v>05/01/2026</v>
      </c>
      <c r="B249" t="str">
        <f t="shared" si="76"/>
        <v>ENTRADA</v>
      </c>
      <c r="C249" t="str">
        <f t="shared" si="77"/>
        <v>NFSE</v>
      </c>
      <c r="D249" t="str">
        <f t="shared" si="81"/>
        <v>4122</v>
      </c>
      <c r="E249" t="str">
        <f t="shared" si="78"/>
        <v>1</v>
      </c>
      <c r="F249" t="str">
        <f t="shared" si="74"/>
        <v>COM</v>
      </c>
      <c r="G249" t="str">
        <f t="shared" si="82"/>
        <v>FARMÁCIA INDIANA LJ 85 (10128)</v>
      </c>
      <c r="H249" t="s">
        <v>63</v>
      </c>
      <c r="I249" t="str">
        <f t="shared" si="79"/>
        <v>05/01/2026</v>
      </c>
      <c r="J249" t="str">
        <f t="shared" si="80"/>
        <v>26/12/2025</v>
      </c>
      <c r="K249">
        <v>46027</v>
      </c>
      <c r="N249">
        <v>303</v>
      </c>
      <c r="O249" t="s">
        <v>26</v>
      </c>
      <c r="Q249">
        <v>17.920000000000002</v>
      </c>
      <c r="R249" t="str">
        <f>"FARMÁCIA INDIANA LJ 235 (10190)"</f>
        <v>FARMÁCIA INDIANA LJ 235 (10190)</v>
      </c>
      <c r="S249" t="s">
        <v>27</v>
      </c>
      <c r="T249">
        <v>3725</v>
      </c>
      <c r="U249">
        <v>3142</v>
      </c>
      <c r="V249" t="s">
        <v>22</v>
      </c>
    </row>
    <row r="250" spans="1:22">
      <c r="A250" t="str">
        <f t="shared" si="75"/>
        <v>05/01/2026</v>
      </c>
      <c r="B250" t="str">
        <f t="shared" si="76"/>
        <v>ENTRADA</v>
      </c>
      <c r="C250" t="str">
        <f t="shared" si="77"/>
        <v>NFSE</v>
      </c>
      <c r="D250" t="str">
        <f>"4131"</f>
        <v>4131</v>
      </c>
      <c r="E250" t="str">
        <f t="shared" si="78"/>
        <v>1</v>
      </c>
      <c r="F250" t="str">
        <f t="shared" si="74"/>
        <v>COM</v>
      </c>
      <c r="G250" t="str">
        <f>"DROGARIA POUPA MINAS (ULTRAMINAS) 3 (10129)"</f>
        <v>DROGARIA POUPA MINAS (ULTRAMINAS) 3 (10129)</v>
      </c>
      <c r="H250" t="str">
        <f>"Serv.Prest. 22/12/2025 a 28/12/2025 - RPS: 1893 - NFSe: 4131"</f>
        <v>Serv.Prest. 22/12/2025 a 28/12/2025 - RPS: 1893 - NFSe: 4131</v>
      </c>
      <c r="I250" t="str">
        <f t="shared" ref="I250:I261" si="83">("01/01/2026")</f>
        <v>01/01/2026</v>
      </c>
      <c r="J250" t="str">
        <f>("29/12/2025")</f>
        <v>29/12/2025</v>
      </c>
      <c r="K250" t="str">
        <f>("05/01/2026")</f>
        <v>05/01/2026</v>
      </c>
      <c r="L250">
        <v>171.6</v>
      </c>
      <c r="M250">
        <v>171.6</v>
      </c>
      <c r="N250">
        <v>303</v>
      </c>
      <c r="O250" t="str">
        <f>"RECEITAS COM ENTREGAS"</f>
        <v>RECEITAS COM ENTREGAS</v>
      </c>
      <c r="P250">
        <v>171.6</v>
      </c>
      <c r="S250" t="str">
        <f>"RECEITAS COM ENTREGAS (303)"</f>
        <v>RECEITAS COM ENTREGAS (303)</v>
      </c>
      <c r="T250">
        <v>3726</v>
      </c>
      <c r="U250">
        <v>3151</v>
      </c>
      <c r="V250" t="s">
        <v>22</v>
      </c>
    </row>
    <row r="251" spans="1:22">
      <c r="A251" t="str">
        <f t="shared" si="75"/>
        <v>05/01/2026</v>
      </c>
      <c r="B251" t="str">
        <f t="shared" si="76"/>
        <v>ENTRADA</v>
      </c>
      <c r="C251" t="str">
        <f t="shared" si="77"/>
        <v>NFSE</v>
      </c>
      <c r="D251" t="str">
        <f>"4131"</f>
        <v>4131</v>
      </c>
      <c r="E251" t="str">
        <f t="shared" si="78"/>
        <v>1</v>
      </c>
      <c r="F251" t="str">
        <f t="shared" si="74"/>
        <v>COM</v>
      </c>
      <c r="G251" t="str">
        <f>"DROGARIA POUPA MINAS (ULTRAMINAS) 3 (10129)"</f>
        <v>DROGARIA POUPA MINAS (ULTRAMINAS) 3 (10129)</v>
      </c>
      <c r="H251" t="s">
        <v>64</v>
      </c>
      <c r="I251" t="str">
        <f t="shared" si="83"/>
        <v>01/01/2026</v>
      </c>
      <c r="J251" t="str">
        <f>("29/12/2025")</f>
        <v>29/12/2025</v>
      </c>
      <c r="K251">
        <v>46027</v>
      </c>
      <c r="N251">
        <v>303</v>
      </c>
      <c r="O251" t="s">
        <v>26</v>
      </c>
      <c r="Q251">
        <v>171.6</v>
      </c>
      <c r="R251" t="str">
        <f>"DROGARIA POUPA MINAS (ULTRAMINAS) 3 (10129)"</f>
        <v>DROGARIA POUPA MINAS (ULTRAMINAS) 3 (10129)</v>
      </c>
      <c r="S251" t="s">
        <v>27</v>
      </c>
      <c r="T251">
        <v>3726</v>
      </c>
      <c r="U251">
        <v>3151</v>
      </c>
      <c r="V251" t="s">
        <v>22</v>
      </c>
    </row>
    <row r="252" spans="1:22">
      <c r="A252" t="str">
        <f t="shared" si="75"/>
        <v>05/01/2026</v>
      </c>
      <c r="B252" t="str">
        <f t="shared" si="76"/>
        <v>ENTRADA</v>
      </c>
      <c r="C252" t="str">
        <f t="shared" si="77"/>
        <v>NFSE</v>
      </c>
      <c r="D252" t="str">
        <f>"4154"</f>
        <v>4154</v>
      </c>
      <c r="E252" t="str">
        <f t="shared" si="78"/>
        <v>1</v>
      </c>
      <c r="F252" t="str">
        <f t="shared" si="74"/>
        <v>COM</v>
      </c>
      <c r="G252" t="str">
        <f>"DROGARIA POUPA MINAS (DOIS AMIGOS) 5 (10140)"</f>
        <v>DROGARIA POUPA MINAS (DOIS AMIGOS) 5 (10140)</v>
      </c>
      <c r="H252" t="str">
        <f>"Serv.Prest. 22/12/2025 a 28/12/2025 - RPS: 1916 - NFSe: 4154"</f>
        <v>Serv.Prest. 22/12/2025 a 28/12/2025 - RPS: 1916 - NFSe: 4154</v>
      </c>
      <c r="I252" t="str">
        <f t="shared" si="83"/>
        <v>01/01/2026</v>
      </c>
      <c r="J252" t="str">
        <f>("29/12/2025")</f>
        <v>29/12/2025</v>
      </c>
      <c r="K252" t="str">
        <f>("05/01/2026")</f>
        <v>05/01/2026</v>
      </c>
      <c r="L252">
        <v>713.75</v>
      </c>
      <c r="M252">
        <v>713.75</v>
      </c>
      <c r="N252">
        <v>303</v>
      </c>
      <c r="O252" t="str">
        <f>"RECEITAS COM ENTREGAS"</f>
        <v>RECEITAS COM ENTREGAS</v>
      </c>
      <c r="P252">
        <v>713.75</v>
      </c>
      <c r="S252" t="str">
        <f>"RECEITAS COM ENTREGAS (303)"</f>
        <v>RECEITAS COM ENTREGAS (303)</v>
      </c>
      <c r="T252">
        <v>3727</v>
      </c>
      <c r="U252">
        <v>3174</v>
      </c>
      <c r="V252" t="s">
        <v>22</v>
      </c>
    </row>
    <row r="253" spans="1:22">
      <c r="A253" t="str">
        <f t="shared" si="75"/>
        <v>05/01/2026</v>
      </c>
      <c r="B253" t="str">
        <f t="shared" si="76"/>
        <v>ENTRADA</v>
      </c>
      <c r="C253" t="str">
        <f t="shared" si="77"/>
        <v>NFSE</v>
      </c>
      <c r="D253" t="str">
        <f>"4154"</f>
        <v>4154</v>
      </c>
      <c r="E253" t="str">
        <f t="shared" si="78"/>
        <v>1</v>
      </c>
      <c r="F253" t="str">
        <f t="shared" si="74"/>
        <v>COM</v>
      </c>
      <c r="G253" t="str">
        <f>"DROGARIA POUPA MINAS (DOIS AMIGOS) 5 (10140)"</f>
        <v>DROGARIA POUPA MINAS (DOIS AMIGOS) 5 (10140)</v>
      </c>
      <c r="H253" t="s">
        <v>65</v>
      </c>
      <c r="I253" t="str">
        <f t="shared" si="83"/>
        <v>01/01/2026</v>
      </c>
      <c r="J253" t="str">
        <f>("29/12/2025")</f>
        <v>29/12/2025</v>
      </c>
      <c r="K253">
        <v>46027</v>
      </c>
      <c r="N253">
        <v>303</v>
      </c>
      <c r="O253" t="s">
        <v>26</v>
      </c>
      <c r="Q253">
        <v>713.75</v>
      </c>
      <c r="R253" t="str">
        <f>"DROGARIA POUPA MINAS (ULTRAMINAS) 1 (10181)"</f>
        <v>DROGARIA POUPA MINAS (ULTRAMINAS) 1 (10181)</v>
      </c>
      <c r="S253" t="s">
        <v>27</v>
      </c>
      <c r="T253">
        <v>3727</v>
      </c>
      <c r="U253">
        <v>3174</v>
      </c>
      <c r="V253" t="s">
        <v>22</v>
      </c>
    </row>
    <row r="254" spans="1:22">
      <c r="A254" t="str">
        <f t="shared" si="75"/>
        <v>05/01/2026</v>
      </c>
      <c r="B254" t="str">
        <f t="shared" si="76"/>
        <v>ENTRADA</v>
      </c>
      <c r="C254" t="str">
        <f t="shared" si="77"/>
        <v>NFSE</v>
      </c>
      <c r="D254" t="str">
        <f>"4117"</f>
        <v>4117</v>
      </c>
      <c r="E254" t="str">
        <f t="shared" si="78"/>
        <v>1</v>
      </c>
      <c r="F254" t="str">
        <f t="shared" si="74"/>
        <v>COM</v>
      </c>
      <c r="G254" t="str">
        <f>"AC FARMA - CID.ALTA (10166)"</f>
        <v>AC FARMA - CID.ALTA (10166)</v>
      </c>
      <c r="H254" t="str">
        <f>"Serv.Prest. 15/12/2025 a 21/12/2025 - RPS: 1879 - NFSe: 4117"</f>
        <v>Serv.Prest. 15/12/2025 a 21/12/2025 - RPS: 1879 - NFSe: 4117</v>
      </c>
      <c r="I254" t="str">
        <f t="shared" si="83"/>
        <v>01/01/2026</v>
      </c>
      <c r="J254" t="str">
        <f t="shared" ref="J254:J261" si="84">("23/12/2025")</f>
        <v>23/12/2025</v>
      </c>
      <c r="K254" t="str">
        <f>("05/01/2026")</f>
        <v>05/01/2026</v>
      </c>
      <c r="L254">
        <v>955.93</v>
      </c>
      <c r="M254">
        <v>955.93</v>
      </c>
      <c r="N254">
        <v>303</v>
      </c>
      <c r="O254" t="str">
        <f>"RECEITAS COM ENTREGAS"</f>
        <v>RECEITAS COM ENTREGAS</v>
      </c>
      <c r="P254">
        <v>955.93</v>
      </c>
      <c r="S254" t="str">
        <f>"RECEITAS COM ENTREGAS (303)"</f>
        <v>RECEITAS COM ENTREGAS (303)</v>
      </c>
      <c r="T254">
        <v>3728</v>
      </c>
      <c r="U254">
        <v>3137</v>
      </c>
      <c r="V254" t="s">
        <v>22</v>
      </c>
    </row>
    <row r="255" spans="1:22">
      <c r="A255" t="str">
        <f t="shared" si="75"/>
        <v>05/01/2026</v>
      </c>
      <c r="B255" t="str">
        <f t="shared" si="76"/>
        <v>ENTRADA</v>
      </c>
      <c r="C255" t="str">
        <f t="shared" si="77"/>
        <v>NFSE</v>
      </c>
      <c r="D255" t="str">
        <f>"4117"</f>
        <v>4117</v>
      </c>
      <c r="E255" t="str">
        <f t="shared" si="78"/>
        <v>1</v>
      </c>
      <c r="F255" t="str">
        <f t="shared" si="74"/>
        <v>COM</v>
      </c>
      <c r="G255" t="str">
        <f>"AC FARMA - CID.ALTA (10166)"</f>
        <v>AC FARMA - CID.ALTA (10166)</v>
      </c>
      <c r="H255" t="s">
        <v>66</v>
      </c>
      <c r="I255" t="str">
        <f t="shared" si="83"/>
        <v>01/01/2026</v>
      </c>
      <c r="J255" t="str">
        <f t="shared" si="84"/>
        <v>23/12/2025</v>
      </c>
      <c r="K255">
        <v>46027</v>
      </c>
      <c r="N255">
        <v>303</v>
      </c>
      <c r="O255" t="s">
        <v>26</v>
      </c>
      <c r="Q255">
        <v>955.93</v>
      </c>
      <c r="R255" t="str">
        <f>"AC FARMA - CID.ALTA (10166)"</f>
        <v>AC FARMA - CID.ALTA (10166)</v>
      </c>
      <c r="S255" t="s">
        <v>27</v>
      </c>
      <c r="T255">
        <v>3728</v>
      </c>
      <c r="U255">
        <v>3137</v>
      </c>
      <c r="V255" t="s">
        <v>22</v>
      </c>
    </row>
    <row r="256" spans="1:22">
      <c r="A256" t="str">
        <f t="shared" si="75"/>
        <v>05/01/2026</v>
      </c>
      <c r="B256" t="str">
        <f t="shared" si="76"/>
        <v>ENTRADA</v>
      </c>
      <c r="C256" t="str">
        <f t="shared" si="77"/>
        <v>NFSE</v>
      </c>
      <c r="D256" t="str">
        <f>"4118"</f>
        <v>4118</v>
      </c>
      <c r="E256" t="str">
        <f t="shared" si="78"/>
        <v>1</v>
      </c>
      <c r="F256" t="str">
        <f t="shared" si="74"/>
        <v>COM</v>
      </c>
      <c r="G256" t="str">
        <f>"AC FARMA - FLEMINFARMA (10160)"</f>
        <v>AC FARMA - FLEMINFARMA (10160)</v>
      </c>
      <c r="H256" t="str">
        <f>"Serv.Prest. 15/12/2025 a 21/12/2025 - RPS: 1880 - NFSe: 4118"</f>
        <v>Serv.Prest. 15/12/2025 a 21/12/2025 - RPS: 1880 - NFSe: 4118</v>
      </c>
      <c r="I256" t="str">
        <f t="shared" si="83"/>
        <v>01/01/2026</v>
      </c>
      <c r="J256" t="str">
        <f t="shared" si="84"/>
        <v>23/12/2025</v>
      </c>
      <c r="K256" t="str">
        <f>("05/01/2026")</f>
        <v>05/01/2026</v>
      </c>
      <c r="L256">
        <v>165.87</v>
      </c>
      <c r="M256">
        <v>165.87</v>
      </c>
      <c r="N256">
        <v>303</v>
      </c>
      <c r="O256" t="str">
        <f>"RECEITAS COM ENTREGAS"</f>
        <v>RECEITAS COM ENTREGAS</v>
      </c>
      <c r="P256">
        <v>165.87</v>
      </c>
      <c r="S256" t="str">
        <f>"RECEITAS COM ENTREGAS (303)"</f>
        <v>RECEITAS COM ENTREGAS (303)</v>
      </c>
      <c r="T256">
        <v>3729</v>
      </c>
      <c r="U256">
        <v>3138</v>
      </c>
      <c r="V256" t="s">
        <v>22</v>
      </c>
    </row>
    <row r="257" spans="1:22">
      <c r="A257" t="str">
        <f t="shared" si="75"/>
        <v>05/01/2026</v>
      </c>
      <c r="B257" t="str">
        <f t="shared" si="76"/>
        <v>ENTRADA</v>
      </c>
      <c r="C257" t="str">
        <f t="shared" si="77"/>
        <v>NFSE</v>
      </c>
      <c r="D257" t="str">
        <f>"4118"</f>
        <v>4118</v>
      </c>
      <c r="E257" t="str">
        <f t="shared" si="78"/>
        <v>1</v>
      </c>
      <c r="F257" t="str">
        <f t="shared" si="74"/>
        <v>COM</v>
      </c>
      <c r="G257" t="str">
        <f>"AC FARMA - FLEMINFARMA (10160)"</f>
        <v>AC FARMA - FLEMINFARMA (10160)</v>
      </c>
      <c r="H257" t="s">
        <v>67</v>
      </c>
      <c r="I257" t="str">
        <f t="shared" si="83"/>
        <v>01/01/2026</v>
      </c>
      <c r="J257" t="str">
        <f t="shared" si="84"/>
        <v>23/12/2025</v>
      </c>
      <c r="K257">
        <v>46027</v>
      </c>
      <c r="N257">
        <v>303</v>
      </c>
      <c r="O257" t="s">
        <v>26</v>
      </c>
      <c r="Q257">
        <v>162.97</v>
      </c>
      <c r="R257" t="str">
        <f>"AC FARMA -  FLEMINFARMA (10159)"</f>
        <v>AC FARMA -  FLEMINFARMA (10159)</v>
      </c>
      <c r="S257" t="s">
        <v>27</v>
      </c>
      <c r="T257">
        <v>3729</v>
      </c>
      <c r="U257">
        <v>3138</v>
      </c>
      <c r="V257" t="s">
        <v>22</v>
      </c>
    </row>
    <row r="258" spans="1:22">
      <c r="A258" t="str">
        <f t="shared" si="75"/>
        <v>05/01/2026</v>
      </c>
      <c r="B258" t="str">
        <f t="shared" si="76"/>
        <v>ENTRADA</v>
      </c>
      <c r="C258" t="str">
        <f t="shared" si="77"/>
        <v>NFSE</v>
      </c>
      <c r="D258" t="str">
        <f>"4118"</f>
        <v>4118</v>
      </c>
      <c r="E258" t="str">
        <f t="shared" si="78"/>
        <v>1</v>
      </c>
      <c r="F258" t="str">
        <f t="shared" si="74"/>
        <v>COM</v>
      </c>
      <c r="G258" t="str">
        <f>"AC FARMA - FLEMINFARMA (10160)"</f>
        <v>AC FARMA - FLEMINFARMA (10160)</v>
      </c>
      <c r="H258" t="s">
        <v>67</v>
      </c>
      <c r="I258" t="str">
        <f t="shared" si="83"/>
        <v>01/01/2026</v>
      </c>
      <c r="J258" t="str">
        <f t="shared" si="84"/>
        <v>23/12/2025</v>
      </c>
      <c r="K258">
        <v>46027</v>
      </c>
      <c r="N258">
        <v>303</v>
      </c>
      <c r="O258" t="s">
        <v>26</v>
      </c>
      <c r="Q258">
        <v>2.9</v>
      </c>
      <c r="R258" t="str">
        <f>"AC FARMA - FLEMINFARMA (10160)"</f>
        <v>AC FARMA - FLEMINFARMA (10160)</v>
      </c>
      <c r="S258" t="s">
        <v>27</v>
      </c>
      <c r="T258">
        <v>3729</v>
      </c>
      <c r="U258">
        <v>3138</v>
      </c>
      <c r="V258" t="s">
        <v>22</v>
      </c>
    </row>
    <row r="259" spans="1:22">
      <c r="A259" t="str">
        <f t="shared" si="75"/>
        <v>05/01/2026</v>
      </c>
      <c r="B259" t="str">
        <f t="shared" si="76"/>
        <v>ENTRADA</v>
      </c>
      <c r="C259" t="str">
        <f t="shared" si="77"/>
        <v>NFSE</v>
      </c>
      <c r="D259" t="str">
        <f>"4119"</f>
        <v>4119</v>
      </c>
      <c r="E259" t="str">
        <f t="shared" si="78"/>
        <v>1</v>
      </c>
      <c r="F259" t="str">
        <f t="shared" si="74"/>
        <v>COM</v>
      </c>
      <c r="G259" t="str">
        <f>"AC FARMA - FLEMINFARMA 5 (10183)"</f>
        <v>AC FARMA - FLEMINFARMA 5 (10183)</v>
      </c>
      <c r="H259" t="str">
        <f>"Serv.Prest. 15/12/2025 a 21/12/2025 - RPS: 1881 - NFSe: 4119"</f>
        <v>Serv.Prest. 15/12/2025 a 21/12/2025 - RPS: 1881 - NFSe: 4119</v>
      </c>
      <c r="I259" t="str">
        <f t="shared" si="83"/>
        <v>01/01/2026</v>
      </c>
      <c r="J259" t="str">
        <f t="shared" si="84"/>
        <v>23/12/2025</v>
      </c>
      <c r="K259" t="str">
        <f>("05/01/2026")</f>
        <v>05/01/2026</v>
      </c>
      <c r="L259">
        <v>97.49</v>
      </c>
      <c r="M259">
        <v>97.49</v>
      </c>
      <c r="N259">
        <v>303</v>
      </c>
      <c r="O259" t="str">
        <f>"RECEITAS COM ENTREGAS"</f>
        <v>RECEITAS COM ENTREGAS</v>
      </c>
      <c r="P259">
        <v>97.49</v>
      </c>
      <c r="S259" t="str">
        <f>"RECEITAS COM ENTREGAS (303)"</f>
        <v>RECEITAS COM ENTREGAS (303)</v>
      </c>
      <c r="T259">
        <v>3730</v>
      </c>
      <c r="U259">
        <v>3139</v>
      </c>
      <c r="V259" t="s">
        <v>22</v>
      </c>
    </row>
    <row r="260" spans="1:22">
      <c r="A260" t="str">
        <f t="shared" si="75"/>
        <v>05/01/2026</v>
      </c>
      <c r="B260" t="str">
        <f t="shared" si="76"/>
        <v>ENTRADA</v>
      </c>
      <c r="C260" t="str">
        <f t="shared" si="77"/>
        <v>NFSE</v>
      </c>
      <c r="D260" t="str">
        <f>"4119"</f>
        <v>4119</v>
      </c>
      <c r="E260" t="str">
        <f t="shared" si="78"/>
        <v>1</v>
      </c>
      <c r="F260" t="str">
        <f t="shared" si="74"/>
        <v>COM</v>
      </c>
      <c r="G260" t="str">
        <f>"AC FARMA - FLEMINFARMA 5 (10183)"</f>
        <v>AC FARMA - FLEMINFARMA 5 (10183)</v>
      </c>
      <c r="H260" t="s">
        <v>68</v>
      </c>
      <c r="I260" t="str">
        <f t="shared" si="83"/>
        <v>01/01/2026</v>
      </c>
      <c r="J260" t="str">
        <f t="shared" si="84"/>
        <v>23/12/2025</v>
      </c>
      <c r="K260">
        <v>46027</v>
      </c>
      <c r="N260">
        <v>303</v>
      </c>
      <c r="O260" t="s">
        <v>26</v>
      </c>
      <c r="Q260">
        <v>94.58</v>
      </c>
      <c r="R260" t="str">
        <f>"AC FARMA - FLEMINFARMA 5 (10183)"</f>
        <v>AC FARMA - FLEMINFARMA 5 (10183)</v>
      </c>
      <c r="S260" t="s">
        <v>27</v>
      </c>
      <c r="T260">
        <v>3730</v>
      </c>
      <c r="U260">
        <v>3139</v>
      </c>
      <c r="V260" t="s">
        <v>22</v>
      </c>
    </row>
    <row r="261" spans="1:22">
      <c r="A261" t="str">
        <f t="shared" si="75"/>
        <v>05/01/2026</v>
      </c>
      <c r="B261" t="str">
        <f t="shared" si="76"/>
        <v>ENTRADA</v>
      </c>
      <c r="C261" t="str">
        <f t="shared" si="77"/>
        <v>NFSE</v>
      </c>
      <c r="D261" t="str">
        <f>"4119"</f>
        <v>4119</v>
      </c>
      <c r="E261" t="str">
        <f t="shared" si="78"/>
        <v>1</v>
      </c>
      <c r="F261" t="str">
        <f t="shared" si="74"/>
        <v>COM</v>
      </c>
      <c r="G261" t="str">
        <f>"AC FARMA - FLEMINFARMA 5 (10183)"</f>
        <v>AC FARMA - FLEMINFARMA 5 (10183)</v>
      </c>
      <c r="H261" t="s">
        <v>68</v>
      </c>
      <c r="I261" t="str">
        <f t="shared" si="83"/>
        <v>01/01/2026</v>
      </c>
      <c r="J261" t="str">
        <f t="shared" si="84"/>
        <v>23/12/2025</v>
      </c>
      <c r="K261">
        <v>46027</v>
      </c>
      <c r="N261">
        <v>303</v>
      </c>
      <c r="O261" t="s">
        <v>26</v>
      </c>
      <c r="Q261">
        <v>2.91</v>
      </c>
      <c r="R261" t="str">
        <f>"AC FARMA - FLEMINFARMA 6 (10184)"</f>
        <v>AC FARMA - FLEMINFARMA 6 (10184)</v>
      </c>
      <c r="S261" t="s">
        <v>27</v>
      </c>
      <c r="T261">
        <v>3730</v>
      </c>
      <c r="U261">
        <v>3139</v>
      </c>
      <c r="V261" t="s">
        <v>22</v>
      </c>
    </row>
    <row r="262" spans="1:22">
      <c r="A262" t="str">
        <f t="shared" si="75"/>
        <v>05/01/2026</v>
      </c>
      <c r="B262" t="str">
        <f t="shared" si="76"/>
        <v>ENTRADA</v>
      </c>
      <c r="C262" t="str">
        <f t="shared" si="77"/>
        <v>NFSE</v>
      </c>
      <c r="D262" t="str">
        <f>"4126"</f>
        <v>4126</v>
      </c>
      <c r="E262" t="str">
        <f t="shared" si="78"/>
        <v>1</v>
      </c>
      <c r="F262" t="str">
        <f t="shared" si="74"/>
        <v>COM</v>
      </c>
      <c r="G262" t="str">
        <f>"BRASIL FARMA (10173)"</f>
        <v>BRASIL FARMA (10173)</v>
      </c>
      <c r="H262" t="str">
        <f>"Serv.Prest. 22/12/2025 a 28/12/2025 - RPS: 1888 - NFSe: 4126"</f>
        <v>Serv.Prest. 22/12/2025 a 28/12/2025 - RPS: 1888 - NFSe: 4126</v>
      </c>
      <c r="I262" t="str">
        <f>("31/12/2025")</f>
        <v>31/12/2025</v>
      </c>
      <c r="J262" t="str">
        <f>("29/12/2025")</f>
        <v>29/12/2025</v>
      </c>
      <c r="K262" t="str">
        <f>("05/01/2026")</f>
        <v>05/01/2026</v>
      </c>
      <c r="L262">
        <v>300.89999999999998</v>
      </c>
      <c r="M262">
        <v>300.89999999999998</v>
      </c>
      <c r="N262">
        <v>303</v>
      </c>
      <c r="O262" t="str">
        <f>"RECEITAS COM ENTREGAS"</f>
        <v>RECEITAS COM ENTREGAS</v>
      </c>
      <c r="P262">
        <v>300.89999999999998</v>
      </c>
      <c r="S262" t="str">
        <f>"RECEITAS COM ENTREGAS (303)"</f>
        <v>RECEITAS COM ENTREGAS (303)</v>
      </c>
      <c r="T262">
        <v>3731</v>
      </c>
      <c r="U262">
        <v>3146</v>
      </c>
      <c r="V262" t="s">
        <v>22</v>
      </c>
    </row>
    <row r="263" spans="1:22">
      <c r="A263" t="str">
        <f t="shared" si="75"/>
        <v>05/01/2026</v>
      </c>
      <c r="B263" t="str">
        <f t="shared" si="76"/>
        <v>ENTRADA</v>
      </c>
      <c r="C263" t="str">
        <f t="shared" si="77"/>
        <v>NFSE</v>
      </c>
      <c r="D263" t="str">
        <f>"4126"</f>
        <v>4126</v>
      </c>
      <c r="E263" t="str">
        <f t="shared" si="78"/>
        <v>1</v>
      </c>
      <c r="F263" t="str">
        <f t="shared" ref="F263:F293" si="85">"COM"</f>
        <v>COM</v>
      </c>
      <c r="G263" t="str">
        <f>"BRASIL FARMA (10173)"</f>
        <v>BRASIL FARMA (10173)</v>
      </c>
      <c r="H263" t="s">
        <v>69</v>
      </c>
      <c r="I263" t="str">
        <f>("31/12/2025")</f>
        <v>31/12/2025</v>
      </c>
      <c r="J263" t="str">
        <f>("29/12/2025")</f>
        <v>29/12/2025</v>
      </c>
      <c r="K263">
        <v>46027</v>
      </c>
      <c r="N263">
        <v>303</v>
      </c>
      <c r="O263" t="s">
        <v>26</v>
      </c>
      <c r="Q263">
        <v>300.89999999999998</v>
      </c>
      <c r="R263" t="str">
        <f>"BRASIL FARMA (10173)"</f>
        <v>BRASIL FARMA (10173)</v>
      </c>
      <c r="S263" t="s">
        <v>27</v>
      </c>
      <c r="T263">
        <v>3731</v>
      </c>
      <c r="U263">
        <v>3146</v>
      </c>
      <c r="V263" t="s">
        <v>22</v>
      </c>
    </row>
    <row r="264" spans="1:22">
      <c r="A264" t="str">
        <f t="shared" si="75"/>
        <v>05/01/2026</v>
      </c>
      <c r="B264" t="str">
        <f t="shared" ref="B264:B271" si="86">"SAÍDA"</f>
        <v>SAÍDA</v>
      </c>
      <c r="C264" t="str">
        <f>"PIX"</f>
        <v>PIX</v>
      </c>
      <c r="D264" t="str">
        <f t="shared" ref="D264:D269" si="87">"0501"</f>
        <v>0501</v>
      </c>
      <c r="E264" t="str">
        <f t="shared" ref="E264:E269" si="88">"26"</f>
        <v>26</v>
      </c>
      <c r="F264" t="str">
        <f t="shared" si="85"/>
        <v>COM</v>
      </c>
      <c r="G264" t="str">
        <f>"LILIANE DE FATIMA REZENDE JUSTINO (20013)"</f>
        <v>LILIANE DE FATIMA REZENDE JUSTINO (20013)</v>
      </c>
      <c r="H264" t="str">
        <f>"DESPESAS COM VIAGEM PARA LIMEIRA / RIO CLARO / JUNDIAI"</f>
        <v>DESPESAS COM VIAGEM PARA LIMEIRA / RIO CLARO / JUNDIAI</v>
      </c>
      <c r="I264" t="str">
        <f>("05/01/2026")</f>
        <v>05/01/2026</v>
      </c>
      <c r="J264" t="str">
        <f>("05/01/2026")</f>
        <v>05/01/2026</v>
      </c>
      <c r="K264" t="str">
        <f>("05/01/2026")</f>
        <v>05/01/2026</v>
      </c>
      <c r="L264">
        <v>1000</v>
      </c>
      <c r="M264">
        <v>1000</v>
      </c>
      <c r="N264">
        <v>128</v>
      </c>
      <c r="O264" t="str">
        <f>"DESPESAS COM VIAGENS"</f>
        <v>DESPESAS COM VIAGENS</v>
      </c>
      <c r="P264">
        <v>1000</v>
      </c>
      <c r="S264" t="str">
        <f>"BANCO CORA (102)"</f>
        <v>BANCO CORA (102)</v>
      </c>
      <c r="T264">
        <v>4166</v>
      </c>
      <c r="U264">
        <v>3738</v>
      </c>
      <c r="V264" t="s">
        <v>22</v>
      </c>
    </row>
    <row r="265" spans="1:22">
      <c r="A265" t="str">
        <f t="shared" si="75"/>
        <v>05/01/2026</v>
      </c>
      <c r="B265" t="str">
        <f t="shared" si="86"/>
        <v>SAÍDA</v>
      </c>
      <c r="C265" t="str">
        <f>"PIX"</f>
        <v>PIX</v>
      </c>
      <c r="D265" t="str">
        <f t="shared" si="87"/>
        <v>0501</v>
      </c>
      <c r="E265" t="str">
        <f t="shared" si="88"/>
        <v>26</v>
      </c>
      <c r="F265" t="str">
        <f t="shared" si="85"/>
        <v>COM</v>
      </c>
      <c r="G265" t="str">
        <f>"LILIANE DE FATIMA REZENDE JUSTINO (20013)"</f>
        <v>LILIANE DE FATIMA REZENDE JUSTINO (20013)</v>
      </c>
      <c r="H265" t="s">
        <v>70</v>
      </c>
      <c r="I265" t="str">
        <f t="shared" ref="I265:J269" si="89">("05/01/2026")</f>
        <v>05/01/2026</v>
      </c>
      <c r="J265" t="str">
        <f t="shared" si="89"/>
        <v>05/01/2026</v>
      </c>
      <c r="K265">
        <v>46027</v>
      </c>
      <c r="N265">
        <v>128</v>
      </c>
      <c r="O265" t="s">
        <v>60</v>
      </c>
      <c r="Q265">
        <v>166.6</v>
      </c>
      <c r="R265" t="str">
        <f>"DROGARIA MORENO LTDA (10171)"</f>
        <v>DROGARIA MORENO LTDA (10171)</v>
      </c>
      <c r="S265" t="s">
        <v>22</v>
      </c>
      <c r="T265">
        <v>4166</v>
      </c>
      <c r="U265">
        <v>3738</v>
      </c>
      <c r="V265" t="s">
        <v>22</v>
      </c>
    </row>
    <row r="266" spans="1:22">
      <c r="A266" t="str">
        <f t="shared" si="75"/>
        <v>05/01/2026</v>
      </c>
      <c r="B266" t="str">
        <f t="shared" si="86"/>
        <v>SAÍDA</v>
      </c>
      <c r="C266" t="str">
        <f>"PIX"</f>
        <v>PIX</v>
      </c>
      <c r="D266" t="str">
        <f t="shared" si="87"/>
        <v>0501</v>
      </c>
      <c r="E266" t="str">
        <f t="shared" si="88"/>
        <v>26</v>
      </c>
      <c r="F266" t="str">
        <f t="shared" si="85"/>
        <v>COM</v>
      </c>
      <c r="G266" t="str">
        <f>"LILIANE DE FATIMA REZENDE JUSTINO (20013)"</f>
        <v>LILIANE DE FATIMA REZENDE JUSTINO (20013)</v>
      </c>
      <c r="H266" t="s">
        <v>70</v>
      </c>
      <c r="I266" t="str">
        <f t="shared" si="89"/>
        <v>05/01/2026</v>
      </c>
      <c r="J266" t="str">
        <f t="shared" si="89"/>
        <v>05/01/2026</v>
      </c>
      <c r="K266">
        <v>46027</v>
      </c>
      <c r="N266">
        <v>128</v>
      </c>
      <c r="O266" t="s">
        <v>60</v>
      </c>
      <c r="Q266">
        <v>166.7</v>
      </c>
      <c r="R266" t="str">
        <f>"DROGARIA MEDIC CENTER LTDA (10172)"</f>
        <v>DROGARIA MEDIC CENTER LTDA (10172)</v>
      </c>
      <c r="S266" t="s">
        <v>22</v>
      </c>
      <c r="T266">
        <v>4166</v>
      </c>
      <c r="U266">
        <v>3738</v>
      </c>
      <c r="V266" t="s">
        <v>22</v>
      </c>
    </row>
    <row r="267" spans="1:22">
      <c r="A267" t="str">
        <f t="shared" si="75"/>
        <v>05/01/2026</v>
      </c>
      <c r="B267" t="str">
        <f t="shared" si="86"/>
        <v>SAÍDA</v>
      </c>
      <c r="C267" t="str">
        <f>"PIX"</f>
        <v>PIX</v>
      </c>
      <c r="D267" t="str">
        <f t="shared" si="87"/>
        <v>0501</v>
      </c>
      <c r="E267" t="str">
        <f t="shared" si="88"/>
        <v>26</v>
      </c>
      <c r="F267" t="str">
        <f t="shared" si="85"/>
        <v>COM</v>
      </c>
      <c r="G267" t="str">
        <f>"LILIANE DE FATIMA REZENDE JUSTINO (20013)"</f>
        <v>LILIANE DE FATIMA REZENDE JUSTINO (20013)</v>
      </c>
      <c r="H267" t="s">
        <v>70</v>
      </c>
      <c r="I267" t="str">
        <f t="shared" si="89"/>
        <v>05/01/2026</v>
      </c>
      <c r="J267" t="str">
        <f t="shared" si="89"/>
        <v>05/01/2026</v>
      </c>
      <c r="K267">
        <v>46027</v>
      </c>
      <c r="N267">
        <v>128</v>
      </c>
      <c r="O267" t="s">
        <v>60</v>
      </c>
      <c r="Q267">
        <v>666.7</v>
      </c>
      <c r="R267" t="str">
        <f>"BEM TE FAZ 01 (10283)"</f>
        <v>BEM TE FAZ 01 (10283)</v>
      </c>
      <c r="S267" t="s">
        <v>22</v>
      </c>
      <c r="T267">
        <v>4166</v>
      </c>
      <c r="U267">
        <v>3738</v>
      </c>
      <c r="V267" t="s">
        <v>22</v>
      </c>
    </row>
    <row r="268" spans="1:22">
      <c r="A268" t="str">
        <f t="shared" si="75"/>
        <v>05/01/2026</v>
      </c>
      <c r="B268" t="str">
        <f t="shared" si="86"/>
        <v>SAÍDA</v>
      </c>
      <c r="C268" t="str">
        <f>"BOLETO"</f>
        <v>BOLETO</v>
      </c>
      <c r="D268" t="str">
        <f t="shared" si="87"/>
        <v>0501</v>
      </c>
      <c r="E268" t="str">
        <f t="shared" si="88"/>
        <v>26</v>
      </c>
      <c r="F268" t="str">
        <f t="shared" si="85"/>
        <v>COM</v>
      </c>
      <c r="G268" t="str">
        <f>"CORA SOCIEDADE DE CREDITO, FINANCIAMENTO E INVESTIMENTO (20035)"</f>
        <v>CORA SOCIEDADE DE CREDITO, FINANCIAMENTO E INVESTIMENTO (20035)</v>
      </c>
      <c r="H268" t="str">
        <f>"TAXA BOLETO CORA (6x1,7)"</f>
        <v>TAXA BOLETO CORA (6x1,7)</v>
      </c>
      <c r="I268" t="str">
        <f t="shared" si="89"/>
        <v>05/01/2026</v>
      </c>
      <c r="J268" t="str">
        <f t="shared" si="89"/>
        <v>05/01/2026</v>
      </c>
      <c r="K268" t="str">
        <f>("05/01/2026")</f>
        <v>05/01/2026</v>
      </c>
      <c r="L268">
        <v>10.199999999999999</v>
      </c>
      <c r="M268">
        <v>10.199999999999999</v>
      </c>
      <c r="N268">
        <v>401</v>
      </c>
      <c r="O268" t="str">
        <f>"IOF/JUROS/DESP.FINANCEIRA"</f>
        <v>IOF/JUROS/DESP.FINANCEIRA</v>
      </c>
      <c r="P268">
        <v>10.199999999999999</v>
      </c>
      <c r="S268" t="str">
        <f>"BANCO CORA (102)"</f>
        <v>BANCO CORA (102)</v>
      </c>
      <c r="T268">
        <v>4167</v>
      </c>
      <c r="U268">
        <v>3739</v>
      </c>
      <c r="V268" t="s">
        <v>22</v>
      </c>
    </row>
    <row r="269" spans="1:22">
      <c r="A269" t="str">
        <f t="shared" si="75"/>
        <v>05/01/2026</v>
      </c>
      <c r="B269" t="str">
        <f t="shared" si="86"/>
        <v>SAÍDA</v>
      </c>
      <c r="C269" t="str">
        <f>"BOLETO"</f>
        <v>BOLETO</v>
      </c>
      <c r="D269" t="str">
        <f t="shared" si="87"/>
        <v>0501</v>
      </c>
      <c r="E269" t="str">
        <f t="shared" si="88"/>
        <v>26</v>
      </c>
      <c r="F269" t="str">
        <f t="shared" si="85"/>
        <v>COM</v>
      </c>
      <c r="G269" t="str">
        <f>"CORA SOCIEDADE DE CREDITO, FINANCIAMENTO E INVESTIMENTO (20035)"</f>
        <v>CORA SOCIEDADE DE CREDITO, FINANCIAMENTO E INVESTIMENTO (20035)</v>
      </c>
      <c r="H269" t="s">
        <v>71</v>
      </c>
      <c r="I269" t="str">
        <f t="shared" si="89"/>
        <v>05/01/2026</v>
      </c>
      <c r="J269" t="str">
        <f t="shared" si="89"/>
        <v>05/01/2026</v>
      </c>
      <c r="K269">
        <v>46027</v>
      </c>
      <c r="N269">
        <v>401</v>
      </c>
      <c r="O269" t="s">
        <v>58</v>
      </c>
      <c r="Q269">
        <v>10.199999999999999</v>
      </c>
      <c r="R269" t="str">
        <f>"CORA SOCIEDADE DE CREDITO, FINANCIAMENTO E INVESTIMENTO (20035)"</f>
        <v>CORA SOCIEDADE DE CREDITO, FINANCIAMENTO E INVESTIMENTO (20035)</v>
      </c>
      <c r="S269" t="s">
        <v>22</v>
      </c>
      <c r="T269">
        <v>4167</v>
      </c>
      <c r="U269">
        <v>3739</v>
      </c>
      <c r="V269" t="s">
        <v>22</v>
      </c>
    </row>
    <row r="270" spans="1:22">
      <c r="A270" t="str">
        <f t="shared" ref="A270:A294" si="90">("06/01/2026")</f>
        <v>06/01/2026</v>
      </c>
      <c r="B270" t="str">
        <f t="shared" si="86"/>
        <v>SAÍDA</v>
      </c>
      <c r="C270" t="str">
        <f>"PIX"</f>
        <v>PIX</v>
      </c>
      <c r="D270" t="str">
        <f>"06012026"</f>
        <v>06012026</v>
      </c>
      <c r="E270" t="str">
        <f>""</f>
        <v/>
      </c>
      <c r="F270" t="str">
        <f t="shared" si="85"/>
        <v>COM</v>
      </c>
      <c r="G270" t="str">
        <f>"LILIANE DE FATIMA REZENDE JUSTINO (20013)"</f>
        <v>LILIANE DE FATIMA REZENDE JUSTINO (20013)</v>
      </c>
      <c r="H270" t="str">
        <f>"REF. PRO-LABORE MES 12/25"</f>
        <v>REF. PRO-LABORE MES 12/25</v>
      </c>
      <c r="I270" t="str">
        <f>("06/01/2026")</f>
        <v>06/01/2026</v>
      </c>
      <c r="J270" t="str">
        <f>("06/01/2026")</f>
        <v>06/01/2026</v>
      </c>
      <c r="K270" t="str">
        <f>("06/01/2026")</f>
        <v>06/01/2026</v>
      </c>
      <c r="L270">
        <v>210</v>
      </c>
      <c r="M270">
        <v>210</v>
      </c>
      <c r="N270">
        <v>124</v>
      </c>
      <c r="O270" t="str">
        <f>"PRO LABORE - LILIANE"</f>
        <v>PRO LABORE - LILIANE</v>
      </c>
      <c r="P270">
        <v>210</v>
      </c>
      <c r="S270" t="str">
        <f>"CAIXA MOVIMENTAÇÃO OPERACIONAL (132)"</f>
        <v>CAIXA MOVIMENTAÇÃO OPERACIONAL (132)</v>
      </c>
      <c r="T270">
        <v>3663</v>
      </c>
      <c r="U270">
        <v>3227</v>
      </c>
      <c r="V270" t="s">
        <v>72</v>
      </c>
    </row>
    <row r="271" spans="1:22">
      <c r="A271" t="str">
        <f t="shared" si="90"/>
        <v>06/01/2026</v>
      </c>
      <c r="B271" t="str">
        <f t="shared" si="86"/>
        <v>SAÍDA</v>
      </c>
      <c r="C271" t="str">
        <f>"PIX"</f>
        <v>PIX</v>
      </c>
      <c r="D271" t="str">
        <f>"06012026"</f>
        <v>06012026</v>
      </c>
      <c r="E271" t="str">
        <f>""</f>
        <v/>
      </c>
      <c r="F271" t="str">
        <f t="shared" si="85"/>
        <v>COM</v>
      </c>
      <c r="G271" t="str">
        <f>"LILIANE DE FATIMA REZENDE JUSTINO (20013)"</f>
        <v>LILIANE DE FATIMA REZENDE JUSTINO (20013)</v>
      </c>
      <c r="H271" t="s">
        <v>73</v>
      </c>
      <c r="I271" t="str">
        <f>("06/01/2026")</f>
        <v>06/01/2026</v>
      </c>
      <c r="J271" t="str">
        <f>("06/01/2026")</f>
        <v>06/01/2026</v>
      </c>
      <c r="K271">
        <v>46028</v>
      </c>
      <c r="N271">
        <v>124</v>
      </c>
      <c r="O271" t="s">
        <v>74</v>
      </c>
      <c r="Q271">
        <v>210</v>
      </c>
      <c r="R271" t="str">
        <f>"LILIANE DE FATIMA REZENDE JUSTINO (20013)"</f>
        <v>LILIANE DE FATIMA REZENDE JUSTINO (20013)</v>
      </c>
      <c r="S271" t="s">
        <v>72</v>
      </c>
      <c r="T271">
        <v>3663</v>
      </c>
      <c r="U271">
        <v>3227</v>
      </c>
      <c r="V271" t="s">
        <v>72</v>
      </c>
    </row>
    <row r="272" spans="1:22">
      <c r="A272" t="str">
        <f t="shared" si="90"/>
        <v>06/01/2026</v>
      </c>
      <c r="B272" t="str">
        <f>"ENTRADA"</f>
        <v>ENTRADA</v>
      </c>
      <c r="C272" t="str">
        <f>"DINHEIRO"</f>
        <v>DINHEIRO</v>
      </c>
      <c r="D272" t="str">
        <f>"08012026"</f>
        <v>08012026</v>
      </c>
      <c r="E272" t="str">
        <f>""</f>
        <v/>
      </c>
      <c r="F272" t="str">
        <f t="shared" si="85"/>
        <v>COM</v>
      </c>
      <c r="G272" t="str">
        <f>"LILIANE DE FATIMA REZENDE JUSTINO (20013)"</f>
        <v>LILIANE DE FATIMA REZENDE JUSTINO (20013)</v>
      </c>
      <c r="H272" t="str">
        <f>"CO PARTICIPAÇAÕ CONVENIO "</f>
        <v xml:space="preserve">CO PARTICIPAÇAÕ CONVENIO </v>
      </c>
      <c r="I272" t="str">
        <f>("08/01/2026")</f>
        <v>08/01/2026</v>
      </c>
      <c r="J272" t="str">
        <f>("02/01/2026")</f>
        <v>02/01/2026</v>
      </c>
      <c r="K272" t="str">
        <f>("06/01/2026")</f>
        <v>06/01/2026</v>
      </c>
      <c r="L272">
        <v>210</v>
      </c>
      <c r="M272">
        <v>210</v>
      </c>
      <c r="N272">
        <v>119</v>
      </c>
      <c r="O272" t="str">
        <f>"RECEITAS COM REEMBOLSOS"</f>
        <v>RECEITAS COM REEMBOLSOS</v>
      </c>
      <c r="P272">
        <v>210</v>
      </c>
      <c r="S272" t="str">
        <f>"RECEITAS COM REEMBOLSOS (119)"</f>
        <v>RECEITAS COM REEMBOLSOS (119)</v>
      </c>
      <c r="T272">
        <v>3664</v>
      </c>
      <c r="U272">
        <v>3189</v>
      </c>
      <c r="V272" t="s">
        <v>72</v>
      </c>
    </row>
    <row r="273" spans="1:22">
      <c r="A273" t="str">
        <f t="shared" si="90"/>
        <v>06/01/2026</v>
      </c>
      <c r="B273" t="str">
        <f>"ENTRADA"</f>
        <v>ENTRADA</v>
      </c>
      <c r="C273" t="str">
        <f>"DINHEIRO"</f>
        <v>DINHEIRO</v>
      </c>
      <c r="D273" t="str">
        <f>"08012026"</f>
        <v>08012026</v>
      </c>
      <c r="E273" t="str">
        <f>""</f>
        <v/>
      </c>
      <c r="F273" t="str">
        <f t="shared" si="85"/>
        <v>COM</v>
      </c>
      <c r="G273" t="str">
        <f>"LILIANE DE FATIMA REZENDE JUSTINO (20013)"</f>
        <v>LILIANE DE FATIMA REZENDE JUSTINO (20013)</v>
      </c>
      <c r="H273" t="s">
        <v>75</v>
      </c>
      <c r="I273" t="str">
        <f>("08/01/2026")</f>
        <v>08/01/2026</v>
      </c>
      <c r="J273" t="str">
        <f>("02/01/2026")</f>
        <v>02/01/2026</v>
      </c>
      <c r="K273">
        <v>46028</v>
      </c>
      <c r="N273">
        <v>119</v>
      </c>
      <c r="O273" t="s">
        <v>76</v>
      </c>
      <c r="Q273">
        <v>210</v>
      </c>
      <c r="R273" t="str">
        <f>"LILIANE DE FATIMA REZENDE JUSTINO (20013)"</f>
        <v>LILIANE DE FATIMA REZENDE JUSTINO (20013)</v>
      </c>
      <c r="S273" t="s">
        <v>77</v>
      </c>
      <c r="T273">
        <v>3664</v>
      </c>
      <c r="U273">
        <v>3189</v>
      </c>
      <c r="V273" t="s">
        <v>72</v>
      </c>
    </row>
    <row r="274" spans="1:22">
      <c r="A274" t="str">
        <f t="shared" si="90"/>
        <v>06/01/2026</v>
      </c>
      <c r="B274" t="str">
        <f>"SAÍDA"</f>
        <v>SAÍDA</v>
      </c>
      <c r="C274" t="str">
        <f>"PIX"</f>
        <v>PIX</v>
      </c>
      <c r="D274" t="str">
        <f>"06012026"</f>
        <v>06012026</v>
      </c>
      <c r="E274" t="str">
        <f>""</f>
        <v/>
      </c>
      <c r="F274" t="str">
        <f t="shared" si="85"/>
        <v>COM</v>
      </c>
      <c r="G274" t="str">
        <f>"MARCELO REZENDE ARANTES (20014)"</f>
        <v>MARCELO REZENDE ARANTES (20014)</v>
      </c>
      <c r="H274" t="str">
        <f>"REF. PRO-LABORE MES 12/2025"</f>
        <v>REF. PRO-LABORE MES 12/2025</v>
      </c>
      <c r="I274" t="str">
        <f>("06/01/2026")</f>
        <v>06/01/2026</v>
      </c>
      <c r="J274" t="str">
        <f>("06/01/2026")</f>
        <v>06/01/2026</v>
      </c>
      <c r="K274" t="str">
        <f>("06/01/2026")</f>
        <v>06/01/2026</v>
      </c>
      <c r="L274">
        <v>44.48</v>
      </c>
      <c r="M274">
        <v>44.48</v>
      </c>
      <c r="N274">
        <v>108</v>
      </c>
      <c r="O274" t="str">
        <f>"PRO LABORE - MARCELO"</f>
        <v>PRO LABORE - MARCELO</v>
      </c>
      <c r="P274">
        <v>44.48</v>
      </c>
      <c r="S274" t="str">
        <f>"CAIXA MOVIMENTAÇÃO OPERACIONAL (132)"</f>
        <v>CAIXA MOVIMENTAÇÃO OPERACIONAL (132)</v>
      </c>
      <c r="T274">
        <v>3665</v>
      </c>
      <c r="U274">
        <v>3241</v>
      </c>
      <c r="V274" t="s">
        <v>72</v>
      </c>
    </row>
    <row r="275" spans="1:22">
      <c r="A275" t="str">
        <f t="shared" si="90"/>
        <v>06/01/2026</v>
      </c>
      <c r="B275" t="str">
        <f>"SAÍDA"</f>
        <v>SAÍDA</v>
      </c>
      <c r="C275" t="str">
        <f>"PIX"</f>
        <v>PIX</v>
      </c>
      <c r="D275" t="str">
        <f>"06012026"</f>
        <v>06012026</v>
      </c>
      <c r="E275" t="str">
        <f>""</f>
        <v/>
      </c>
      <c r="F275" t="str">
        <f t="shared" si="85"/>
        <v>COM</v>
      </c>
      <c r="G275" t="str">
        <f>"MARCELO REZENDE ARANTES (20014)"</f>
        <v>MARCELO REZENDE ARANTES (20014)</v>
      </c>
      <c r="H275" t="s">
        <v>78</v>
      </c>
      <c r="I275" t="str">
        <f>("06/01/2026")</f>
        <v>06/01/2026</v>
      </c>
      <c r="J275" t="str">
        <f>("06/01/2026")</f>
        <v>06/01/2026</v>
      </c>
      <c r="K275">
        <v>46028</v>
      </c>
      <c r="N275">
        <v>108</v>
      </c>
      <c r="O275" t="s">
        <v>79</v>
      </c>
      <c r="Q275">
        <v>44.48</v>
      </c>
      <c r="R275" t="str">
        <f>"MARCELO REZENDE ARANTES (20014)"</f>
        <v>MARCELO REZENDE ARANTES (20014)</v>
      </c>
      <c r="S275" t="s">
        <v>72</v>
      </c>
      <c r="T275">
        <v>3665</v>
      </c>
      <c r="U275">
        <v>3241</v>
      </c>
      <c r="V275" t="s">
        <v>72</v>
      </c>
    </row>
    <row r="276" spans="1:22">
      <c r="A276" t="str">
        <f t="shared" si="90"/>
        <v>06/01/2026</v>
      </c>
      <c r="B276" t="str">
        <f>"ENTRADA"</f>
        <v>ENTRADA</v>
      </c>
      <c r="C276" t="str">
        <f>"DINHEIRO"</f>
        <v>DINHEIRO</v>
      </c>
      <c r="D276" t="str">
        <f>"08012026"</f>
        <v>08012026</v>
      </c>
      <c r="E276" t="str">
        <f>""</f>
        <v/>
      </c>
      <c r="F276" t="str">
        <f t="shared" si="85"/>
        <v>COM</v>
      </c>
      <c r="G276" t="str">
        <f>"MARCELO REZENDE ARANTES (20014)"</f>
        <v>MARCELO REZENDE ARANTES (20014)</v>
      </c>
      <c r="H276" t="str">
        <f>"CO PARTICIPAÇÃO CONVENIO "</f>
        <v xml:space="preserve">CO PARTICIPAÇÃO CONVENIO </v>
      </c>
      <c r="I276" t="str">
        <f>("08/01/2026")</f>
        <v>08/01/2026</v>
      </c>
      <c r="J276" t="str">
        <f>("02/01/2026")</f>
        <v>02/01/2026</v>
      </c>
      <c r="K276" t="str">
        <f>("06/01/2026")</f>
        <v>06/01/2026</v>
      </c>
      <c r="L276">
        <v>44.48</v>
      </c>
      <c r="M276">
        <v>44.48</v>
      </c>
      <c r="N276">
        <v>119</v>
      </c>
      <c r="O276" t="str">
        <f>"RECEITAS COM REEMBOLSOS"</f>
        <v>RECEITAS COM REEMBOLSOS</v>
      </c>
      <c r="P276">
        <v>44.48</v>
      </c>
      <c r="S276" t="str">
        <f>"RECEITAS COM REEMBOLSOS (119)"</f>
        <v>RECEITAS COM REEMBOLSOS (119)</v>
      </c>
      <c r="T276">
        <v>3666</v>
      </c>
      <c r="U276">
        <v>3190</v>
      </c>
      <c r="V276" t="s">
        <v>72</v>
      </c>
    </row>
    <row r="277" spans="1:22">
      <c r="A277" t="str">
        <f t="shared" si="90"/>
        <v>06/01/2026</v>
      </c>
      <c r="B277" t="str">
        <f>"ENTRADA"</f>
        <v>ENTRADA</v>
      </c>
      <c r="C277" t="str">
        <f>"DINHEIRO"</f>
        <v>DINHEIRO</v>
      </c>
      <c r="D277" t="str">
        <f>"08012026"</f>
        <v>08012026</v>
      </c>
      <c r="E277" t="str">
        <f>""</f>
        <v/>
      </c>
      <c r="F277" t="str">
        <f t="shared" si="85"/>
        <v>COM</v>
      </c>
      <c r="G277" t="str">
        <f>"MARCELO REZENDE ARANTES (20014)"</f>
        <v>MARCELO REZENDE ARANTES (20014)</v>
      </c>
      <c r="H277" t="s">
        <v>80</v>
      </c>
      <c r="I277" t="str">
        <f>("08/01/2026")</f>
        <v>08/01/2026</v>
      </c>
      <c r="J277" t="str">
        <f>("02/01/2026")</f>
        <v>02/01/2026</v>
      </c>
      <c r="K277">
        <v>46028</v>
      </c>
      <c r="N277">
        <v>119</v>
      </c>
      <c r="O277" t="s">
        <v>76</v>
      </c>
      <c r="Q277">
        <v>44.48</v>
      </c>
      <c r="R277" t="str">
        <f>"MARCELO REZENDE ARANTES (20014)"</f>
        <v>MARCELO REZENDE ARANTES (20014)</v>
      </c>
      <c r="S277" t="s">
        <v>77</v>
      </c>
      <c r="T277">
        <v>3666</v>
      </c>
      <c r="U277">
        <v>3190</v>
      </c>
      <c r="V277" t="s">
        <v>72</v>
      </c>
    </row>
    <row r="278" spans="1:22">
      <c r="A278" t="str">
        <f t="shared" si="90"/>
        <v>06/01/2026</v>
      </c>
      <c r="B278" t="str">
        <f t="shared" ref="B278:B287" si="91">"SAÍDA"</f>
        <v>SAÍDA</v>
      </c>
      <c r="C278" t="str">
        <f>"BOLETO"</f>
        <v>BOLETO</v>
      </c>
      <c r="D278" t="str">
        <f>"01"</f>
        <v>01</v>
      </c>
      <c r="E278" t="str">
        <f>"18"</f>
        <v>18</v>
      </c>
      <c r="F278" t="str">
        <f t="shared" si="85"/>
        <v>COM</v>
      </c>
      <c r="G278" t="str">
        <f>"BANCO DO BRASIL (20001)"</f>
        <v>BANCO DO BRASIL (20001)</v>
      </c>
      <c r="H278" t="str">
        <f>"EMPRESTIMO FUI TECNOLOGIA"</f>
        <v>EMPRESTIMO FUI TECNOLOGIA</v>
      </c>
      <c r="I278" t="str">
        <f t="shared" ref="I278:I287" si="92">("06/01/2026")</f>
        <v>06/01/2026</v>
      </c>
      <c r="J278" t="str">
        <f>("06/12/2025")</f>
        <v>06/12/2025</v>
      </c>
      <c r="K278" t="str">
        <f>("06/01/2026")</f>
        <v>06/01/2026</v>
      </c>
      <c r="L278">
        <v>508.77</v>
      </c>
      <c r="M278">
        <v>508.77</v>
      </c>
      <c r="N278">
        <v>114</v>
      </c>
      <c r="O278" t="str">
        <f>"EMPRESTIMOS"</f>
        <v>EMPRESTIMOS</v>
      </c>
      <c r="P278">
        <v>508.77</v>
      </c>
      <c r="S278" t="str">
        <f>"BANCO CORA (102)"</f>
        <v>BANCO CORA (102)</v>
      </c>
      <c r="T278">
        <v>3688</v>
      </c>
      <c r="U278">
        <v>82</v>
      </c>
      <c r="V278" t="s">
        <v>22</v>
      </c>
    </row>
    <row r="279" spans="1:22">
      <c r="A279" t="str">
        <f t="shared" si="90"/>
        <v>06/01/2026</v>
      </c>
      <c r="B279" t="str">
        <f t="shared" si="91"/>
        <v>SAÍDA</v>
      </c>
      <c r="C279" t="str">
        <f>"BOLETO"</f>
        <v>BOLETO</v>
      </c>
      <c r="D279" t="str">
        <f>"01"</f>
        <v>01</v>
      </c>
      <c r="E279" t="str">
        <f>"18"</f>
        <v>18</v>
      </c>
      <c r="F279" t="str">
        <f t="shared" si="85"/>
        <v>COM</v>
      </c>
      <c r="G279" t="str">
        <f>"BANCO DO BRASIL (20001)"</f>
        <v>BANCO DO BRASIL (20001)</v>
      </c>
      <c r="H279" t="s">
        <v>81</v>
      </c>
      <c r="I279" t="str">
        <f t="shared" si="92"/>
        <v>06/01/2026</v>
      </c>
      <c r="J279" t="str">
        <f>("06/12/2025")</f>
        <v>06/12/2025</v>
      </c>
      <c r="K279">
        <v>46028</v>
      </c>
      <c r="N279">
        <v>114</v>
      </c>
      <c r="O279" t="s">
        <v>82</v>
      </c>
      <c r="Q279">
        <v>508.77</v>
      </c>
      <c r="R279" t="str">
        <f>"BANCO DO BRASIL (20001)"</f>
        <v>BANCO DO BRASIL (20001)</v>
      </c>
      <c r="S279" t="s">
        <v>22</v>
      </c>
      <c r="T279">
        <v>3688</v>
      </c>
      <c r="U279">
        <v>82</v>
      </c>
      <c r="V279" t="s">
        <v>22</v>
      </c>
    </row>
    <row r="280" spans="1:22">
      <c r="A280" t="str">
        <f t="shared" si="90"/>
        <v>06/01/2026</v>
      </c>
      <c r="B280" t="str">
        <f t="shared" si="91"/>
        <v>SAÍDA</v>
      </c>
      <c r="C280" t="str">
        <f t="shared" ref="C280:C287" si="93">"PIX"</f>
        <v>PIX</v>
      </c>
      <c r="D280" t="str">
        <f>"1509251000"</f>
        <v>1509251000</v>
      </c>
      <c r="E280" t="str">
        <f>"2"</f>
        <v>2</v>
      </c>
      <c r="F280" t="str">
        <f t="shared" si="85"/>
        <v>COM</v>
      </c>
      <c r="G280" t="str">
        <f>"CONTA SIMPLES SOLUCOES DE PAGAMENTOS LTDA (20019)"</f>
        <v>CONTA SIMPLES SOLUCOES DE PAGAMENTOS LTDA (20019)</v>
      </c>
      <c r="H280" t="str">
        <f>"MARKETING REDES SOCIAIS - PIX- CHAVE ALEATORIA: 1d5b84cc-db31-469d-b8ee-076ced54c3e9"</f>
        <v>MARKETING REDES SOCIAIS - PIX- CHAVE ALEATORIA: 1d5b84cc-db31-469d-b8ee-076ced54c3e9</v>
      </c>
      <c r="I280" t="str">
        <f t="shared" si="92"/>
        <v>06/01/2026</v>
      </c>
      <c r="J280" t="str">
        <f>("06/01/2026")</f>
        <v>06/01/2026</v>
      </c>
      <c r="K280" t="str">
        <f>("06/01/2026")</f>
        <v>06/01/2026</v>
      </c>
      <c r="L280">
        <v>1500</v>
      </c>
      <c r="M280">
        <v>1500</v>
      </c>
      <c r="N280">
        <v>127</v>
      </c>
      <c r="O280" t="str">
        <f>"PUBLICIDADE E PROPAGANDAS"</f>
        <v>PUBLICIDADE E PROPAGANDAS</v>
      </c>
      <c r="P280">
        <v>1500</v>
      </c>
      <c r="S280" t="str">
        <f>"BANCO CORA (102)"</f>
        <v>BANCO CORA (102)</v>
      </c>
      <c r="T280">
        <v>3689</v>
      </c>
      <c r="U280">
        <v>3193</v>
      </c>
      <c r="V280" t="s">
        <v>22</v>
      </c>
    </row>
    <row r="281" spans="1:22">
      <c r="A281" t="str">
        <f t="shared" si="90"/>
        <v>06/01/2026</v>
      </c>
      <c r="B281" t="str">
        <f t="shared" si="91"/>
        <v>SAÍDA</v>
      </c>
      <c r="C281" t="str">
        <f t="shared" si="93"/>
        <v>PIX</v>
      </c>
      <c r="D281" t="str">
        <f>"1509251000"</f>
        <v>1509251000</v>
      </c>
      <c r="E281" t="str">
        <f>"2"</f>
        <v>2</v>
      </c>
      <c r="F281" t="str">
        <f t="shared" si="85"/>
        <v>COM</v>
      </c>
      <c r="G281" t="str">
        <f>"CONTA SIMPLES SOLUCOES DE PAGAMENTOS LTDA (20019)"</f>
        <v>CONTA SIMPLES SOLUCOES DE PAGAMENTOS LTDA (20019)</v>
      </c>
      <c r="H281" t="s">
        <v>83</v>
      </c>
      <c r="I281" t="str">
        <f t="shared" si="92"/>
        <v>06/01/2026</v>
      </c>
      <c r="J281" t="str">
        <f t="shared" ref="J281:J287" si="94">("06/01/2026")</f>
        <v>06/01/2026</v>
      </c>
      <c r="K281">
        <v>46028</v>
      </c>
      <c r="N281">
        <v>127</v>
      </c>
      <c r="O281" t="s">
        <v>84</v>
      </c>
      <c r="Q281">
        <v>1500</v>
      </c>
      <c r="R281" t="str">
        <f>"CONTA SIMPLES SOLUCOES DE PAGAMENTOS LTDA (20019)"</f>
        <v>CONTA SIMPLES SOLUCOES DE PAGAMENTOS LTDA (20019)</v>
      </c>
      <c r="S281" t="s">
        <v>22</v>
      </c>
      <c r="T281">
        <v>3689</v>
      </c>
      <c r="U281">
        <v>3193</v>
      </c>
      <c r="V281" t="s">
        <v>22</v>
      </c>
    </row>
    <row r="282" spans="1:22">
      <c r="A282" t="str">
        <f t="shared" si="90"/>
        <v>06/01/2026</v>
      </c>
      <c r="B282" t="str">
        <f t="shared" si="91"/>
        <v>SAÍDA</v>
      </c>
      <c r="C282" t="str">
        <f t="shared" si="93"/>
        <v>PIX</v>
      </c>
      <c r="D282" t="str">
        <f t="shared" ref="D282:D287" si="95">"06012026"</f>
        <v>06012026</v>
      </c>
      <c r="E282" t="str">
        <f>""</f>
        <v/>
      </c>
      <c r="F282" t="str">
        <f t="shared" si="85"/>
        <v>COM</v>
      </c>
      <c r="G282" t="str">
        <f>"LILIANE DE FATIMA REZENDE JUSTINO (20013)"</f>
        <v>LILIANE DE FATIMA REZENDE JUSTINO (20013)</v>
      </c>
      <c r="H282" t="str">
        <f>"REF. PRO-LABORE MES 12/25"</f>
        <v>REF. PRO-LABORE MES 12/25</v>
      </c>
      <c r="I282" t="str">
        <f t="shared" si="92"/>
        <v>06/01/2026</v>
      </c>
      <c r="J282" t="str">
        <f t="shared" si="94"/>
        <v>06/01/2026</v>
      </c>
      <c r="K282" t="str">
        <f>("06/01/2026")</f>
        <v>06/01/2026</v>
      </c>
      <c r="L282">
        <v>23123.33</v>
      </c>
      <c r="M282">
        <v>23123.33</v>
      </c>
      <c r="N282">
        <v>124</v>
      </c>
      <c r="O282" t="str">
        <f>"PRO LABORE - LILIANE"</f>
        <v>PRO LABORE - LILIANE</v>
      </c>
      <c r="P282">
        <v>23123.33</v>
      </c>
      <c r="S282" t="str">
        <f>"BANCO CORA (102)"</f>
        <v>BANCO CORA (102)</v>
      </c>
      <c r="T282">
        <v>3690</v>
      </c>
      <c r="U282">
        <v>3200</v>
      </c>
      <c r="V282" t="s">
        <v>22</v>
      </c>
    </row>
    <row r="283" spans="1:22">
      <c r="A283" t="str">
        <f t="shared" si="90"/>
        <v>06/01/2026</v>
      </c>
      <c r="B283" t="str">
        <f t="shared" si="91"/>
        <v>SAÍDA</v>
      </c>
      <c r="C283" t="str">
        <f t="shared" si="93"/>
        <v>PIX</v>
      </c>
      <c r="D283" t="str">
        <f t="shared" si="95"/>
        <v>06012026</v>
      </c>
      <c r="E283" t="str">
        <f>""</f>
        <v/>
      </c>
      <c r="F283" t="str">
        <f t="shared" si="85"/>
        <v>COM</v>
      </c>
      <c r="G283" t="str">
        <f>"LILIANE DE FATIMA REZENDE JUSTINO (20013)"</f>
        <v>LILIANE DE FATIMA REZENDE JUSTINO (20013)</v>
      </c>
      <c r="H283" t="s">
        <v>73</v>
      </c>
      <c r="I283" t="str">
        <f t="shared" si="92"/>
        <v>06/01/2026</v>
      </c>
      <c r="J283" t="str">
        <f t="shared" si="94"/>
        <v>06/01/2026</v>
      </c>
      <c r="K283">
        <v>46028</v>
      </c>
      <c r="N283">
        <v>124</v>
      </c>
      <c r="O283" t="s">
        <v>74</v>
      </c>
      <c r="Q283">
        <v>23123.33</v>
      </c>
      <c r="R283" t="str">
        <f>"LILIANE DE FATIMA REZENDE JUSTINO (20013)"</f>
        <v>LILIANE DE FATIMA REZENDE JUSTINO (20013)</v>
      </c>
      <c r="S283" t="s">
        <v>22</v>
      </c>
      <c r="T283">
        <v>3690</v>
      </c>
      <c r="U283">
        <v>3200</v>
      </c>
      <c r="V283" t="s">
        <v>22</v>
      </c>
    </row>
    <row r="284" spans="1:22">
      <c r="A284" t="str">
        <f t="shared" si="90"/>
        <v>06/01/2026</v>
      </c>
      <c r="B284" t="str">
        <f t="shared" si="91"/>
        <v>SAÍDA</v>
      </c>
      <c r="C284" t="str">
        <f t="shared" si="93"/>
        <v>PIX</v>
      </c>
      <c r="D284" t="str">
        <f t="shared" si="95"/>
        <v>06012026</v>
      </c>
      <c r="E284" t="str">
        <f>"2"</f>
        <v>2</v>
      </c>
      <c r="F284" t="str">
        <f t="shared" si="85"/>
        <v>COM</v>
      </c>
      <c r="G284" t="str">
        <f>"LILIANE DE FATIMA REZENDE JUSTINO (20013)"</f>
        <v>LILIANE DE FATIMA REZENDE JUSTINO (20013)</v>
      </c>
      <c r="H284" t="str">
        <f>"REF. PREST. SERVICO LILIANE"</f>
        <v>REF. PREST. SERVICO LILIANE</v>
      </c>
      <c r="I284" t="str">
        <f t="shared" si="92"/>
        <v>06/01/2026</v>
      </c>
      <c r="J284" t="str">
        <f t="shared" si="94"/>
        <v>06/01/2026</v>
      </c>
      <c r="K284" t="str">
        <f>("06/01/2026")</f>
        <v>06/01/2026</v>
      </c>
      <c r="L284">
        <v>1500</v>
      </c>
      <c r="M284">
        <v>1500</v>
      </c>
      <c r="N284">
        <v>124</v>
      </c>
      <c r="O284" t="str">
        <f>"PRO LABORE - LILIANE"</f>
        <v>PRO LABORE - LILIANE</v>
      </c>
      <c r="P284">
        <v>1500</v>
      </c>
      <c r="S284" t="str">
        <f>"BANCO CORA (102)"</f>
        <v>BANCO CORA (102)</v>
      </c>
      <c r="T284">
        <v>3691</v>
      </c>
      <c r="U284">
        <v>3213</v>
      </c>
      <c r="V284" t="s">
        <v>22</v>
      </c>
    </row>
    <row r="285" spans="1:22">
      <c r="A285" t="str">
        <f t="shared" si="90"/>
        <v>06/01/2026</v>
      </c>
      <c r="B285" t="str">
        <f t="shared" si="91"/>
        <v>SAÍDA</v>
      </c>
      <c r="C285" t="str">
        <f t="shared" si="93"/>
        <v>PIX</v>
      </c>
      <c r="D285" t="str">
        <f t="shared" si="95"/>
        <v>06012026</v>
      </c>
      <c r="E285" t="str">
        <f>"2"</f>
        <v>2</v>
      </c>
      <c r="F285" t="str">
        <f t="shared" si="85"/>
        <v>COM</v>
      </c>
      <c r="G285" t="str">
        <f>"LILIANE DE FATIMA REZENDE JUSTINO (20013)"</f>
        <v>LILIANE DE FATIMA REZENDE JUSTINO (20013)</v>
      </c>
      <c r="H285" t="s">
        <v>85</v>
      </c>
      <c r="I285" t="str">
        <f t="shared" si="92"/>
        <v>06/01/2026</v>
      </c>
      <c r="J285" t="str">
        <f t="shared" si="94"/>
        <v>06/01/2026</v>
      </c>
      <c r="K285">
        <v>46028</v>
      </c>
      <c r="N285">
        <v>124</v>
      </c>
      <c r="O285" t="s">
        <v>74</v>
      </c>
      <c r="Q285">
        <v>1500</v>
      </c>
      <c r="R285" t="str">
        <f>"LILIANE DE FATIMA REZENDE JUSTINO (20013)"</f>
        <v>LILIANE DE FATIMA REZENDE JUSTINO (20013)</v>
      </c>
      <c r="S285" t="s">
        <v>22</v>
      </c>
      <c r="T285">
        <v>3691</v>
      </c>
      <c r="U285">
        <v>3213</v>
      </c>
      <c r="V285" t="s">
        <v>22</v>
      </c>
    </row>
    <row r="286" spans="1:22">
      <c r="A286" t="str">
        <f t="shared" si="90"/>
        <v>06/01/2026</v>
      </c>
      <c r="B286" t="str">
        <f t="shared" si="91"/>
        <v>SAÍDA</v>
      </c>
      <c r="C286" t="str">
        <f t="shared" si="93"/>
        <v>PIX</v>
      </c>
      <c r="D286" t="str">
        <f t="shared" si="95"/>
        <v>06012026</v>
      </c>
      <c r="E286" t="str">
        <f>""</f>
        <v/>
      </c>
      <c r="F286" t="str">
        <f t="shared" si="85"/>
        <v>COM</v>
      </c>
      <c r="G286" t="str">
        <f>"MARCELO REZENDE ARANTES (20014)"</f>
        <v>MARCELO REZENDE ARANTES (20014)</v>
      </c>
      <c r="H286" t="str">
        <f>"REF. PRO-LABORE MES 12/2025"</f>
        <v>REF. PRO-LABORE MES 12/2025</v>
      </c>
      <c r="I286" t="str">
        <f t="shared" si="92"/>
        <v>06/01/2026</v>
      </c>
      <c r="J286" t="str">
        <f t="shared" si="94"/>
        <v>06/01/2026</v>
      </c>
      <c r="K286" t="str">
        <f>("06/01/2026")</f>
        <v>06/01/2026</v>
      </c>
      <c r="L286">
        <v>9955.52</v>
      </c>
      <c r="M286">
        <v>9955.52</v>
      </c>
      <c r="N286">
        <v>108</v>
      </c>
      <c r="O286" t="str">
        <f>"PRO LABORE - MARCELO"</f>
        <v>PRO LABORE - MARCELO</v>
      </c>
      <c r="P286">
        <v>9955.52</v>
      </c>
      <c r="S286" t="str">
        <f>"BANCO CORA (102)"</f>
        <v>BANCO CORA (102)</v>
      </c>
      <c r="T286">
        <v>3692</v>
      </c>
      <c r="U286">
        <v>3228</v>
      </c>
      <c r="V286" t="s">
        <v>22</v>
      </c>
    </row>
    <row r="287" spans="1:22">
      <c r="A287" t="str">
        <f t="shared" si="90"/>
        <v>06/01/2026</v>
      </c>
      <c r="B287" t="str">
        <f t="shared" si="91"/>
        <v>SAÍDA</v>
      </c>
      <c r="C287" t="str">
        <f t="shared" si="93"/>
        <v>PIX</v>
      </c>
      <c r="D287" t="str">
        <f t="shared" si="95"/>
        <v>06012026</v>
      </c>
      <c r="E287" t="str">
        <f>""</f>
        <v/>
      </c>
      <c r="F287" t="str">
        <f t="shared" si="85"/>
        <v>COM</v>
      </c>
      <c r="G287" t="str">
        <f>"MARCELO REZENDE ARANTES (20014)"</f>
        <v>MARCELO REZENDE ARANTES (20014)</v>
      </c>
      <c r="H287" t="s">
        <v>78</v>
      </c>
      <c r="I287" t="str">
        <f t="shared" si="92"/>
        <v>06/01/2026</v>
      </c>
      <c r="J287" t="str">
        <f t="shared" si="94"/>
        <v>06/01/2026</v>
      </c>
      <c r="K287">
        <v>46028</v>
      </c>
      <c r="N287">
        <v>108</v>
      </c>
      <c r="O287" t="s">
        <v>79</v>
      </c>
      <c r="Q287">
        <v>9955.52</v>
      </c>
      <c r="R287" t="str">
        <f>"MARCELO REZENDE ARANTES (20014)"</f>
        <v>MARCELO REZENDE ARANTES (20014)</v>
      </c>
      <c r="S287" t="s">
        <v>22</v>
      </c>
      <c r="T287">
        <v>3692</v>
      </c>
      <c r="U287">
        <v>3228</v>
      </c>
      <c r="V287" t="s">
        <v>22</v>
      </c>
    </row>
    <row r="288" spans="1:22">
      <c r="A288" t="str">
        <f t="shared" si="90"/>
        <v>06/01/2026</v>
      </c>
      <c r="B288" t="str">
        <f t="shared" ref="B288:B293" si="96">"ENTRADA"</f>
        <v>ENTRADA</v>
      </c>
      <c r="C288" t="str">
        <f t="shared" ref="C288:C293" si="97">"NFSE"</f>
        <v>NFSE</v>
      </c>
      <c r="D288" t="str">
        <f t="shared" ref="D288:D293" si="98">"4101"</f>
        <v>4101</v>
      </c>
      <c r="E288" t="str">
        <f t="shared" ref="E288:E293" si="99">"1"</f>
        <v>1</v>
      </c>
      <c r="F288" t="str">
        <f t="shared" si="85"/>
        <v>COM</v>
      </c>
      <c r="G288" t="str">
        <f t="shared" ref="G288:G293" si="100">"PAGMENOS - LJ 608 (10135)"</f>
        <v>PAGMENOS - LJ 608 (10135)</v>
      </c>
      <c r="H288" t="str">
        <f>"Serv.Prest. 15/12/2025 a 21/12/2025 - RPS: 1863 - NFSe: 4101"</f>
        <v>Serv.Prest. 15/12/2025 a 21/12/2025 - RPS: 1863 - NFSe: 4101</v>
      </c>
      <c r="I288" t="str">
        <f t="shared" ref="I288:I293" si="101">("24/12/2025")</f>
        <v>24/12/2025</v>
      </c>
      <c r="J288" t="str">
        <f t="shared" ref="J288:J293" si="102">("22/12/2025")</f>
        <v>22/12/2025</v>
      </c>
      <c r="K288" t="str">
        <f>("06/01/2026")</f>
        <v>06/01/2026</v>
      </c>
      <c r="L288">
        <v>1070.3900000000001</v>
      </c>
      <c r="M288">
        <v>1070.3900000000001</v>
      </c>
      <c r="N288">
        <v>303</v>
      </c>
      <c r="O288" t="str">
        <f>"RECEITAS COM ENTREGAS"</f>
        <v>RECEITAS COM ENTREGAS</v>
      </c>
      <c r="P288">
        <v>1070.3900000000001</v>
      </c>
      <c r="S288" t="str">
        <f>"RECEITAS COM ENTREGAS (303)"</f>
        <v>RECEITAS COM ENTREGAS (303)</v>
      </c>
      <c r="T288">
        <v>3732</v>
      </c>
      <c r="U288">
        <v>3119</v>
      </c>
      <c r="V288" t="s">
        <v>22</v>
      </c>
    </row>
    <row r="289" spans="1:22">
      <c r="A289" t="str">
        <f t="shared" si="90"/>
        <v>06/01/2026</v>
      </c>
      <c r="B289" t="str">
        <f t="shared" si="96"/>
        <v>ENTRADA</v>
      </c>
      <c r="C289" t="str">
        <f t="shared" si="97"/>
        <v>NFSE</v>
      </c>
      <c r="D289" t="str">
        <f t="shared" si="98"/>
        <v>4101</v>
      </c>
      <c r="E289" t="str">
        <f t="shared" si="99"/>
        <v>1</v>
      </c>
      <c r="F289" t="str">
        <f t="shared" si="85"/>
        <v>COM</v>
      </c>
      <c r="G289" t="str">
        <f t="shared" si="100"/>
        <v>PAGMENOS - LJ 608 (10135)</v>
      </c>
      <c r="H289" t="s">
        <v>86</v>
      </c>
      <c r="I289" t="str">
        <f t="shared" si="101"/>
        <v>24/12/2025</v>
      </c>
      <c r="J289" t="str">
        <f t="shared" si="102"/>
        <v>22/12/2025</v>
      </c>
      <c r="K289">
        <v>46028</v>
      </c>
      <c r="N289">
        <v>303</v>
      </c>
      <c r="O289" t="s">
        <v>26</v>
      </c>
      <c r="Q289">
        <v>220.29</v>
      </c>
      <c r="R289" t="str">
        <f>"PAGMENOS - LJ 608 (10135)"</f>
        <v>PAGMENOS - LJ 608 (10135)</v>
      </c>
      <c r="S289" t="s">
        <v>27</v>
      </c>
      <c r="T289">
        <v>3732</v>
      </c>
      <c r="U289">
        <v>3119</v>
      </c>
      <c r="V289" t="s">
        <v>22</v>
      </c>
    </row>
    <row r="290" spans="1:22">
      <c r="A290" t="str">
        <f t="shared" si="90"/>
        <v>06/01/2026</v>
      </c>
      <c r="B290" t="str">
        <f t="shared" si="96"/>
        <v>ENTRADA</v>
      </c>
      <c r="C290" t="str">
        <f t="shared" si="97"/>
        <v>NFSE</v>
      </c>
      <c r="D290" t="str">
        <f t="shared" si="98"/>
        <v>4101</v>
      </c>
      <c r="E290" t="str">
        <f t="shared" si="99"/>
        <v>1</v>
      </c>
      <c r="F290" t="str">
        <f t="shared" si="85"/>
        <v>COM</v>
      </c>
      <c r="G290" t="str">
        <f t="shared" si="100"/>
        <v>PAGMENOS - LJ 608 (10135)</v>
      </c>
      <c r="H290" t="s">
        <v>86</v>
      </c>
      <c r="I290" t="str">
        <f t="shared" si="101"/>
        <v>24/12/2025</v>
      </c>
      <c r="J290" t="str">
        <f t="shared" si="102"/>
        <v>22/12/2025</v>
      </c>
      <c r="K290">
        <v>46028</v>
      </c>
      <c r="N290">
        <v>303</v>
      </c>
      <c r="O290" t="s">
        <v>26</v>
      </c>
      <c r="Q290">
        <v>330.32</v>
      </c>
      <c r="R290" t="str">
        <f>"PAGMENOS - LJ 657 (10136)"</f>
        <v>PAGMENOS - LJ 657 (10136)</v>
      </c>
      <c r="S290" t="s">
        <v>27</v>
      </c>
      <c r="T290">
        <v>3732</v>
      </c>
      <c r="U290">
        <v>3119</v>
      </c>
      <c r="V290" t="s">
        <v>22</v>
      </c>
    </row>
    <row r="291" spans="1:22">
      <c r="A291" t="str">
        <f t="shared" si="90"/>
        <v>06/01/2026</v>
      </c>
      <c r="B291" t="str">
        <f t="shared" si="96"/>
        <v>ENTRADA</v>
      </c>
      <c r="C291" t="str">
        <f t="shared" si="97"/>
        <v>NFSE</v>
      </c>
      <c r="D291" t="str">
        <f t="shared" si="98"/>
        <v>4101</v>
      </c>
      <c r="E291" t="str">
        <f t="shared" si="99"/>
        <v>1</v>
      </c>
      <c r="F291" t="str">
        <f t="shared" si="85"/>
        <v>COM</v>
      </c>
      <c r="G291" t="str">
        <f t="shared" si="100"/>
        <v>PAGMENOS - LJ 608 (10135)</v>
      </c>
      <c r="H291" t="s">
        <v>86</v>
      </c>
      <c r="I291" t="str">
        <f t="shared" si="101"/>
        <v>24/12/2025</v>
      </c>
      <c r="J291" t="str">
        <f t="shared" si="102"/>
        <v>22/12/2025</v>
      </c>
      <c r="K291">
        <v>46028</v>
      </c>
      <c r="N291">
        <v>303</v>
      </c>
      <c r="O291" t="s">
        <v>26</v>
      </c>
      <c r="Q291">
        <v>28.15</v>
      </c>
      <c r="R291" t="str">
        <f>"PAGMENOS - LJ 326 (10264)"</f>
        <v>PAGMENOS - LJ 326 (10264)</v>
      </c>
      <c r="S291" t="s">
        <v>27</v>
      </c>
      <c r="T291">
        <v>3732</v>
      </c>
      <c r="U291">
        <v>3119</v>
      </c>
      <c r="V291" t="s">
        <v>22</v>
      </c>
    </row>
    <row r="292" spans="1:22">
      <c r="A292" t="str">
        <f t="shared" si="90"/>
        <v>06/01/2026</v>
      </c>
      <c r="B292" t="str">
        <f t="shared" si="96"/>
        <v>ENTRADA</v>
      </c>
      <c r="C292" t="str">
        <f t="shared" si="97"/>
        <v>NFSE</v>
      </c>
      <c r="D292" t="str">
        <f t="shared" si="98"/>
        <v>4101</v>
      </c>
      <c r="E292" t="str">
        <f t="shared" si="99"/>
        <v>1</v>
      </c>
      <c r="F292" t="str">
        <f t="shared" si="85"/>
        <v>COM</v>
      </c>
      <c r="G292" t="str">
        <f t="shared" si="100"/>
        <v>PAGMENOS - LJ 608 (10135)</v>
      </c>
      <c r="H292" t="s">
        <v>86</v>
      </c>
      <c r="I292" t="str">
        <f t="shared" si="101"/>
        <v>24/12/2025</v>
      </c>
      <c r="J292" t="str">
        <f t="shared" si="102"/>
        <v>22/12/2025</v>
      </c>
      <c r="K292">
        <v>46028</v>
      </c>
      <c r="N292">
        <v>303</v>
      </c>
      <c r="O292" t="s">
        <v>26</v>
      </c>
      <c r="Q292">
        <v>195.24</v>
      </c>
      <c r="R292" t="str">
        <f>"PAGMENOS - LJ 431 (10265)"</f>
        <v>PAGMENOS - LJ 431 (10265)</v>
      </c>
      <c r="S292" t="s">
        <v>27</v>
      </c>
      <c r="T292">
        <v>3732</v>
      </c>
      <c r="U292">
        <v>3119</v>
      </c>
      <c r="V292" t="s">
        <v>22</v>
      </c>
    </row>
    <row r="293" spans="1:22">
      <c r="A293" t="str">
        <f t="shared" si="90"/>
        <v>06/01/2026</v>
      </c>
      <c r="B293" t="str">
        <f t="shared" si="96"/>
        <v>ENTRADA</v>
      </c>
      <c r="C293" t="str">
        <f t="shared" si="97"/>
        <v>NFSE</v>
      </c>
      <c r="D293" t="str">
        <f t="shared" si="98"/>
        <v>4101</v>
      </c>
      <c r="E293" t="str">
        <f t="shared" si="99"/>
        <v>1</v>
      </c>
      <c r="F293" t="str">
        <f t="shared" si="85"/>
        <v>COM</v>
      </c>
      <c r="G293" t="str">
        <f t="shared" si="100"/>
        <v>PAGMENOS - LJ 608 (10135)</v>
      </c>
      <c r="H293" t="s">
        <v>86</v>
      </c>
      <c r="I293" t="str">
        <f t="shared" si="101"/>
        <v>24/12/2025</v>
      </c>
      <c r="J293" t="str">
        <f t="shared" si="102"/>
        <v>22/12/2025</v>
      </c>
      <c r="K293">
        <v>46028</v>
      </c>
      <c r="N293">
        <v>303</v>
      </c>
      <c r="O293" t="s">
        <v>26</v>
      </c>
      <c r="Q293">
        <v>296.39</v>
      </c>
      <c r="R293" t="str">
        <f>"PAGMENOS - LJ 768 (10266)"</f>
        <v>PAGMENOS - LJ 768 (10266)</v>
      </c>
      <c r="S293" t="s">
        <v>27</v>
      </c>
      <c r="T293">
        <v>3732</v>
      </c>
      <c r="U293">
        <v>3119</v>
      </c>
      <c r="V293" t="s">
        <v>22</v>
      </c>
    </row>
    <row r="294" spans="1:22">
      <c r="A294" t="str">
        <f t="shared" si="90"/>
        <v>06/01/2026</v>
      </c>
      <c r="B294" t="str">
        <f>"SAÍDA"</f>
        <v>SAÍDA</v>
      </c>
      <c r="C294" t="str">
        <f>"JUROS"</f>
        <v>JUROS</v>
      </c>
      <c r="D294" t="str">
        <f>""</f>
        <v/>
      </c>
      <c r="F294" t="str">
        <f>"CXA"</f>
        <v>CXA</v>
      </c>
      <c r="G294" t="str">
        <f>""</f>
        <v/>
      </c>
      <c r="H294" t="str">
        <f>"TARIFA SERV.COBR.TITULOS"</f>
        <v>TARIFA SERV.COBR.TITULOS</v>
      </c>
      <c r="I294" t="str">
        <f>("06/01/2026")</f>
        <v>06/01/2026</v>
      </c>
      <c r="J294" t="str">
        <f>("06/01/2026")</f>
        <v>06/01/2026</v>
      </c>
      <c r="K294" t="str">
        <f>("06/01/2026")</f>
        <v>06/01/2026</v>
      </c>
      <c r="L294">
        <v>52.82</v>
      </c>
      <c r="M294">
        <v>52.82</v>
      </c>
      <c r="N294">
        <v>401</v>
      </c>
      <c r="O294" t="str">
        <f>"IOF/JUROS/DESP.FINANCEIRA"</f>
        <v>IOF/JUROS/DESP.FINANCEIRA</v>
      </c>
      <c r="P294">
        <v>52.82</v>
      </c>
      <c r="S294" t="str">
        <f>"BANCO SICREDI (131)"</f>
        <v>BANCO SICREDI (131)</v>
      </c>
      <c r="T294">
        <v>4125</v>
      </c>
      <c r="U294">
        <v>0</v>
      </c>
      <c r="V294" t="s">
        <v>54</v>
      </c>
    </row>
    <row r="295" spans="1:22">
      <c r="A295" t="str">
        <f>("07/01/2026")</f>
        <v>07/01/2026</v>
      </c>
      <c r="B295" t="str">
        <f>"SAÍDA"</f>
        <v>SAÍDA</v>
      </c>
      <c r="C295" t="str">
        <f>"PIX"</f>
        <v>PIX</v>
      </c>
      <c r="D295" t="str">
        <f>"07012026"</f>
        <v>07012026</v>
      </c>
      <c r="E295" t="str">
        <f>""</f>
        <v/>
      </c>
      <c r="F295" t="str">
        <f>"COM"</f>
        <v>COM</v>
      </c>
      <c r="G295" t="str">
        <f>"REZENDE ASSESSORIA LTDA (20133)"</f>
        <v>REZENDE ASSESSORIA LTDA (20133)</v>
      </c>
      <c r="H295" t="str">
        <f>"COMISSAO DE VENDAS SETUP - DEZEMBRO/25 CHAVE PIX: 49.839.068/0001-58"</f>
        <v>COMISSAO DE VENDAS SETUP - DEZEMBRO/25 CHAVE PIX: 49.839.068/0001-58</v>
      </c>
      <c r="I295" t="str">
        <f t="shared" ref="I295:K298" si="103">("07/01/2026")</f>
        <v>07/01/2026</v>
      </c>
      <c r="J295" t="str">
        <f t="shared" si="103"/>
        <v>07/01/2026</v>
      </c>
      <c r="K295" t="str">
        <f t="shared" si="103"/>
        <v>07/01/2026</v>
      </c>
      <c r="L295">
        <v>4500</v>
      </c>
      <c r="M295">
        <v>4500</v>
      </c>
      <c r="N295">
        <v>126</v>
      </c>
      <c r="O295" t="str">
        <f>"COMISSÕES DE REPRESENTANTES"</f>
        <v>COMISSÕES DE REPRESENTANTES</v>
      </c>
      <c r="P295">
        <v>4500</v>
      </c>
      <c r="S295" t="str">
        <f>"BANCO CORA (102)"</f>
        <v>BANCO CORA (102)</v>
      </c>
      <c r="T295">
        <v>3693</v>
      </c>
      <c r="U295">
        <v>3287</v>
      </c>
      <c r="V295" t="s">
        <v>22</v>
      </c>
    </row>
    <row r="296" spans="1:22">
      <c r="A296" t="str">
        <f>("07/01/2026")</f>
        <v>07/01/2026</v>
      </c>
      <c r="B296" t="str">
        <f>"SAÍDA"</f>
        <v>SAÍDA</v>
      </c>
      <c r="C296" t="str">
        <f>"PIX"</f>
        <v>PIX</v>
      </c>
      <c r="D296" t="str">
        <f>"07012026"</f>
        <v>07012026</v>
      </c>
      <c r="E296" t="str">
        <f>""</f>
        <v/>
      </c>
      <c r="F296" t="str">
        <f>"COM"</f>
        <v>COM</v>
      </c>
      <c r="G296" t="str">
        <f>"NATAN ALVES DA SILVA SA (20005)"</f>
        <v>NATAN ALVES DA SILVA SA (20005)</v>
      </c>
      <c r="H296" t="str">
        <f>"DESPESAS COM TECNOLOGIA CHAVE PIX: 038106b8-bb3f-4e89-96dd-3b5f92bcebaf"</f>
        <v>DESPESAS COM TECNOLOGIA CHAVE PIX: 038106b8-bb3f-4e89-96dd-3b5f92bcebaf</v>
      </c>
      <c r="I296" t="str">
        <f t="shared" si="103"/>
        <v>07/01/2026</v>
      </c>
      <c r="J296" t="str">
        <f t="shared" si="103"/>
        <v>07/01/2026</v>
      </c>
      <c r="K296" t="str">
        <f t="shared" si="103"/>
        <v>07/01/2026</v>
      </c>
      <c r="L296">
        <v>475.3</v>
      </c>
      <c r="M296">
        <v>475.3</v>
      </c>
      <c r="N296">
        <v>104</v>
      </c>
      <c r="O296" t="str">
        <f>"SOFTWARE / LICENÇAS"</f>
        <v>SOFTWARE / LICENÇAS</v>
      </c>
      <c r="P296">
        <v>475.3</v>
      </c>
      <c r="S296" t="str">
        <f>"BANCO CORA (102)"</f>
        <v>BANCO CORA (102)</v>
      </c>
      <c r="T296">
        <v>3694</v>
      </c>
      <c r="U296">
        <v>3288</v>
      </c>
      <c r="V296" t="s">
        <v>22</v>
      </c>
    </row>
    <row r="297" spans="1:22">
      <c r="A297" t="str">
        <f>("07/01/2026")</f>
        <v>07/01/2026</v>
      </c>
      <c r="B297" t="str">
        <f>"SAÍDA"</f>
        <v>SAÍDA</v>
      </c>
      <c r="C297" t="str">
        <f>"JUROS"</f>
        <v>JUROS</v>
      </c>
      <c r="D297" t="str">
        <f>""</f>
        <v/>
      </c>
      <c r="F297" t="str">
        <f>"CXA"</f>
        <v>CXA</v>
      </c>
      <c r="G297" t="str">
        <f>""</f>
        <v/>
      </c>
      <c r="H297" t="str">
        <f>"TARIFA SERV.COBR.TITULOS"</f>
        <v>TARIFA SERV.COBR.TITULOS</v>
      </c>
      <c r="I297" t="str">
        <f t="shared" si="103"/>
        <v>07/01/2026</v>
      </c>
      <c r="J297" t="str">
        <f t="shared" si="103"/>
        <v>07/01/2026</v>
      </c>
      <c r="K297" t="str">
        <f t="shared" si="103"/>
        <v>07/01/2026</v>
      </c>
      <c r="L297">
        <v>9.73</v>
      </c>
      <c r="M297">
        <v>9.73</v>
      </c>
      <c r="N297">
        <v>401</v>
      </c>
      <c r="O297" t="str">
        <f>"IOF/JUROS/DESP.FINANCEIRA"</f>
        <v>IOF/JUROS/DESP.FINANCEIRA</v>
      </c>
      <c r="P297">
        <v>9.73</v>
      </c>
      <c r="S297" t="str">
        <f>"BANCO SICREDI (131)"</f>
        <v>BANCO SICREDI (131)</v>
      </c>
      <c r="T297">
        <v>4126</v>
      </c>
      <c r="U297">
        <v>0</v>
      </c>
      <c r="V297" t="s">
        <v>54</v>
      </c>
    </row>
    <row r="298" spans="1:22">
      <c r="A298" t="str">
        <f>("07/01/2026")</f>
        <v>07/01/2026</v>
      </c>
      <c r="B298" t="str">
        <f>"SAÍDA"</f>
        <v>SAÍDA</v>
      </c>
      <c r="C298" t="str">
        <f>"JUROS"</f>
        <v>JUROS</v>
      </c>
      <c r="D298" t="str">
        <f>""</f>
        <v/>
      </c>
      <c r="F298" t="str">
        <f>"CXA"</f>
        <v>CXA</v>
      </c>
      <c r="G298" t="str">
        <f>""</f>
        <v/>
      </c>
      <c r="H298" t="str">
        <f>"TARIFA SERV.COBR.TITULOS"</f>
        <v>TARIFA SERV.COBR.TITULOS</v>
      </c>
      <c r="I298" t="str">
        <f t="shared" si="103"/>
        <v>07/01/2026</v>
      </c>
      <c r="J298" t="str">
        <f t="shared" si="103"/>
        <v>07/01/2026</v>
      </c>
      <c r="K298" t="str">
        <f t="shared" si="103"/>
        <v>07/01/2026</v>
      </c>
      <c r="L298">
        <v>11.12</v>
      </c>
      <c r="M298">
        <v>11.12</v>
      </c>
      <c r="N298">
        <v>401</v>
      </c>
      <c r="O298" t="str">
        <f>"IOF/JUROS/DESP.FINANCEIRA"</f>
        <v>IOF/JUROS/DESP.FINANCEIRA</v>
      </c>
      <c r="P298">
        <v>11.12</v>
      </c>
      <c r="S298" t="str">
        <f>"BANCO SICREDI (131)"</f>
        <v>BANCO SICREDI (131)</v>
      </c>
      <c r="T298">
        <v>4127</v>
      </c>
      <c r="U298">
        <v>0</v>
      </c>
      <c r="V298" t="s">
        <v>54</v>
      </c>
    </row>
    <row r="299" spans="1:22">
      <c r="A299" t="str">
        <f t="shared" ref="A299:A330" si="104">("08/01/2026")</f>
        <v>08/01/2026</v>
      </c>
      <c r="B299" t="str">
        <f t="shared" ref="B299:B330" si="105">"ENTRADA"</f>
        <v>ENTRADA</v>
      </c>
      <c r="C299" t="str">
        <f t="shared" ref="C299:C330" si="106">"NFSE"</f>
        <v>NFSE</v>
      </c>
      <c r="D299" t="str">
        <f>"4127"</f>
        <v>4127</v>
      </c>
      <c r="E299" t="str">
        <f t="shared" ref="E299:E330" si="107">"1"</f>
        <v>1</v>
      </c>
      <c r="F299" t="str">
        <f t="shared" ref="F299:F330" si="108">"COM"</f>
        <v>COM</v>
      </c>
      <c r="G299" t="str">
        <f>"DROGARIA VAZ (10179)"</f>
        <v>DROGARIA VAZ (10179)</v>
      </c>
      <c r="H299" t="str">
        <f>"Serv.Prest. 22/12/2025 a 28/12/2025 - RPS: 1889 - NFSe: 4127"</f>
        <v>Serv.Prest. 22/12/2025 a 28/12/2025 - RPS: 1889 - NFSe: 4127</v>
      </c>
      <c r="I299" t="str">
        <f>("31/12/2025")</f>
        <v>31/12/2025</v>
      </c>
      <c r="J299" t="str">
        <f t="shared" ref="J299:J307" si="109">("29/12/2025")</f>
        <v>29/12/2025</v>
      </c>
      <c r="K299" t="str">
        <f>("08/01/2026")</f>
        <v>08/01/2026</v>
      </c>
      <c r="L299">
        <v>337.79</v>
      </c>
      <c r="M299">
        <v>345.44</v>
      </c>
      <c r="N299">
        <v>303</v>
      </c>
      <c r="O299" t="str">
        <f>"RECEITAS COM ENTREGAS"</f>
        <v>RECEITAS COM ENTREGAS</v>
      </c>
      <c r="P299">
        <v>345.44</v>
      </c>
      <c r="S299" t="str">
        <f>"RECEITAS COM ENTREGAS (303)"</f>
        <v>RECEITAS COM ENTREGAS (303)</v>
      </c>
      <c r="T299">
        <v>3918</v>
      </c>
      <c r="U299">
        <v>3147</v>
      </c>
      <c r="V299" t="s">
        <v>22</v>
      </c>
    </row>
    <row r="300" spans="1:22">
      <c r="A300" t="str">
        <f t="shared" si="104"/>
        <v>08/01/2026</v>
      </c>
      <c r="B300" t="str">
        <f t="shared" si="105"/>
        <v>ENTRADA</v>
      </c>
      <c r="C300" t="str">
        <f t="shared" si="106"/>
        <v>NFSE</v>
      </c>
      <c r="D300" t="str">
        <f>"4127"</f>
        <v>4127</v>
      </c>
      <c r="E300" t="str">
        <f t="shared" si="107"/>
        <v>1</v>
      </c>
      <c r="F300" t="str">
        <f t="shared" si="108"/>
        <v>COM</v>
      </c>
      <c r="G300" t="str">
        <f>"DROGARIA VAZ (10179)"</f>
        <v>DROGARIA VAZ (10179)</v>
      </c>
      <c r="H300" t="s">
        <v>87</v>
      </c>
      <c r="I300" t="str">
        <f>("31/12/2025")</f>
        <v>31/12/2025</v>
      </c>
      <c r="J300" t="str">
        <f t="shared" si="109"/>
        <v>29/12/2025</v>
      </c>
      <c r="K300">
        <v>46030</v>
      </c>
      <c r="N300">
        <v>303</v>
      </c>
      <c r="O300" t="s">
        <v>26</v>
      </c>
      <c r="Q300">
        <v>345.44</v>
      </c>
      <c r="R300" t="str">
        <f>"DROGARIA VAZ (10179)"</f>
        <v>DROGARIA VAZ (10179)</v>
      </c>
      <c r="S300" t="s">
        <v>27</v>
      </c>
      <c r="T300">
        <v>3918</v>
      </c>
      <c r="U300">
        <v>3147</v>
      </c>
      <c r="V300" t="s">
        <v>22</v>
      </c>
    </row>
    <row r="301" spans="1:22">
      <c r="A301" t="str">
        <f t="shared" si="104"/>
        <v>08/01/2026</v>
      </c>
      <c r="B301" t="str">
        <f t="shared" si="105"/>
        <v>ENTRADA</v>
      </c>
      <c r="C301" t="str">
        <f t="shared" si="106"/>
        <v>NFSE</v>
      </c>
      <c r="D301" t="str">
        <f>"4163"</f>
        <v>4163</v>
      </c>
      <c r="E301" t="str">
        <f t="shared" si="107"/>
        <v>1</v>
      </c>
      <c r="F301" t="str">
        <f t="shared" si="108"/>
        <v>COM</v>
      </c>
      <c r="G301" t="str">
        <f>"AC FARMA - CID.ALTA (10166)"</f>
        <v>AC FARMA - CID.ALTA (10166)</v>
      </c>
      <c r="H301" t="str">
        <f>"Serv.Prest. 22/12/2025 a 28/12/2025 - RPS: 1925 - NFSe: 4163"</f>
        <v>Serv.Prest. 22/12/2025 a 28/12/2025 - RPS: 1925 - NFSe: 4163</v>
      </c>
      <c r="I301" t="str">
        <f t="shared" ref="I301:I332" si="110">("07/01/2026")</f>
        <v>07/01/2026</v>
      </c>
      <c r="J301" t="str">
        <f t="shared" si="109"/>
        <v>29/12/2025</v>
      </c>
      <c r="K301" t="str">
        <f>("08/01/2026")</f>
        <v>08/01/2026</v>
      </c>
      <c r="L301">
        <v>797.34</v>
      </c>
      <c r="M301">
        <v>797.34</v>
      </c>
      <c r="N301">
        <v>303</v>
      </c>
      <c r="O301" t="str">
        <f>"RECEITAS COM ENTREGAS"</f>
        <v>RECEITAS COM ENTREGAS</v>
      </c>
      <c r="P301">
        <v>797.34</v>
      </c>
      <c r="S301" t="str">
        <f>"RECEITAS COM ENTREGAS (303)"</f>
        <v>RECEITAS COM ENTREGAS (303)</v>
      </c>
      <c r="T301">
        <v>3948</v>
      </c>
      <c r="U301">
        <v>3183</v>
      </c>
      <c r="V301" t="s">
        <v>88</v>
      </c>
    </row>
    <row r="302" spans="1:22">
      <c r="A302" t="str">
        <f t="shared" si="104"/>
        <v>08/01/2026</v>
      </c>
      <c r="B302" t="str">
        <f t="shared" si="105"/>
        <v>ENTRADA</v>
      </c>
      <c r="C302" t="str">
        <f t="shared" si="106"/>
        <v>NFSE</v>
      </c>
      <c r="D302" t="str">
        <f>"4163"</f>
        <v>4163</v>
      </c>
      <c r="E302" t="str">
        <f t="shared" si="107"/>
        <v>1</v>
      </c>
      <c r="F302" t="str">
        <f t="shared" si="108"/>
        <v>COM</v>
      </c>
      <c r="G302" t="str">
        <f>"AC FARMA - CID.ALTA (10166)"</f>
        <v>AC FARMA - CID.ALTA (10166)</v>
      </c>
      <c r="H302" t="s">
        <v>89</v>
      </c>
      <c r="I302" t="str">
        <f t="shared" si="110"/>
        <v>07/01/2026</v>
      </c>
      <c r="J302" t="str">
        <f t="shared" si="109"/>
        <v>29/12/2025</v>
      </c>
      <c r="K302">
        <v>46030</v>
      </c>
      <c r="N302">
        <v>303</v>
      </c>
      <c r="O302" t="s">
        <v>26</v>
      </c>
      <c r="Q302">
        <v>797.34</v>
      </c>
      <c r="R302" t="str">
        <f>"AC FARMA - CID.ALTA (10166)"</f>
        <v>AC FARMA - CID.ALTA (10166)</v>
      </c>
      <c r="S302" t="s">
        <v>27</v>
      </c>
      <c r="T302">
        <v>3948</v>
      </c>
      <c r="U302">
        <v>3183</v>
      </c>
      <c r="V302" t="s">
        <v>88</v>
      </c>
    </row>
    <row r="303" spans="1:22">
      <c r="A303" t="str">
        <f t="shared" si="104"/>
        <v>08/01/2026</v>
      </c>
      <c r="B303" t="str">
        <f t="shared" si="105"/>
        <v>ENTRADA</v>
      </c>
      <c r="C303" t="str">
        <f t="shared" si="106"/>
        <v>NFSE</v>
      </c>
      <c r="D303" t="str">
        <f>"4164"</f>
        <v>4164</v>
      </c>
      <c r="E303" t="str">
        <f t="shared" si="107"/>
        <v>1</v>
      </c>
      <c r="F303" t="str">
        <f t="shared" si="108"/>
        <v>COM</v>
      </c>
      <c r="G303" t="str">
        <f>"AC FARMA - FLEMINFARMA 5 (10183)"</f>
        <v>AC FARMA - FLEMINFARMA 5 (10183)</v>
      </c>
      <c r="H303" t="str">
        <f>"Serv.Prest. 22/12/2025 a 28/12/2025 - RPS: 1926 - NFSe: 4164"</f>
        <v>Serv.Prest. 22/12/2025 a 28/12/2025 - RPS: 1926 - NFSe: 4164</v>
      </c>
      <c r="I303" t="str">
        <f t="shared" si="110"/>
        <v>07/01/2026</v>
      </c>
      <c r="J303" t="str">
        <f t="shared" si="109"/>
        <v>29/12/2025</v>
      </c>
      <c r="K303" t="str">
        <f>("08/01/2026")</f>
        <v>08/01/2026</v>
      </c>
      <c r="L303">
        <v>61.12</v>
      </c>
      <c r="M303">
        <v>61.12</v>
      </c>
      <c r="N303">
        <v>303</v>
      </c>
      <c r="O303" t="str">
        <f>"RECEITAS COM ENTREGAS"</f>
        <v>RECEITAS COM ENTREGAS</v>
      </c>
      <c r="P303">
        <v>61.12</v>
      </c>
      <c r="S303" t="str">
        <f>"RECEITAS COM ENTREGAS (303)"</f>
        <v>RECEITAS COM ENTREGAS (303)</v>
      </c>
      <c r="T303">
        <v>3949</v>
      </c>
      <c r="U303">
        <v>3184</v>
      </c>
      <c r="V303" t="s">
        <v>88</v>
      </c>
    </row>
    <row r="304" spans="1:22">
      <c r="A304" t="str">
        <f t="shared" si="104"/>
        <v>08/01/2026</v>
      </c>
      <c r="B304" t="str">
        <f t="shared" si="105"/>
        <v>ENTRADA</v>
      </c>
      <c r="C304" t="str">
        <f t="shared" si="106"/>
        <v>NFSE</v>
      </c>
      <c r="D304" t="str">
        <f>"4164"</f>
        <v>4164</v>
      </c>
      <c r="E304" t="str">
        <f t="shared" si="107"/>
        <v>1</v>
      </c>
      <c r="F304" t="str">
        <f t="shared" si="108"/>
        <v>COM</v>
      </c>
      <c r="G304" t="str">
        <f>"AC FARMA - FLEMINFARMA 5 (10183)"</f>
        <v>AC FARMA - FLEMINFARMA 5 (10183)</v>
      </c>
      <c r="H304" t="s">
        <v>90</v>
      </c>
      <c r="I304" t="str">
        <f t="shared" si="110"/>
        <v>07/01/2026</v>
      </c>
      <c r="J304" t="str">
        <f t="shared" si="109"/>
        <v>29/12/2025</v>
      </c>
      <c r="K304">
        <v>46030</v>
      </c>
      <c r="N304">
        <v>303</v>
      </c>
      <c r="O304" t="s">
        <v>26</v>
      </c>
      <c r="Q304">
        <v>59.66</v>
      </c>
      <c r="R304" t="str">
        <f>"AC FARMA - FLEMINFARMA 5 (10183)"</f>
        <v>AC FARMA - FLEMINFARMA 5 (10183)</v>
      </c>
      <c r="S304" t="s">
        <v>27</v>
      </c>
      <c r="T304">
        <v>3949</v>
      </c>
      <c r="U304">
        <v>3184</v>
      </c>
      <c r="V304" t="s">
        <v>88</v>
      </c>
    </row>
    <row r="305" spans="1:22">
      <c r="A305" t="str">
        <f t="shared" si="104"/>
        <v>08/01/2026</v>
      </c>
      <c r="B305" t="str">
        <f t="shared" si="105"/>
        <v>ENTRADA</v>
      </c>
      <c r="C305" t="str">
        <f t="shared" si="106"/>
        <v>NFSE</v>
      </c>
      <c r="D305" t="str">
        <f>"4164"</f>
        <v>4164</v>
      </c>
      <c r="E305" t="str">
        <f t="shared" si="107"/>
        <v>1</v>
      </c>
      <c r="F305" t="str">
        <f t="shared" si="108"/>
        <v>COM</v>
      </c>
      <c r="G305" t="str">
        <f>"AC FARMA - FLEMINFARMA 5 (10183)"</f>
        <v>AC FARMA - FLEMINFARMA 5 (10183)</v>
      </c>
      <c r="H305" t="s">
        <v>90</v>
      </c>
      <c r="I305" t="str">
        <f t="shared" si="110"/>
        <v>07/01/2026</v>
      </c>
      <c r="J305" t="str">
        <f t="shared" si="109"/>
        <v>29/12/2025</v>
      </c>
      <c r="K305">
        <v>46030</v>
      </c>
      <c r="N305">
        <v>303</v>
      </c>
      <c r="O305" t="s">
        <v>26</v>
      </c>
      <c r="Q305">
        <v>1.46</v>
      </c>
      <c r="R305" t="str">
        <f>"AC FARMA - FLEMINFARMA 6 (10184)"</f>
        <v>AC FARMA - FLEMINFARMA 6 (10184)</v>
      </c>
      <c r="S305" t="s">
        <v>27</v>
      </c>
      <c r="T305">
        <v>3949</v>
      </c>
      <c r="U305">
        <v>3184</v>
      </c>
      <c r="V305" t="s">
        <v>88</v>
      </c>
    </row>
    <row r="306" spans="1:22">
      <c r="A306" t="str">
        <f t="shared" si="104"/>
        <v>08/01/2026</v>
      </c>
      <c r="B306" t="str">
        <f t="shared" si="105"/>
        <v>ENTRADA</v>
      </c>
      <c r="C306" t="str">
        <f t="shared" si="106"/>
        <v>NFSE</v>
      </c>
      <c r="D306" t="str">
        <f>"4165"</f>
        <v>4165</v>
      </c>
      <c r="E306" t="str">
        <f t="shared" si="107"/>
        <v>1</v>
      </c>
      <c r="F306" t="str">
        <f t="shared" si="108"/>
        <v>COM</v>
      </c>
      <c r="G306" t="str">
        <f>"AC FARMA - FLEMINFARMA (10160)"</f>
        <v>AC FARMA - FLEMINFARMA (10160)</v>
      </c>
      <c r="H306" t="str">
        <f>"Serv.Prest. 22/12/2025 a 28/12/2025 - RPS: 1927 - NFSe: 4165"</f>
        <v>Serv.Prest. 22/12/2025 a 28/12/2025 - RPS: 1927 - NFSe: 4165</v>
      </c>
      <c r="I306" t="str">
        <f t="shared" si="110"/>
        <v>07/01/2026</v>
      </c>
      <c r="J306" t="str">
        <f t="shared" si="109"/>
        <v>29/12/2025</v>
      </c>
      <c r="K306" t="str">
        <f>("08/01/2026")</f>
        <v>08/01/2026</v>
      </c>
      <c r="L306">
        <v>112.03</v>
      </c>
      <c r="M306">
        <v>112.03</v>
      </c>
      <c r="N306">
        <v>303</v>
      </c>
      <c r="O306" t="str">
        <f>"RECEITAS COM ENTREGAS"</f>
        <v>RECEITAS COM ENTREGAS</v>
      </c>
      <c r="P306">
        <v>112.03</v>
      </c>
      <c r="S306" t="str">
        <f>"RECEITAS COM ENTREGAS (303)"</f>
        <v>RECEITAS COM ENTREGAS (303)</v>
      </c>
      <c r="T306">
        <v>3950</v>
      </c>
      <c r="U306">
        <v>3185</v>
      </c>
      <c r="V306" t="s">
        <v>88</v>
      </c>
    </row>
    <row r="307" spans="1:22">
      <c r="A307" t="str">
        <f t="shared" si="104"/>
        <v>08/01/2026</v>
      </c>
      <c r="B307" t="str">
        <f t="shared" si="105"/>
        <v>ENTRADA</v>
      </c>
      <c r="C307" t="str">
        <f t="shared" si="106"/>
        <v>NFSE</v>
      </c>
      <c r="D307" t="str">
        <f>"4165"</f>
        <v>4165</v>
      </c>
      <c r="E307" t="str">
        <f t="shared" si="107"/>
        <v>1</v>
      </c>
      <c r="F307" t="str">
        <f t="shared" si="108"/>
        <v>COM</v>
      </c>
      <c r="G307" t="str">
        <f>"AC FARMA - FLEMINFARMA (10160)"</f>
        <v>AC FARMA - FLEMINFARMA (10160)</v>
      </c>
      <c r="H307" t="s">
        <v>91</v>
      </c>
      <c r="I307" t="str">
        <f t="shared" si="110"/>
        <v>07/01/2026</v>
      </c>
      <c r="J307" t="str">
        <f t="shared" si="109"/>
        <v>29/12/2025</v>
      </c>
      <c r="K307">
        <v>46030</v>
      </c>
      <c r="N307">
        <v>303</v>
      </c>
      <c r="O307" t="s">
        <v>26</v>
      </c>
      <c r="Q307">
        <v>112.03</v>
      </c>
      <c r="R307" t="str">
        <f>"AC FARMA -  FLEMINFARMA (10159)"</f>
        <v>AC FARMA -  FLEMINFARMA (10159)</v>
      </c>
      <c r="S307" t="s">
        <v>27</v>
      </c>
      <c r="T307">
        <v>3950</v>
      </c>
      <c r="U307">
        <v>3185</v>
      </c>
      <c r="V307" t="s">
        <v>88</v>
      </c>
    </row>
    <row r="308" spans="1:22">
      <c r="A308" t="str">
        <f t="shared" si="104"/>
        <v>08/01/2026</v>
      </c>
      <c r="B308" t="str">
        <f t="shared" si="105"/>
        <v>ENTRADA</v>
      </c>
      <c r="C308" t="str">
        <f t="shared" si="106"/>
        <v>NFSE</v>
      </c>
      <c r="D308" t="str">
        <f>"3"</f>
        <v>3</v>
      </c>
      <c r="E308" t="str">
        <f t="shared" si="107"/>
        <v>1</v>
      </c>
      <c r="F308" t="str">
        <f t="shared" si="108"/>
        <v>COM</v>
      </c>
      <c r="G308" t="str">
        <f>"FRAN FARMA (10124)"</f>
        <v>FRAN FARMA (10124)</v>
      </c>
      <c r="H308" t="str">
        <f>"Serv.Prest. 29/12/2025 a 04/01/2026 - RPS: 1930 - NFSe: 3"</f>
        <v>Serv.Prest. 29/12/2025 a 04/01/2026 - RPS: 1930 - NFSe: 3</v>
      </c>
      <c r="I308" t="str">
        <f t="shared" si="110"/>
        <v>07/01/2026</v>
      </c>
      <c r="J308" t="str">
        <f>("05/01/2026")</f>
        <v>05/01/2026</v>
      </c>
      <c r="K308" t="str">
        <f>("08/01/2026")</f>
        <v>08/01/2026</v>
      </c>
      <c r="L308">
        <v>160</v>
      </c>
      <c r="M308">
        <v>160</v>
      </c>
      <c r="N308">
        <v>303</v>
      </c>
      <c r="O308" t="str">
        <f>"RECEITAS COM ENTREGAS"</f>
        <v>RECEITAS COM ENTREGAS</v>
      </c>
      <c r="P308">
        <v>160</v>
      </c>
      <c r="S308" t="str">
        <f>"RECEITAS COM ENTREGAS (303)"</f>
        <v>RECEITAS COM ENTREGAS (303)</v>
      </c>
      <c r="T308">
        <v>3951</v>
      </c>
      <c r="U308">
        <v>3192</v>
      </c>
      <c r="V308" t="s">
        <v>88</v>
      </c>
    </row>
    <row r="309" spans="1:22">
      <c r="A309" t="str">
        <f t="shared" si="104"/>
        <v>08/01/2026</v>
      </c>
      <c r="B309" t="str">
        <f t="shared" si="105"/>
        <v>ENTRADA</v>
      </c>
      <c r="C309" t="str">
        <f t="shared" si="106"/>
        <v>NFSE</v>
      </c>
      <c r="D309" t="str">
        <f>"3"</f>
        <v>3</v>
      </c>
      <c r="E309" t="str">
        <f t="shared" si="107"/>
        <v>1</v>
      </c>
      <c r="F309" t="str">
        <f t="shared" si="108"/>
        <v>COM</v>
      </c>
      <c r="G309" t="str">
        <f>"FRAN FARMA (10124)"</f>
        <v>FRAN FARMA (10124)</v>
      </c>
      <c r="H309" t="s">
        <v>92</v>
      </c>
      <c r="I309" t="str">
        <f t="shared" si="110"/>
        <v>07/01/2026</v>
      </c>
      <c r="J309" t="str">
        <f>("05/01/2026")</f>
        <v>05/01/2026</v>
      </c>
      <c r="K309">
        <v>46030</v>
      </c>
      <c r="N309">
        <v>303</v>
      </c>
      <c r="O309" t="s">
        <v>26</v>
      </c>
      <c r="Q309">
        <v>160</v>
      </c>
      <c r="R309" t="str">
        <f>"FRAN FARMA LJ 2 (10131)"</f>
        <v>FRAN FARMA LJ 2 (10131)</v>
      </c>
      <c r="S309" t="s">
        <v>27</v>
      </c>
      <c r="T309">
        <v>3951</v>
      </c>
      <c r="U309">
        <v>3192</v>
      </c>
      <c r="V309" t="s">
        <v>88</v>
      </c>
    </row>
    <row r="310" spans="1:22">
      <c r="A310" t="str">
        <f t="shared" si="104"/>
        <v>08/01/2026</v>
      </c>
      <c r="B310" t="str">
        <f t="shared" si="105"/>
        <v>ENTRADA</v>
      </c>
      <c r="C310" t="str">
        <f t="shared" si="106"/>
        <v>NFSE</v>
      </c>
      <c r="D310" t="str">
        <f>"4"</f>
        <v>4</v>
      </c>
      <c r="E310" t="str">
        <f t="shared" si="107"/>
        <v>1</v>
      </c>
      <c r="F310" t="str">
        <f t="shared" si="108"/>
        <v>COM</v>
      </c>
      <c r="G310" t="str">
        <f>"DROGA ELIDA (10121)"</f>
        <v>DROGA ELIDA (10121)</v>
      </c>
      <c r="H310" t="str">
        <f>"Serv.Prest. 29/12/2025 a 04/01/2026 - RPS: 1931 - NFSe: 4"</f>
        <v>Serv.Prest. 29/12/2025 a 04/01/2026 - RPS: 1931 - NFSe: 4</v>
      </c>
      <c r="I310" t="str">
        <f t="shared" si="110"/>
        <v>07/01/2026</v>
      </c>
      <c r="J310" t="str">
        <f t="shared" ref="J310:J341" si="111">("06/01/2026")</f>
        <v>06/01/2026</v>
      </c>
      <c r="K310" t="str">
        <f>("08/01/2026")</f>
        <v>08/01/2026</v>
      </c>
      <c r="L310">
        <v>328.5</v>
      </c>
      <c r="M310">
        <v>328.5</v>
      </c>
      <c r="N310">
        <v>303</v>
      </c>
      <c r="O310" t="str">
        <f>"RECEITAS COM ENTREGAS"</f>
        <v>RECEITAS COM ENTREGAS</v>
      </c>
      <c r="P310">
        <v>328.5</v>
      </c>
      <c r="S310" t="str">
        <f>"RECEITAS COM ENTREGAS (303)"</f>
        <v>RECEITAS COM ENTREGAS (303)</v>
      </c>
      <c r="T310">
        <v>3952</v>
      </c>
      <c r="U310">
        <v>3199</v>
      </c>
      <c r="V310" t="s">
        <v>88</v>
      </c>
    </row>
    <row r="311" spans="1:22">
      <c r="A311" t="str">
        <f t="shared" si="104"/>
        <v>08/01/2026</v>
      </c>
      <c r="B311" t="str">
        <f t="shared" si="105"/>
        <v>ENTRADA</v>
      </c>
      <c r="C311" t="str">
        <f t="shared" si="106"/>
        <v>NFSE</v>
      </c>
      <c r="D311" t="str">
        <f>"4"</f>
        <v>4</v>
      </c>
      <c r="E311" t="str">
        <f t="shared" si="107"/>
        <v>1</v>
      </c>
      <c r="F311" t="str">
        <f t="shared" si="108"/>
        <v>COM</v>
      </c>
      <c r="G311" t="str">
        <f>"DROGA ELIDA (10121)"</f>
        <v>DROGA ELIDA (10121)</v>
      </c>
      <c r="H311" t="s">
        <v>93</v>
      </c>
      <c r="I311" t="str">
        <f t="shared" si="110"/>
        <v>07/01/2026</v>
      </c>
      <c r="J311" t="str">
        <f t="shared" si="111"/>
        <v>06/01/2026</v>
      </c>
      <c r="K311">
        <v>46030</v>
      </c>
      <c r="N311">
        <v>303</v>
      </c>
      <c r="O311" t="s">
        <v>26</v>
      </c>
      <c r="Q311">
        <v>328.5</v>
      </c>
      <c r="R311" t="str">
        <f>"DROGA ELIDA (10121)"</f>
        <v>DROGA ELIDA (10121)</v>
      </c>
      <c r="S311" t="s">
        <v>27</v>
      </c>
      <c r="T311">
        <v>3952</v>
      </c>
      <c r="U311">
        <v>3199</v>
      </c>
      <c r="V311" t="s">
        <v>88</v>
      </c>
    </row>
    <row r="312" spans="1:22">
      <c r="A312" t="str">
        <f t="shared" si="104"/>
        <v>08/01/2026</v>
      </c>
      <c r="B312" t="str">
        <f t="shared" si="105"/>
        <v>ENTRADA</v>
      </c>
      <c r="C312" t="str">
        <f t="shared" si="106"/>
        <v>NFSE</v>
      </c>
      <c r="D312" t="str">
        <f>"5"</f>
        <v>5</v>
      </c>
      <c r="E312" t="str">
        <f t="shared" si="107"/>
        <v>1</v>
      </c>
      <c r="F312" t="str">
        <f t="shared" si="108"/>
        <v>COM</v>
      </c>
      <c r="G312" t="str">
        <f>"DROGARIA AGAPEAMA (10167)"</f>
        <v>DROGARIA AGAPEAMA (10167)</v>
      </c>
      <c r="H312" t="str">
        <f>"Serv.Prest. 29/12/2025 a 04/01/2026 - RPS: 1932 - NFSe: 5"</f>
        <v>Serv.Prest. 29/12/2025 a 04/01/2026 - RPS: 1932 - NFSe: 5</v>
      </c>
      <c r="I312" t="str">
        <f t="shared" si="110"/>
        <v>07/01/2026</v>
      </c>
      <c r="J312" t="str">
        <f t="shared" si="111"/>
        <v>06/01/2026</v>
      </c>
      <c r="K312" t="str">
        <f>("08/01/2026")</f>
        <v>08/01/2026</v>
      </c>
      <c r="L312">
        <v>324</v>
      </c>
      <c r="M312">
        <v>324</v>
      </c>
      <c r="N312">
        <v>303</v>
      </c>
      <c r="O312" t="str">
        <f>"RECEITAS COM ENTREGAS"</f>
        <v>RECEITAS COM ENTREGAS</v>
      </c>
      <c r="P312">
        <v>324</v>
      </c>
      <c r="S312" t="str">
        <f>"RECEITAS COM ENTREGAS (303)"</f>
        <v>RECEITAS COM ENTREGAS (303)</v>
      </c>
      <c r="T312">
        <v>3953</v>
      </c>
      <c r="U312">
        <v>3242</v>
      </c>
      <c r="V312" t="s">
        <v>88</v>
      </c>
    </row>
    <row r="313" spans="1:22">
      <c r="A313" t="str">
        <f t="shared" si="104"/>
        <v>08/01/2026</v>
      </c>
      <c r="B313" t="str">
        <f t="shared" si="105"/>
        <v>ENTRADA</v>
      </c>
      <c r="C313" t="str">
        <f t="shared" si="106"/>
        <v>NFSE</v>
      </c>
      <c r="D313" t="str">
        <f>"5"</f>
        <v>5</v>
      </c>
      <c r="E313" t="str">
        <f t="shared" si="107"/>
        <v>1</v>
      </c>
      <c r="F313" t="str">
        <f t="shared" si="108"/>
        <v>COM</v>
      </c>
      <c r="G313" t="str">
        <f>"DROGARIA AGAPEAMA (10167)"</f>
        <v>DROGARIA AGAPEAMA (10167)</v>
      </c>
      <c r="H313" t="s">
        <v>94</v>
      </c>
      <c r="I313" t="str">
        <f t="shared" si="110"/>
        <v>07/01/2026</v>
      </c>
      <c r="J313" t="str">
        <f t="shared" si="111"/>
        <v>06/01/2026</v>
      </c>
      <c r="K313">
        <v>46030</v>
      </c>
      <c r="N313">
        <v>303</v>
      </c>
      <c r="O313" t="s">
        <v>26</v>
      </c>
      <c r="Q313">
        <v>324</v>
      </c>
      <c r="R313" t="str">
        <f>"DROGARIA AGAPEAMA (10167)"</f>
        <v>DROGARIA AGAPEAMA (10167)</v>
      </c>
      <c r="S313" t="s">
        <v>27</v>
      </c>
      <c r="T313">
        <v>3953</v>
      </c>
      <c r="U313">
        <v>3242</v>
      </c>
      <c r="V313" t="s">
        <v>88</v>
      </c>
    </row>
    <row r="314" spans="1:22">
      <c r="A314" t="str">
        <f t="shared" si="104"/>
        <v>08/01/2026</v>
      </c>
      <c r="B314" t="str">
        <f t="shared" si="105"/>
        <v>ENTRADA</v>
      </c>
      <c r="C314" t="str">
        <f t="shared" si="106"/>
        <v>NFSE</v>
      </c>
      <c r="D314" t="str">
        <f>"7"</f>
        <v>7</v>
      </c>
      <c r="E314" t="str">
        <f t="shared" si="107"/>
        <v>1</v>
      </c>
      <c r="F314" t="str">
        <f t="shared" si="108"/>
        <v>COM</v>
      </c>
      <c r="G314" t="str">
        <f>"PENSE FARMA 49 (10234)"</f>
        <v>PENSE FARMA 49 (10234)</v>
      </c>
      <c r="H314" t="str">
        <f>"Serv.Prest. 29/12/2025 a 04/01/2026 - RPS: 1934 - NFSe: 7"</f>
        <v>Serv.Prest. 29/12/2025 a 04/01/2026 - RPS: 1934 - NFSe: 7</v>
      </c>
      <c r="I314" t="str">
        <f t="shared" si="110"/>
        <v>07/01/2026</v>
      </c>
      <c r="J314" t="str">
        <f t="shared" si="111"/>
        <v>06/01/2026</v>
      </c>
      <c r="K314" t="str">
        <f>("08/01/2026")</f>
        <v>08/01/2026</v>
      </c>
      <c r="L314">
        <v>213.43</v>
      </c>
      <c r="M314">
        <v>213.43</v>
      </c>
      <c r="N314">
        <v>303</v>
      </c>
      <c r="O314" t="str">
        <f>"RECEITAS COM ENTREGAS"</f>
        <v>RECEITAS COM ENTREGAS</v>
      </c>
      <c r="P314">
        <v>213.43</v>
      </c>
      <c r="S314" t="str">
        <f>"RECEITAS COM ENTREGAS (303)"</f>
        <v>RECEITAS COM ENTREGAS (303)</v>
      </c>
      <c r="T314">
        <v>3954</v>
      </c>
      <c r="U314">
        <v>3244</v>
      </c>
      <c r="V314" t="s">
        <v>88</v>
      </c>
    </row>
    <row r="315" spans="1:22">
      <c r="A315" t="str">
        <f t="shared" si="104"/>
        <v>08/01/2026</v>
      </c>
      <c r="B315" t="str">
        <f t="shared" si="105"/>
        <v>ENTRADA</v>
      </c>
      <c r="C315" t="str">
        <f t="shared" si="106"/>
        <v>NFSE</v>
      </c>
      <c r="D315" t="str">
        <f>"7"</f>
        <v>7</v>
      </c>
      <c r="E315" t="str">
        <f t="shared" si="107"/>
        <v>1</v>
      </c>
      <c r="F315" t="str">
        <f t="shared" si="108"/>
        <v>COM</v>
      </c>
      <c r="G315" t="str">
        <f>"PENSE FARMA 49 (10234)"</f>
        <v>PENSE FARMA 49 (10234)</v>
      </c>
      <c r="H315" t="s">
        <v>95</v>
      </c>
      <c r="I315" t="str">
        <f t="shared" si="110"/>
        <v>07/01/2026</v>
      </c>
      <c r="J315" t="str">
        <f t="shared" si="111"/>
        <v>06/01/2026</v>
      </c>
      <c r="K315">
        <v>46030</v>
      </c>
      <c r="N315">
        <v>303</v>
      </c>
      <c r="O315" t="s">
        <v>26</v>
      </c>
      <c r="Q315">
        <v>213.43</v>
      </c>
      <c r="R315" t="str">
        <f>"PENSE FARMA 49 (10234)"</f>
        <v>PENSE FARMA 49 (10234)</v>
      </c>
      <c r="S315" t="s">
        <v>27</v>
      </c>
      <c r="T315">
        <v>3954</v>
      </c>
      <c r="U315">
        <v>3244</v>
      </c>
      <c r="V315" t="s">
        <v>88</v>
      </c>
    </row>
    <row r="316" spans="1:22">
      <c r="A316" t="str">
        <f t="shared" si="104"/>
        <v>08/01/2026</v>
      </c>
      <c r="B316" t="str">
        <f t="shared" si="105"/>
        <v>ENTRADA</v>
      </c>
      <c r="C316" t="str">
        <f t="shared" si="106"/>
        <v>NFSE</v>
      </c>
      <c r="D316" t="str">
        <f>"8"</f>
        <v>8</v>
      </c>
      <c r="E316" t="str">
        <f t="shared" si="107"/>
        <v>1</v>
      </c>
      <c r="F316" t="str">
        <f t="shared" si="108"/>
        <v>COM</v>
      </c>
      <c r="G316" t="str">
        <f>"PENSE FARMA 09 (10218)"</f>
        <v>PENSE FARMA 09 (10218)</v>
      </c>
      <c r="H316" t="str">
        <f>"Serv.Prest. 29/12/2025 a 04/01/2026 - RPS: 1936 - NFSe: 8"</f>
        <v>Serv.Prest. 29/12/2025 a 04/01/2026 - RPS: 1936 - NFSe: 8</v>
      </c>
      <c r="I316" t="str">
        <f t="shared" si="110"/>
        <v>07/01/2026</v>
      </c>
      <c r="J316" t="str">
        <f t="shared" si="111"/>
        <v>06/01/2026</v>
      </c>
      <c r="K316" t="str">
        <f>("08/01/2026")</f>
        <v>08/01/2026</v>
      </c>
      <c r="L316">
        <v>336.54</v>
      </c>
      <c r="M316">
        <v>336.54</v>
      </c>
      <c r="N316">
        <v>303</v>
      </c>
      <c r="O316" t="str">
        <f>"RECEITAS COM ENTREGAS"</f>
        <v>RECEITAS COM ENTREGAS</v>
      </c>
      <c r="P316">
        <v>336.54</v>
      </c>
      <c r="S316" t="str">
        <f>"RECEITAS COM ENTREGAS (303)"</f>
        <v>RECEITAS COM ENTREGAS (303)</v>
      </c>
      <c r="T316">
        <v>3955</v>
      </c>
      <c r="U316">
        <v>3246</v>
      </c>
      <c r="V316" t="s">
        <v>88</v>
      </c>
    </row>
    <row r="317" spans="1:22">
      <c r="A317" t="str">
        <f t="shared" si="104"/>
        <v>08/01/2026</v>
      </c>
      <c r="B317" t="str">
        <f t="shared" si="105"/>
        <v>ENTRADA</v>
      </c>
      <c r="C317" t="str">
        <f t="shared" si="106"/>
        <v>NFSE</v>
      </c>
      <c r="D317" t="str">
        <f>"8"</f>
        <v>8</v>
      </c>
      <c r="E317" t="str">
        <f t="shared" si="107"/>
        <v>1</v>
      </c>
      <c r="F317" t="str">
        <f t="shared" si="108"/>
        <v>COM</v>
      </c>
      <c r="G317" t="str">
        <f>"PENSE FARMA 09 (10218)"</f>
        <v>PENSE FARMA 09 (10218)</v>
      </c>
      <c r="H317" t="s">
        <v>96</v>
      </c>
      <c r="I317" t="str">
        <f t="shared" si="110"/>
        <v>07/01/2026</v>
      </c>
      <c r="J317" t="str">
        <f t="shared" si="111"/>
        <v>06/01/2026</v>
      </c>
      <c r="K317">
        <v>46030</v>
      </c>
      <c r="N317">
        <v>303</v>
      </c>
      <c r="O317" t="s">
        <v>26</v>
      </c>
      <c r="Q317">
        <v>168.27</v>
      </c>
      <c r="R317" t="str">
        <f>"PENSE FARMA 09 (10218)"</f>
        <v>PENSE FARMA 09 (10218)</v>
      </c>
      <c r="S317" t="s">
        <v>27</v>
      </c>
      <c r="T317">
        <v>3955</v>
      </c>
      <c r="U317">
        <v>3246</v>
      </c>
      <c r="V317" t="s">
        <v>88</v>
      </c>
    </row>
    <row r="318" spans="1:22">
      <c r="A318" t="str">
        <f t="shared" si="104"/>
        <v>08/01/2026</v>
      </c>
      <c r="B318" t="str">
        <f t="shared" si="105"/>
        <v>ENTRADA</v>
      </c>
      <c r="C318" t="str">
        <f t="shared" si="106"/>
        <v>NFSE</v>
      </c>
      <c r="D318" t="str">
        <f>"8"</f>
        <v>8</v>
      </c>
      <c r="E318" t="str">
        <f t="shared" si="107"/>
        <v>1</v>
      </c>
      <c r="F318" t="str">
        <f t="shared" si="108"/>
        <v>COM</v>
      </c>
      <c r="G318" t="str">
        <f>"PENSE FARMA 09 (10218)"</f>
        <v>PENSE FARMA 09 (10218)</v>
      </c>
      <c r="H318" t="s">
        <v>96</v>
      </c>
      <c r="I318" t="str">
        <f t="shared" si="110"/>
        <v>07/01/2026</v>
      </c>
      <c r="J318" t="str">
        <f t="shared" si="111"/>
        <v>06/01/2026</v>
      </c>
      <c r="K318">
        <v>46030</v>
      </c>
      <c r="N318">
        <v>303</v>
      </c>
      <c r="O318" t="s">
        <v>26</v>
      </c>
      <c r="Q318">
        <v>168.27</v>
      </c>
      <c r="R318" t="str">
        <f>"PENSE FARMA 10 (10219)"</f>
        <v>PENSE FARMA 10 (10219)</v>
      </c>
      <c r="S318" t="s">
        <v>27</v>
      </c>
      <c r="T318">
        <v>3955</v>
      </c>
      <c r="U318">
        <v>3246</v>
      </c>
      <c r="V318" t="s">
        <v>88</v>
      </c>
    </row>
    <row r="319" spans="1:22">
      <c r="A319" t="str">
        <f t="shared" si="104"/>
        <v>08/01/2026</v>
      </c>
      <c r="B319" t="str">
        <f t="shared" si="105"/>
        <v>ENTRADA</v>
      </c>
      <c r="C319" t="str">
        <f t="shared" si="106"/>
        <v>NFSE</v>
      </c>
      <c r="D319" t="str">
        <f>"9"</f>
        <v>9</v>
      </c>
      <c r="E319" t="str">
        <f t="shared" si="107"/>
        <v>1</v>
      </c>
      <c r="F319" t="str">
        <f t="shared" si="108"/>
        <v>COM</v>
      </c>
      <c r="G319" t="str">
        <f>"PENSE FARMA 15 (10195)"</f>
        <v>PENSE FARMA 15 (10195)</v>
      </c>
      <c r="H319" t="str">
        <f>"Serv.Prest. 29/12/2025 a 04/01/2026 - RPS: 1937 - NFSe: 9"</f>
        <v>Serv.Prest. 29/12/2025 a 04/01/2026 - RPS: 1937 - NFSe: 9</v>
      </c>
      <c r="I319" t="str">
        <f t="shared" si="110"/>
        <v>07/01/2026</v>
      </c>
      <c r="J319" t="str">
        <f t="shared" si="111"/>
        <v>06/01/2026</v>
      </c>
      <c r="K319" t="str">
        <f>("08/01/2026")</f>
        <v>08/01/2026</v>
      </c>
      <c r="L319">
        <v>642</v>
      </c>
      <c r="M319">
        <v>642</v>
      </c>
      <c r="N319">
        <v>303</v>
      </c>
      <c r="O319" t="str">
        <f>"RECEITAS COM ENTREGAS"</f>
        <v>RECEITAS COM ENTREGAS</v>
      </c>
      <c r="P319">
        <v>642</v>
      </c>
      <c r="S319" t="str">
        <f>"RECEITAS COM ENTREGAS (303)"</f>
        <v>RECEITAS COM ENTREGAS (303)</v>
      </c>
      <c r="T319">
        <v>3956</v>
      </c>
      <c r="U319">
        <v>3247</v>
      </c>
      <c r="V319" t="s">
        <v>88</v>
      </c>
    </row>
    <row r="320" spans="1:22">
      <c r="A320" t="str">
        <f t="shared" si="104"/>
        <v>08/01/2026</v>
      </c>
      <c r="B320" t="str">
        <f t="shared" si="105"/>
        <v>ENTRADA</v>
      </c>
      <c r="C320" t="str">
        <f t="shared" si="106"/>
        <v>NFSE</v>
      </c>
      <c r="D320" t="str">
        <f>"9"</f>
        <v>9</v>
      </c>
      <c r="E320" t="str">
        <f t="shared" si="107"/>
        <v>1</v>
      </c>
      <c r="F320" t="str">
        <f t="shared" si="108"/>
        <v>COM</v>
      </c>
      <c r="G320" t="str">
        <f>"PENSE FARMA 15 (10195)"</f>
        <v>PENSE FARMA 15 (10195)</v>
      </c>
      <c r="H320" t="s">
        <v>97</v>
      </c>
      <c r="I320" t="str">
        <f t="shared" si="110"/>
        <v>07/01/2026</v>
      </c>
      <c r="J320" t="str">
        <f t="shared" si="111"/>
        <v>06/01/2026</v>
      </c>
      <c r="K320">
        <v>46030</v>
      </c>
      <c r="N320">
        <v>303</v>
      </c>
      <c r="O320" t="s">
        <v>26</v>
      </c>
      <c r="Q320">
        <v>160.5</v>
      </c>
      <c r="R320" t="str">
        <f>"PENSE FARMA 15 (10195)"</f>
        <v>PENSE FARMA 15 (10195)</v>
      </c>
      <c r="S320" t="s">
        <v>27</v>
      </c>
      <c r="T320">
        <v>3956</v>
      </c>
      <c r="U320">
        <v>3247</v>
      </c>
      <c r="V320" t="s">
        <v>88</v>
      </c>
    </row>
    <row r="321" spans="1:22">
      <c r="A321" t="str">
        <f t="shared" si="104"/>
        <v>08/01/2026</v>
      </c>
      <c r="B321" t="str">
        <f t="shared" si="105"/>
        <v>ENTRADA</v>
      </c>
      <c r="C321" t="str">
        <f t="shared" si="106"/>
        <v>NFSE</v>
      </c>
      <c r="D321" t="str">
        <f>"9"</f>
        <v>9</v>
      </c>
      <c r="E321" t="str">
        <f t="shared" si="107"/>
        <v>1</v>
      </c>
      <c r="F321" t="str">
        <f t="shared" si="108"/>
        <v>COM</v>
      </c>
      <c r="G321" t="str">
        <f>"PENSE FARMA 15 (10195)"</f>
        <v>PENSE FARMA 15 (10195)</v>
      </c>
      <c r="H321" t="s">
        <v>97</v>
      </c>
      <c r="I321" t="str">
        <f t="shared" si="110"/>
        <v>07/01/2026</v>
      </c>
      <c r="J321" t="str">
        <f t="shared" si="111"/>
        <v>06/01/2026</v>
      </c>
      <c r="K321">
        <v>46030</v>
      </c>
      <c r="N321">
        <v>303</v>
      </c>
      <c r="O321" t="s">
        <v>26</v>
      </c>
      <c r="Q321">
        <v>160.5</v>
      </c>
      <c r="R321" t="str">
        <f>"PENSE FARMA 26 (10196)"</f>
        <v>PENSE FARMA 26 (10196)</v>
      </c>
      <c r="S321" t="s">
        <v>27</v>
      </c>
      <c r="T321">
        <v>3956</v>
      </c>
      <c r="U321">
        <v>3247</v>
      </c>
      <c r="V321" t="s">
        <v>88</v>
      </c>
    </row>
    <row r="322" spans="1:22">
      <c r="A322" t="str">
        <f t="shared" si="104"/>
        <v>08/01/2026</v>
      </c>
      <c r="B322" t="str">
        <f t="shared" si="105"/>
        <v>ENTRADA</v>
      </c>
      <c r="C322" t="str">
        <f t="shared" si="106"/>
        <v>NFSE</v>
      </c>
      <c r="D322" t="str">
        <f>"9"</f>
        <v>9</v>
      </c>
      <c r="E322" t="str">
        <f t="shared" si="107"/>
        <v>1</v>
      </c>
      <c r="F322" t="str">
        <f t="shared" si="108"/>
        <v>COM</v>
      </c>
      <c r="G322" t="str">
        <f>"PENSE FARMA 15 (10195)"</f>
        <v>PENSE FARMA 15 (10195)</v>
      </c>
      <c r="H322" t="s">
        <v>97</v>
      </c>
      <c r="I322" t="str">
        <f t="shared" si="110"/>
        <v>07/01/2026</v>
      </c>
      <c r="J322" t="str">
        <f t="shared" si="111"/>
        <v>06/01/2026</v>
      </c>
      <c r="K322">
        <v>46030</v>
      </c>
      <c r="N322">
        <v>303</v>
      </c>
      <c r="O322" t="s">
        <v>26</v>
      </c>
      <c r="Q322">
        <v>160.5</v>
      </c>
      <c r="R322" t="str">
        <f>"PENSE FARMA 60 (10197)"</f>
        <v>PENSE FARMA 60 (10197)</v>
      </c>
      <c r="S322" t="s">
        <v>27</v>
      </c>
      <c r="T322">
        <v>3956</v>
      </c>
      <c r="U322">
        <v>3247</v>
      </c>
      <c r="V322" t="s">
        <v>88</v>
      </c>
    </row>
    <row r="323" spans="1:22">
      <c r="A323" t="str">
        <f t="shared" si="104"/>
        <v>08/01/2026</v>
      </c>
      <c r="B323" t="str">
        <f t="shared" si="105"/>
        <v>ENTRADA</v>
      </c>
      <c r="C323" t="str">
        <f t="shared" si="106"/>
        <v>NFSE</v>
      </c>
      <c r="D323" t="str">
        <f>"9"</f>
        <v>9</v>
      </c>
      <c r="E323" t="str">
        <f t="shared" si="107"/>
        <v>1</v>
      </c>
      <c r="F323" t="str">
        <f t="shared" si="108"/>
        <v>COM</v>
      </c>
      <c r="G323" t="str">
        <f>"PENSE FARMA 15 (10195)"</f>
        <v>PENSE FARMA 15 (10195)</v>
      </c>
      <c r="H323" t="s">
        <v>97</v>
      </c>
      <c r="I323" t="str">
        <f t="shared" si="110"/>
        <v>07/01/2026</v>
      </c>
      <c r="J323" t="str">
        <f t="shared" si="111"/>
        <v>06/01/2026</v>
      </c>
      <c r="K323">
        <v>46030</v>
      </c>
      <c r="N323">
        <v>303</v>
      </c>
      <c r="O323" t="s">
        <v>26</v>
      </c>
      <c r="Q323">
        <v>160.5</v>
      </c>
      <c r="R323" t="str">
        <f>"PENSE FARMA 61 (10243)"</f>
        <v>PENSE FARMA 61 (10243)</v>
      </c>
      <c r="S323" t="s">
        <v>27</v>
      </c>
      <c r="T323">
        <v>3956</v>
      </c>
      <c r="U323">
        <v>3247</v>
      </c>
      <c r="V323" t="s">
        <v>88</v>
      </c>
    </row>
    <row r="324" spans="1:22">
      <c r="A324" t="str">
        <f t="shared" si="104"/>
        <v>08/01/2026</v>
      </c>
      <c r="B324" t="str">
        <f t="shared" si="105"/>
        <v>ENTRADA</v>
      </c>
      <c r="C324" t="str">
        <f t="shared" si="106"/>
        <v>NFSE</v>
      </c>
      <c r="D324" t="str">
        <f>"10"</f>
        <v>10</v>
      </c>
      <c r="E324" t="str">
        <f t="shared" si="107"/>
        <v>1</v>
      </c>
      <c r="F324" t="str">
        <f t="shared" si="108"/>
        <v>COM</v>
      </c>
      <c r="G324" t="str">
        <f>"PENSE FARMA 19 (10223)"</f>
        <v>PENSE FARMA 19 (10223)</v>
      </c>
      <c r="H324" t="str">
        <f>"Serv.Prest. 29/12/2025 a 04/01/2026 - RPS: 1938 - NFSe: 10"</f>
        <v>Serv.Prest. 29/12/2025 a 04/01/2026 - RPS: 1938 - NFSe: 10</v>
      </c>
      <c r="I324" t="str">
        <f t="shared" si="110"/>
        <v>07/01/2026</v>
      </c>
      <c r="J324" t="str">
        <f t="shared" si="111"/>
        <v>06/01/2026</v>
      </c>
      <c r="K324" t="str">
        <f>("08/01/2026")</f>
        <v>08/01/2026</v>
      </c>
      <c r="L324">
        <v>507.65</v>
      </c>
      <c r="M324">
        <v>507.65</v>
      </c>
      <c r="N324">
        <v>303</v>
      </c>
      <c r="O324" t="str">
        <f>"RECEITAS COM ENTREGAS"</f>
        <v>RECEITAS COM ENTREGAS</v>
      </c>
      <c r="P324">
        <v>507.65</v>
      </c>
      <c r="S324" t="str">
        <f>"RECEITAS COM ENTREGAS (303)"</f>
        <v>RECEITAS COM ENTREGAS (303)</v>
      </c>
      <c r="T324">
        <v>3957</v>
      </c>
      <c r="U324">
        <v>3248</v>
      </c>
      <c r="V324" t="s">
        <v>88</v>
      </c>
    </row>
    <row r="325" spans="1:22">
      <c r="A325" t="str">
        <f t="shared" si="104"/>
        <v>08/01/2026</v>
      </c>
      <c r="B325" t="str">
        <f t="shared" si="105"/>
        <v>ENTRADA</v>
      </c>
      <c r="C325" t="str">
        <f t="shared" si="106"/>
        <v>NFSE</v>
      </c>
      <c r="D325" t="str">
        <f>"10"</f>
        <v>10</v>
      </c>
      <c r="E325" t="str">
        <f t="shared" si="107"/>
        <v>1</v>
      </c>
      <c r="F325" t="str">
        <f t="shared" si="108"/>
        <v>COM</v>
      </c>
      <c r="G325" t="str">
        <f>"PENSE FARMA 19 (10223)"</f>
        <v>PENSE FARMA 19 (10223)</v>
      </c>
      <c r="H325" t="s">
        <v>98</v>
      </c>
      <c r="I325" t="str">
        <f t="shared" si="110"/>
        <v>07/01/2026</v>
      </c>
      <c r="J325" t="str">
        <f t="shared" si="111"/>
        <v>06/01/2026</v>
      </c>
      <c r="K325">
        <v>46030</v>
      </c>
      <c r="N325">
        <v>303</v>
      </c>
      <c r="O325" t="s">
        <v>26</v>
      </c>
      <c r="Q325">
        <v>507.65</v>
      </c>
      <c r="R325" t="str">
        <f>"PENSE FARMA 19 (10223)"</f>
        <v>PENSE FARMA 19 (10223)</v>
      </c>
      <c r="S325" t="s">
        <v>27</v>
      </c>
      <c r="T325">
        <v>3957</v>
      </c>
      <c r="U325">
        <v>3248</v>
      </c>
      <c r="V325" t="s">
        <v>88</v>
      </c>
    </row>
    <row r="326" spans="1:22">
      <c r="A326" t="str">
        <f t="shared" si="104"/>
        <v>08/01/2026</v>
      </c>
      <c r="B326" t="str">
        <f t="shared" si="105"/>
        <v>ENTRADA</v>
      </c>
      <c r="C326" t="str">
        <f t="shared" si="106"/>
        <v>NFSE</v>
      </c>
      <c r="D326" t="str">
        <f>"11"</f>
        <v>11</v>
      </c>
      <c r="E326" t="str">
        <f t="shared" si="107"/>
        <v>1</v>
      </c>
      <c r="F326" t="str">
        <f t="shared" si="108"/>
        <v>COM</v>
      </c>
      <c r="G326" t="str">
        <f>"PENSE FARMA 25 (10224)"</f>
        <v>PENSE FARMA 25 (10224)</v>
      </c>
      <c r="H326" t="str">
        <f>"Serv.Prest. 29/12/2025 a 04/01/2026 - RPS: 1939 - NFSe: 11"</f>
        <v>Serv.Prest. 29/12/2025 a 04/01/2026 - RPS: 1939 - NFSe: 11</v>
      </c>
      <c r="I326" t="str">
        <f t="shared" si="110"/>
        <v>07/01/2026</v>
      </c>
      <c r="J326" t="str">
        <f t="shared" si="111"/>
        <v>06/01/2026</v>
      </c>
      <c r="K326" t="str">
        <f>("08/01/2026")</f>
        <v>08/01/2026</v>
      </c>
      <c r="L326">
        <v>320.5</v>
      </c>
      <c r="M326">
        <v>320.5</v>
      </c>
      <c r="N326">
        <v>303</v>
      </c>
      <c r="O326" t="str">
        <f>"RECEITAS COM ENTREGAS"</f>
        <v>RECEITAS COM ENTREGAS</v>
      </c>
      <c r="P326">
        <v>320.5</v>
      </c>
      <c r="S326" t="str">
        <f>"RECEITAS COM ENTREGAS (303)"</f>
        <v>RECEITAS COM ENTREGAS (303)</v>
      </c>
      <c r="T326">
        <v>3958</v>
      </c>
      <c r="U326">
        <v>3249</v>
      </c>
      <c r="V326" t="s">
        <v>88</v>
      </c>
    </row>
    <row r="327" spans="1:22">
      <c r="A327" t="str">
        <f t="shared" si="104"/>
        <v>08/01/2026</v>
      </c>
      <c r="B327" t="str">
        <f t="shared" si="105"/>
        <v>ENTRADA</v>
      </c>
      <c r="C327" t="str">
        <f t="shared" si="106"/>
        <v>NFSE</v>
      </c>
      <c r="D327" t="str">
        <f>"11"</f>
        <v>11</v>
      </c>
      <c r="E327" t="str">
        <f t="shared" si="107"/>
        <v>1</v>
      </c>
      <c r="F327" t="str">
        <f t="shared" si="108"/>
        <v>COM</v>
      </c>
      <c r="G327" t="str">
        <f>"PENSE FARMA 25 (10224)"</f>
        <v>PENSE FARMA 25 (10224)</v>
      </c>
      <c r="H327" t="s">
        <v>99</v>
      </c>
      <c r="I327" t="str">
        <f t="shared" si="110"/>
        <v>07/01/2026</v>
      </c>
      <c r="J327" t="str">
        <f t="shared" si="111"/>
        <v>06/01/2026</v>
      </c>
      <c r="K327">
        <v>46030</v>
      </c>
      <c r="N327">
        <v>303</v>
      </c>
      <c r="O327" t="s">
        <v>26</v>
      </c>
      <c r="Q327">
        <v>320.5</v>
      </c>
      <c r="R327" t="str">
        <f>"PENSE FARMA 25 (10224)"</f>
        <v>PENSE FARMA 25 (10224)</v>
      </c>
      <c r="S327" t="s">
        <v>27</v>
      </c>
      <c r="T327">
        <v>3958</v>
      </c>
      <c r="U327">
        <v>3249</v>
      </c>
      <c r="V327" t="s">
        <v>88</v>
      </c>
    </row>
    <row r="328" spans="1:22">
      <c r="A328" t="str">
        <f t="shared" si="104"/>
        <v>08/01/2026</v>
      </c>
      <c r="B328" t="str">
        <f t="shared" si="105"/>
        <v>ENTRADA</v>
      </c>
      <c r="C328" t="str">
        <f t="shared" si="106"/>
        <v>NFSE</v>
      </c>
      <c r="D328" t="str">
        <f>"12"</f>
        <v>12</v>
      </c>
      <c r="E328" t="str">
        <f t="shared" si="107"/>
        <v>1</v>
      </c>
      <c r="F328" t="str">
        <f t="shared" si="108"/>
        <v>COM</v>
      </c>
      <c r="G328" t="str">
        <f>"PENSE FARMA 27 (10204)"</f>
        <v>PENSE FARMA 27 (10204)</v>
      </c>
      <c r="H328" t="str">
        <f>"Serv.Prest. 29/12/2025 a 04/01/2026 - RPS: 1940 - NFSe: 12"</f>
        <v>Serv.Prest. 29/12/2025 a 04/01/2026 - RPS: 1940 - NFSe: 12</v>
      </c>
      <c r="I328" t="str">
        <f t="shared" si="110"/>
        <v>07/01/2026</v>
      </c>
      <c r="J328" t="str">
        <f t="shared" si="111"/>
        <v>06/01/2026</v>
      </c>
      <c r="K328" t="str">
        <f>("08/01/2026")</f>
        <v>08/01/2026</v>
      </c>
      <c r="L328">
        <v>577.5</v>
      </c>
      <c r="M328">
        <v>577.5</v>
      </c>
      <c r="N328">
        <v>303</v>
      </c>
      <c r="O328" t="str">
        <f>"RECEITAS COM ENTREGAS"</f>
        <v>RECEITAS COM ENTREGAS</v>
      </c>
      <c r="P328">
        <v>577.5</v>
      </c>
      <c r="S328" t="str">
        <f>"RECEITAS COM ENTREGAS (303)"</f>
        <v>RECEITAS COM ENTREGAS (303)</v>
      </c>
      <c r="T328">
        <v>3959</v>
      </c>
      <c r="U328">
        <v>3250</v>
      </c>
      <c r="V328" t="s">
        <v>88</v>
      </c>
    </row>
    <row r="329" spans="1:22">
      <c r="A329" t="str">
        <f t="shared" si="104"/>
        <v>08/01/2026</v>
      </c>
      <c r="B329" t="str">
        <f t="shared" si="105"/>
        <v>ENTRADA</v>
      </c>
      <c r="C329" t="str">
        <f t="shared" si="106"/>
        <v>NFSE</v>
      </c>
      <c r="D329" t="str">
        <f>"12"</f>
        <v>12</v>
      </c>
      <c r="E329" t="str">
        <f t="shared" si="107"/>
        <v>1</v>
      </c>
      <c r="F329" t="str">
        <f t="shared" si="108"/>
        <v>COM</v>
      </c>
      <c r="G329" t="str">
        <f>"PENSE FARMA 27 (10204)"</f>
        <v>PENSE FARMA 27 (10204)</v>
      </c>
      <c r="H329" t="s">
        <v>100</v>
      </c>
      <c r="I329" t="str">
        <f t="shared" si="110"/>
        <v>07/01/2026</v>
      </c>
      <c r="J329" t="str">
        <f t="shared" si="111"/>
        <v>06/01/2026</v>
      </c>
      <c r="K329">
        <v>46030</v>
      </c>
      <c r="N329">
        <v>303</v>
      </c>
      <c r="O329" t="s">
        <v>26</v>
      </c>
      <c r="Q329">
        <v>192.14</v>
      </c>
      <c r="R329" t="str">
        <f>"PENSE FARMA 05 (10200)"</f>
        <v>PENSE FARMA 05 (10200)</v>
      </c>
      <c r="S329" t="s">
        <v>27</v>
      </c>
      <c r="T329">
        <v>3959</v>
      </c>
      <c r="U329">
        <v>3250</v>
      </c>
      <c r="V329" t="s">
        <v>88</v>
      </c>
    </row>
    <row r="330" spans="1:22">
      <c r="A330" t="str">
        <f t="shared" si="104"/>
        <v>08/01/2026</v>
      </c>
      <c r="B330" t="str">
        <f t="shared" si="105"/>
        <v>ENTRADA</v>
      </c>
      <c r="C330" t="str">
        <f t="shared" si="106"/>
        <v>NFSE</v>
      </c>
      <c r="D330" t="str">
        <f>"12"</f>
        <v>12</v>
      </c>
      <c r="E330" t="str">
        <f t="shared" si="107"/>
        <v>1</v>
      </c>
      <c r="F330" t="str">
        <f t="shared" si="108"/>
        <v>COM</v>
      </c>
      <c r="G330" t="str">
        <f>"PENSE FARMA 27 (10204)"</f>
        <v>PENSE FARMA 27 (10204)</v>
      </c>
      <c r="H330" t="s">
        <v>100</v>
      </c>
      <c r="I330" t="str">
        <f t="shared" si="110"/>
        <v>07/01/2026</v>
      </c>
      <c r="J330" t="str">
        <f t="shared" si="111"/>
        <v>06/01/2026</v>
      </c>
      <c r="K330">
        <v>46030</v>
      </c>
      <c r="N330">
        <v>303</v>
      </c>
      <c r="O330" t="s">
        <v>26</v>
      </c>
      <c r="Q330">
        <v>192.13</v>
      </c>
      <c r="R330" t="str">
        <f>"PENSE FARMA 13 (10202)"</f>
        <v>PENSE FARMA 13 (10202)</v>
      </c>
      <c r="S330" t="s">
        <v>27</v>
      </c>
      <c r="T330">
        <v>3959</v>
      </c>
      <c r="U330">
        <v>3250</v>
      </c>
      <c r="V330" t="s">
        <v>88</v>
      </c>
    </row>
    <row r="331" spans="1:22">
      <c r="A331" t="str">
        <f t="shared" ref="A331:A362" si="112">("08/01/2026")</f>
        <v>08/01/2026</v>
      </c>
      <c r="B331" t="str">
        <f t="shared" ref="B331:B362" si="113">"ENTRADA"</f>
        <v>ENTRADA</v>
      </c>
      <c r="C331" t="str">
        <f t="shared" ref="C331:C362" si="114">"NFSE"</f>
        <v>NFSE</v>
      </c>
      <c r="D331" t="str">
        <f>"12"</f>
        <v>12</v>
      </c>
      <c r="E331" t="str">
        <f t="shared" ref="E331:E362" si="115">"1"</f>
        <v>1</v>
      </c>
      <c r="F331" t="str">
        <f t="shared" ref="F331:F362" si="116">"COM"</f>
        <v>COM</v>
      </c>
      <c r="G331" t="str">
        <f>"PENSE FARMA 27 (10204)"</f>
        <v>PENSE FARMA 27 (10204)</v>
      </c>
      <c r="H331" t="s">
        <v>100</v>
      </c>
      <c r="I331" t="str">
        <f t="shared" si="110"/>
        <v>07/01/2026</v>
      </c>
      <c r="J331" t="str">
        <f t="shared" si="111"/>
        <v>06/01/2026</v>
      </c>
      <c r="K331">
        <v>46030</v>
      </c>
      <c r="N331">
        <v>303</v>
      </c>
      <c r="O331" t="s">
        <v>26</v>
      </c>
      <c r="Q331">
        <v>193.23</v>
      </c>
      <c r="R331" t="str">
        <f>"PENSE FARMA 27 (10204)"</f>
        <v>PENSE FARMA 27 (10204)</v>
      </c>
      <c r="S331" t="s">
        <v>27</v>
      </c>
      <c r="T331">
        <v>3959</v>
      </c>
      <c r="U331">
        <v>3250</v>
      </c>
      <c r="V331" t="s">
        <v>88</v>
      </c>
    </row>
    <row r="332" spans="1:22">
      <c r="A332" t="str">
        <f t="shared" si="112"/>
        <v>08/01/2026</v>
      </c>
      <c r="B332" t="str">
        <f t="shared" si="113"/>
        <v>ENTRADA</v>
      </c>
      <c r="C332" t="str">
        <f t="shared" si="114"/>
        <v>NFSE</v>
      </c>
      <c r="D332" t="str">
        <f>"13"</f>
        <v>13</v>
      </c>
      <c r="E332" t="str">
        <f t="shared" si="115"/>
        <v>1</v>
      </c>
      <c r="F332" t="str">
        <f t="shared" si="116"/>
        <v>COM</v>
      </c>
      <c r="G332" t="str">
        <f>"PENSE FARMA 31 (10205)"</f>
        <v>PENSE FARMA 31 (10205)</v>
      </c>
      <c r="H332" t="str">
        <f>"Serv.Prest. 29/12/2025 a 04/01/2026 - RPS: 1941 - NFSe: 13"</f>
        <v>Serv.Prest. 29/12/2025 a 04/01/2026 - RPS: 1941 - NFSe: 13</v>
      </c>
      <c r="I332" t="str">
        <f t="shared" si="110"/>
        <v>07/01/2026</v>
      </c>
      <c r="J332" t="str">
        <f t="shared" si="111"/>
        <v>06/01/2026</v>
      </c>
      <c r="K332" t="str">
        <f>("08/01/2026")</f>
        <v>08/01/2026</v>
      </c>
      <c r="L332">
        <v>540.16999999999996</v>
      </c>
      <c r="M332">
        <v>540.16999999999996</v>
      </c>
      <c r="N332">
        <v>303</v>
      </c>
      <c r="O332" t="str">
        <f>"RECEITAS COM ENTREGAS"</f>
        <v>RECEITAS COM ENTREGAS</v>
      </c>
      <c r="P332">
        <v>540.16999999999996</v>
      </c>
      <c r="S332" t="str">
        <f>"RECEITAS COM ENTREGAS (303)"</f>
        <v>RECEITAS COM ENTREGAS (303)</v>
      </c>
      <c r="T332">
        <v>3960</v>
      </c>
      <c r="U332">
        <v>3251</v>
      </c>
      <c r="V332" t="s">
        <v>88</v>
      </c>
    </row>
    <row r="333" spans="1:22">
      <c r="A333" t="str">
        <f t="shared" si="112"/>
        <v>08/01/2026</v>
      </c>
      <c r="B333" t="str">
        <f t="shared" si="113"/>
        <v>ENTRADA</v>
      </c>
      <c r="C333" t="str">
        <f t="shared" si="114"/>
        <v>NFSE</v>
      </c>
      <c r="D333" t="str">
        <f>"13"</f>
        <v>13</v>
      </c>
      <c r="E333" t="str">
        <f t="shared" si="115"/>
        <v>1</v>
      </c>
      <c r="F333" t="str">
        <f t="shared" si="116"/>
        <v>COM</v>
      </c>
      <c r="G333" t="str">
        <f>"PENSE FARMA 31 (10205)"</f>
        <v>PENSE FARMA 31 (10205)</v>
      </c>
      <c r="H333" t="s">
        <v>101</v>
      </c>
      <c r="I333" t="str">
        <f t="shared" ref="I333:I364" si="117">("07/01/2026")</f>
        <v>07/01/2026</v>
      </c>
      <c r="J333" t="str">
        <f t="shared" si="111"/>
        <v>06/01/2026</v>
      </c>
      <c r="K333">
        <v>46030</v>
      </c>
      <c r="N333">
        <v>303</v>
      </c>
      <c r="O333" t="s">
        <v>26</v>
      </c>
      <c r="Q333">
        <v>134.94</v>
      </c>
      <c r="R333" t="str">
        <f>"PENSE FARMA 31 (10205)"</f>
        <v>PENSE FARMA 31 (10205)</v>
      </c>
      <c r="S333" t="s">
        <v>27</v>
      </c>
      <c r="T333">
        <v>3960</v>
      </c>
      <c r="U333">
        <v>3251</v>
      </c>
      <c r="V333" t="s">
        <v>88</v>
      </c>
    </row>
    <row r="334" spans="1:22">
      <c r="A334" t="str">
        <f t="shared" si="112"/>
        <v>08/01/2026</v>
      </c>
      <c r="B334" t="str">
        <f t="shared" si="113"/>
        <v>ENTRADA</v>
      </c>
      <c r="C334" t="str">
        <f t="shared" si="114"/>
        <v>NFSE</v>
      </c>
      <c r="D334" t="str">
        <f>"13"</f>
        <v>13</v>
      </c>
      <c r="E334" t="str">
        <f t="shared" si="115"/>
        <v>1</v>
      </c>
      <c r="F334" t="str">
        <f t="shared" si="116"/>
        <v>COM</v>
      </c>
      <c r="G334" t="str">
        <f>"PENSE FARMA 31 (10205)"</f>
        <v>PENSE FARMA 31 (10205)</v>
      </c>
      <c r="H334" t="s">
        <v>101</v>
      </c>
      <c r="I334" t="str">
        <f t="shared" si="117"/>
        <v>07/01/2026</v>
      </c>
      <c r="J334" t="str">
        <f t="shared" si="111"/>
        <v>06/01/2026</v>
      </c>
      <c r="K334">
        <v>46030</v>
      </c>
      <c r="N334">
        <v>303</v>
      </c>
      <c r="O334" t="s">
        <v>26</v>
      </c>
      <c r="Q334">
        <v>134.93</v>
      </c>
      <c r="R334" t="str">
        <f>"PENSE FARMA 16 (10221)"</f>
        <v>PENSE FARMA 16 (10221)</v>
      </c>
      <c r="S334" t="s">
        <v>27</v>
      </c>
      <c r="T334">
        <v>3960</v>
      </c>
      <c r="U334">
        <v>3251</v>
      </c>
      <c r="V334" t="s">
        <v>88</v>
      </c>
    </row>
    <row r="335" spans="1:22">
      <c r="A335" t="str">
        <f t="shared" si="112"/>
        <v>08/01/2026</v>
      </c>
      <c r="B335" t="str">
        <f t="shared" si="113"/>
        <v>ENTRADA</v>
      </c>
      <c r="C335" t="str">
        <f t="shared" si="114"/>
        <v>NFSE</v>
      </c>
      <c r="D335" t="str">
        <f>"13"</f>
        <v>13</v>
      </c>
      <c r="E335" t="str">
        <f t="shared" si="115"/>
        <v>1</v>
      </c>
      <c r="F335" t="str">
        <f t="shared" si="116"/>
        <v>COM</v>
      </c>
      <c r="G335" t="str">
        <f>"PENSE FARMA 31 (10205)"</f>
        <v>PENSE FARMA 31 (10205)</v>
      </c>
      <c r="H335" t="s">
        <v>101</v>
      </c>
      <c r="I335" t="str">
        <f t="shared" si="117"/>
        <v>07/01/2026</v>
      </c>
      <c r="J335" t="str">
        <f t="shared" si="111"/>
        <v>06/01/2026</v>
      </c>
      <c r="K335">
        <v>46030</v>
      </c>
      <c r="N335">
        <v>303</v>
      </c>
      <c r="O335" t="s">
        <v>26</v>
      </c>
      <c r="Q335">
        <v>134.93</v>
      </c>
      <c r="R335" t="str">
        <f>"PENSE FARMA 17 (10222)"</f>
        <v>PENSE FARMA 17 (10222)</v>
      </c>
      <c r="S335" t="s">
        <v>27</v>
      </c>
      <c r="T335">
        <v>3960</v>
      </c>
      <c r="U335">
        <v>3251</v>
      </c>
      <c r="V335" t="s">
        <v>88</v>
      </c>
    </row>
    <row r="336" spans="1:22">
      <c r="A336" t="str">
        <f t="shared" si="112"/>
        <v>08/01/2026</v>
      </c>
      <c r="B336" t="str">
        <f t="shared" si="113"/>
        <v>ENTRADA</v>
      </c>
      <c r="C336" t="str">
        <f t="shared" si="114"/>
        <v>NFSE</v>
      </c>
      <c r="D336" t="str">
        <f>"13"</f>
        <v>13</v>
      </c>
      <c r="E336" t="str">
        <f t="shared" si="115"/>
        <v>1</v>
      </c>
      <c r="F336" t="str">
        <f t="shared" si="116"/>
        <v>COM</v>
      </c>
      <c r="G336" t="str">
        <f>"PENSE FARMA 31 (10205)"</f>
        <v>PENSE FARMA 31 (10205)</v>
      </c>
      <c r="H336" t="s">
        <v>101</v>
      </c>
      <c r="I336" t="str">
        <f t="shared" si="117"/>
        <v>07/01/2026</v>
      </c>
      <c r="J336" t="str">
        <f t="shared" si="111"/>
        <v>06/01/2026</v>
      </c>
      <c r="K336">
        <v>46030</v>
      </c>
      <c r="N336">
        <v>303</v>
      </c>
      <c r="O336" t="s">
        <v>26</v>
      </c>
      <c r="Q336">
        <v>135.37</v>
      </c>
      <c r="R336" t="str">
        <f>"PENSE FARMA 62 (10274)"</f>
        <v>PENSE FARMA 62 (10274)</v>
      </c>
      <c r="S336" t="s">
        <v>27</v>
      </c>
      <c r="T336">
        <v>3960</v>
      </c>
      <c r="U336">
        <v>3251</v>
      </c>
      <c r="V336" t="s">
        <v>88</v>
      </c>
    </row>
    <row r="337" spans="1:22">
      <c r="A337" t="str">
        <f t="shared" si="112"/>
        <v>08/01/2026</v>
      </c>
      <c r="B337" t="str">
        <f t="shared" si="113"/>
        <v>ENTRADA</v>
      </c>
      <c r="C337" t="str">
        <f t="shared" si="114"/>
        <v>NFSE</v>
      </c>
      <c r="D337" t="str">
        <f>"14"</f>
        <v>14</v>
      </c>
      <c r="E337" t="str">
        <f t="shared" si="115"/>
        <v>1</v>
      </c>
      <c r="F337" t="str">
        <f t="shared" si="116"/>
        <v>COM</v>
      </c>
      <c r="G337" t="str">
        <f>"PENSE FARMA 35 (10227)"</f>
        <v>PENSE FARMA 35 (10227)</v>
      </c>
      <c r="H337" t="str">
        <f>"Serv.Prest. 29/12/2025 a 04/01/2026 - RPS: 1942 - NFSe: 14"</f>
        <v>Serv.Prest. 29/12/2025 a 04/01/2026 - RPS: 1942 - NFSe: 14</v>
      </c>
      <c r="I337" t="str">
        <f t="shared" si="117"/>
        <v>07/01/2026</v>
      </c>
      <c r="J337" t="str">
        <f t="shared" si="111"/>
        <v>06/01/2026</v>
      </c>
      <c r="K337" t="str">
        <f>("08/01/2026")</f>
        <v>08/01/2026</v>
      </c>
      <c r="L337">
        <v>171.45</v>
      </c>
      <c r="M337">
        <v>171.45</v>
      </c>
      <c r="N337">
        <v>303</v>
      </c>
      <c r="O337" t="str">
        <f>"RECEITAS COM ENTREGAS"</f>
        <v>RECEITAS COM ENTREGAS</v>
      </c>
      <c r="P337">
        <v>171.45</v>
      </c>
      <c r="S337" t="str">
        <f>"RECEITAS COM ENTREGAS (303)"</f>
        <v>RECEITAS COM ENTREGAS (303)</v>
      </c>
      <c r="T337">
        <v>3961</v>
      </c>
      <c r="U337">
        <v>3252</v>
      </c>
      <c r="V337" t="s">
        <v>88</v>
      </c>
    </row>
    <row r="338" spans="1:22">
      <c r="A338" t="str">
        <f t="shared" si="112"/>
        <v>08/01/2026</v>
      </c>
      <c r="B338" t="str">
        <f t="shared" si="113"/>
        <v>ENTRADA</v>
      </c>
      <c r="C338" t="str">
        <f t="shared" si="114"/>
        <v>NFSE</v>
      </c>
      <c r="D338" t="str">
        <f>"14"</f>
        <v>14</v>
      </c>
      <c r="E338" t="str">
        <f t="shared" si="115"/>
        <v>1</v>
      </c>
      <c r="F338" t="str">
        <f t="shared" si="116"/>
        <v>COM</v>
      </c>
      <c r="G338" t="str">
        <f>"PENSE FARMA 35 (10227)"</f>
        <v>PENSE FARMA 35 (10227)</v>
      </c>
      <c r="H338" t="s">
        <v>102</v>
      </c>
      <c r="I338" t="str">
        <f t="shared" si="117"/>
        <v>07/01/2026</v>
      </c>
      <c r="J338" t="str">
        <f t="shared" si="111"/>
        <v>06/01/2026</v>
      </c>
      <c r="K338">
        <v>46030</v>
      </c>
      <c r="N338">
        <v>303</v>
      </c>
      <c r="O338" t="s">
        <v>26</v>
      </c>
      <c r="Q338">
        <v>171.45</v>
      </c>
      <c r="R338" t="str">
        <f>"PENSE FARMA 35 (10227)"</f>
        <v>PENSE FARMA 35 (10227)</v>
      </c>
      <c r="S338" t="s">
        <v>27</v>
      </c>
      <c r="T338">
        <v>3961</v>
      </c>
      <c r="U338">
        <v>3252</v>
      </c>
      <c r="V338" t="s">
        <v>88</v>
      </c>
    </row>
    <row r="339" spans="1:22">
      <c r="A339" t="str">
        <f t="shared" si="112"/>
        <v>08/01/2026</v>
      </c>
      <c r="B339" t="str">
        <f t="shared" si="113"/>
        <v>ENTRADA</v>
      </c>
      <c r="C339" t="str">
        <f t="shared" si="114"/>
        <v>NFSE</v>
      </c>
      <c r="D339" t="str">
        <f>"15"</f>
        <v>15</v>
      </c>
      <c r="E339" t="str">
        <f t="shared" si="115"/>
        <v>1</v>
      </c>
      <c r="F339" t="str">
        <f t="shared" si="116"/>
        <v>COM</v>
      </c>
      <c r="G339" t="str">
        <f>"PENSE FARMA 47 (10232)"</f>
        <v>PENSE FARMA 47 (10232)</v>
      </c>
      <c r="H339" t="str">
        <f>"Serv.Prest. 29/12/2025 a 04/01/2026 - RPS: 1943 - NFSe: 15"</f>
        <v>Serv.Prest. 29/12/2025 a 04/01/2026 - RPS: 1943 - NFSe: 15</v>
      </c>
      <c r="I339" t="str">
        <f t="shared" si="117"/>
        <v>07/01/2026</v>
      </c>
      <c r="J339" t="str">
        <f t="shared" si="111"/>
        <v>06/01/2026</v>
      </c>
      <c r="K339" t="str">
        <f>("08/01/2026")</f>
        <v>08/01/2026</v>
      </c>
      <c r="L339">
        <v>320.23</v>
      </c>
      <c r="M339">
        <v>320.23</v>
      </c>
      <c r="N339">
        <v>303</v>
      </c>
      <c r="O339" t="str">
        <f>"RECEITAS COM ENTREGAS"</f>
        <v>RECEITAS COM ENTREGAS</v>
      </c>
      <c r="P339">
        <v>320.23</v>
      </c>
      <c r="S339" t="str">
        <f>"RECEITAS COM ENTREGAS (303)"</f>
        <v>RECEITAS COM ENTREGAS (303)</v>
      </c>
      <c r="T339">
        <v>3962</v>
      </c>
      <c r="U339">
        <v>3253</v>
      </c>
      <c r="V339" t="s">
        <v>88</v>
      </c>
    </row>
    <row r="340" spans="1:22">
      <c r="A340" t="str">
        <f t="shared" si="112"/>
        <v>08/01/2026</v>
      </c>
      <c r="B340" t="str">
        <f t="shared" si="113"/>
        <v>ENTRADA</v>
      </c>
      <c r="C340" t="str">
        <f t="shared" si="114"/>
        <v>NFSE</v>
      </c>
      <c r="D340" t="str">
        <f>"15"</f>
        <v>15</v>
      </c>
      <c r="E340" t="str">
        <f t="shared" si="115"/>
        <v>1</v>
      </c>
      <c r="F340" t="str">
        <f t="shared" si="116"/>
        <v>COM</v>
      </c>
      <c r="G340" t="str">
        <f>"PENSE FARMA 47 (10232)"</f>
        <v>PENSE FARMA 47 (10232)</v>
      </c>
      <c r="H340" t="s">
        <v>103</v>
      </c>
      <c r="I340" t="str">
        <f t="shared" si="117"/>
        <v>07/01/2026</v>
      </c>
      <c r="J340" t="str">
        <f t="shared" si="111"/>
        <v>06/01/2026</v>
      </c>
      <c r="K340">
        <v>46030</v>
      </c>
      <c r="N340">
        <v>303</v>
      </c>
      <c r="O340" t="s">
        <v>26</v>
      </c>
      <c r="Q340">
        <v>320.23</v>
      </c>
      <c r="R340" t="str">
        <f>"PENSE FARMA 47 (10232)"</f>
        <v>PENSE FARMA 47 (10232)</v>
      </c>
      <c r="S340" t="s">
        <v>27</v>
      </c>
      <c r="T340">
        <v>3962</v>
      </c>
      <c r="U340">
        <v>3253</v>
      </c>
      <c r="V340" t="s">
        <v>88</v>
      </c>
    </row>
    <row r="341" spans="1:22">
      <c r="A341" t="str">
        <f t="shared" si="112"/>
        <v>08/01/2026</v>
      </c>
      <c r="B341" t="str">
        <f t="shared" si="113"/>
        <v>ENTRADA</v>
      </c>
      <c r="C341" t="str">
        <f t="shared" si="114"/>
        <v>NFSE</v>
      </c>
      <c r="D341" t="str">
        <f>"17"</f>
        <v>17</v>
      </c>
      <c r="E341" t="str">
        <f t="shared" si="115"/>
        <v>1</v>
      </c>
      <c r="F341" t="str">
        <f t="shared" si="116"/>
        <v>COM</v>
      </c>
      <c r="G341" t="str">
        <f>"PENSE FARMA 46 (10194)"</f>
        <v>PENSE FARMA 46 (10194)</v>
      </c>
      <c r="H341" t="str">
        <f>"Serv.Prest. 29/12/2025 a 04/01/2026 - RPS: 1945 - NFSe: 17"</f>
        <v>Serv.Prest. 29/12/2025 a 04/01/2026 - RPS: 1945 - NFSe: 17</v>
      </c>
      <c r="I341" t="str">
        <f t="shared" si="117"/>
        <v>07/01/2026</v>
      </c>
      <c r="J341" t="str">
        <f t="shared" si="111"/>
        <v>06/01/2026</v>
      </c>
      <c r="K341" t="str">
        <f>("08/01/2026")</f>
        <v>08/01/2026</v>
      </c>
      <c r="L341">
        <v>342</v>
      </c>
      <c r="M341">
        <v>342</v>
      </c>
      <c r="N341">
        <v>303</v>
      </c>
      <c r="O341" t="str">
        <f>"RECEITAS COM ENTREGAS"</f>
        <v>RECEITAS COM ENTREGAS</v>
      </c>
      <c r="P341">
        <v>342</v>
      </c>
      <c r="S341" t="str">
        <f>"RECEITAS COM ENTREGAS (303)"</f>
        <v>RECEITAS COM ENTREGAS (303)</v>
      </c>
      <c r="T341">
        <v>3963</v>
      </c>
      <c r="U341">
        <v>3255</v>
      </c>
      <c r="V341" t="s">
        <v>88</v>
      </c>
    </row>
    <row r="342" spans="1:22">
      <c r="A342" t="str">
        <f t="shared" si="112"/>
        <v>08/01/2026</v>
      </c>
      <c r="B342" t="str">
        <f t="shared" si="113"/>
        <v>ENTRADA</v>
      </c>
      <c r="C342" t="str">
        <f t="shared" si="114"/>
        <v>NFSE</v>
      </c>
      <c r="D342" t="str">
        <f>"17"</f>
        <v>17</v>
      </c>
      <c r="E342" t="str">
        <f t="shared" si="115"/>
        <v>1</v>
      </c>
      <c r="F342" t="str">
        <f t="shared" si="116"/>
        <v>COM</v>
      </c>
      <c r="G342" t="str">
        <f>"PENSE FARMA 46 (10194)"</f>
        <v>PENSE FARMA 46 (10194)</v>
      </c>
      <c r="H342" t="s">
        <v>104</v>
      </c>
      <c r="I342" t="str">
        <f t="shared" si="117"/>
        <v>07/01/2026</v>
      </c>
      <c r="J342" t="str">
        <f t="shared" ref="J342:J373" si="118">("06/01/2026")</f>
        <v>06/01/2026</v>
      </c>
      <c r="K342">
        <v>46030</v>
      </c>
      <c r="N342">
        <v>303</v>
      </c>
      <c r="O342" t="s">
        <v>26</v>
      </c>
      <c r="Q342">
        <v>342</v>
      </c>
      <c r="R342" t="str">
        <f>"PENSE FARMA 46 (10194)"</f>
        <v>PENSE FARMA 46 (10194)</v>
      </c>
      <c r="S342" t="s">
        <v>27</v>
      </c>
      <c r="T342">
        <v>3963</v>
      </c>
      <c r="U342">
        <v>3255</v>
      </c>
      <c r="V342" t="s">
        <v>88</v>
      </c>
    </row>
    <row r="343" spans="1:22">
      <c r="A343" t="str">
        <f t="shared" si="112"/>
        <v>08/01/2026</v>
      </c>
      <c r="B343" t="str">
        <f t="shared" si="113"/>
        <v>ENTRADA</v>
      </c>
      <c r="C343" t="str">
        <f t="shared" si="114"/>
        <v>NFSE</v>
      </c>
      <c r="D343" t="str">
        <f>"18"</f>
        <v>18</v>
      </c>
      <c r="E343" t="str">
        <f t="shared" si="115"/>
        <v>1</v>
      </c>
      <c r="F343" t="str">
        <f t="shared" si="116"/>
        <v>COM</v>
      </c>
      <c r="G343" t="str">
        <f>"PENSE FARMA 44 (10231)"</f>
        <v>PENSE FARMA 44 (10231)</v>
      </c>
      <c r="H343" t="str">
        <f>"Serv.Prest. 29/12/2025 a 04/01/2026 - RPS: 1946 - NFSe: 18"</f>
        <v>Serv.Prest. 29/12/2025 a 04/01/2026 - RPS: 1946 - NFSe: 18</v>
      </c>
      <c r="I343" t="str">
        <f t="shared" si="117"/>
        <v>07/01/2026</v>
      </c>
      <c r="J343" t="str">
        <f t="shared" si="118"/>
        <v>06/01/2026</v>
      </c>
      <c r="K343" t="str">
        <f>("08/01/2026")</f>
        <v>08/01/2026</v>
      </c>
      <c r="L343">
        <v>630.80999999999995</v>
      </c>
      <c r="M343">
        <v>630.80999999999995</v>
      </c>
      <c r="N343">
        <v>303</v>
      </c>
      <c r="O343" t="str">
        <f>"RECEITAS COM ENTREGAS"</f>
        <v>RECEITAS COM ENTREGAS</v>
      </c>
      <c r="P343">
        <v>630.80999999999995</v>
      </c>
      <c r="S343" t="str">
        <f>"RECEITAS COM ENTREGAS (303)"</f>
        <v>RECEITAS COM ENTREGAS (303)</v>
      </c>
      <c r="T343">
        <v>3964</v>
      </c>
      <c r="U343">
        <v>3256</v>
      </c>
      <c r="V343" t="s">
        <v>88</v>
      </c>
    </row>
    <row r="344" spans="1:22">
      <c r="A344" t="str">
        <f t="shared" si="112"/>
        <v>08/01/2026</v>
      </c>
      <c r="B344" t="str">
        <f t="shared" si="113"/>
        <v>ENTRADA</v>
      </c>
      <c r="C344" t="str">
        <f t="shared" si="114"/>
        <v>NFSE</v>
      </c>
      <c r="D344" t="str">
        <f>"18"</f>
        <v>18</v>
      </c>
      <c r="E344" t="str">
        <f t="shared" si="115"/>
        <v>1</v>
      </c>
      <c r="F344" t="str">
        <f t="shared" si="116"/>
        <v>COM</v>
      </c>
      <c r="G344" t="str">
        <f>"PENSE FARMA 44 (10231)"</f>
        <v>PENSE FARMA 44 (10231)</v>
      </c>
      <c r="H344" t="s">
        <v>105</v>
      </c>
      <c r="I344" t="str">
        <f t="shared" si="117"/>
        <v>07/01/2026</v>
      </c>
      <c r="J344" t="str">
        <f t="shared" si="118"/>
        <v>06/01/2026</v>
      </c>
      <c r="K344">
        <v>46030</v>
      </c>
      <c r="N344">
        <v>303</v>
      </c>
      <c r="O344" t="s">
        <v>26</v>
      </c>
      <c r="Q344">
        <v>314.89999999999998</v>
      </c>
      <c r="R344" t="str">
        <f>"PENSE FARMA 44 (10231)"</f>
        <v>PENSE FARMA 44 (10231)</v>
      </c>
      <c r="S344" t="s">
        <v>27</v>
      </c>
      <c r="T344">
        <v>3964</v>
      </c>
      <c r="U344">
        <v>3256</v>
      </c>
      <c r="V344" t="s">
        <v>88</v>
      </c>
    </row>
    <row r="345" spans="1:22">
      <c r="A345" t="str">
        <f t="shared" si="112"/>
        <v>08/01/2026</v>
      </c>
      <c r="B345" t="str">
        <f t="shared" si="113"/>
        <v>ENTRADA</v>
      </c>
      <c r="C345" t="str">
        <f t="shared" si="114"/>
        <v>NFSE</v>
      </c>
      <c r="D345" t="str">
        <f>"18"</f>
        <v>18</v>
      </c>
      <c r="E345" t="str">
        <f t="shared" si="115"/>
        <v>1</v>
      </c>
      <c r="F345" t="str">
        <f t="shared" si="116"/>
        <v>COM</v>
      </c>
      <c r="G345" t="str">
        <f>"PENSE FARMA 44 (10231)"</f>
        <v>PENSE FARMA 44 (10231)</v>
      </c>
      <c r="H345" t="s">
        <v>105</v>
      </c>
      <c r="I345" t="str">
        <f t="shared" si="117"/>
        <v>07/01/2026</v>
      </c>
      <c r="J345" t="str">
        <f t="shared" si="118"/>
        <v>06/01/2026</v>
      </c>
      <c r="K345">
        <v>46030</v>
      </c>
      <c r="N345">
        <v>303</v>
      </c>
      <c r="O345" t="s">
        <v>26</v>
      </c>
      <c r="Q345">
        <v>315.91000000000003</v>
      </c>
      <c r="R345" t="str">
        <f>"PENSE FARMA 48 (10233)"</f>
        <v>PENSE FARMA 48 (10233)</v>
      </c>
      <c r="S345" t="s">
        <v>27</v>
      </c>
      <c r="T345">
        <v>3964</v>
      </c>
      <c r="U345">
        <v>3256</v>
      </c>
      <c r="V345" t="s">
        <v>88</v>
      </c>
    </row>
    <row r="346" spans="1:22">
      <c r="A346" t="str">
        <f t="shared" si="112"/>
        <v>08/01/2026</v>
      </c>
      <c r="B346" t="str">
        <f t="shared" si="113"/>
        <v>ENTRADA</v>
      </c>
      <c r="C346" t="str">
        <f t="shared" si="114"/>
        <v>NFSE</v>
      </c>
      <c r="D346" t="str">
        <f>"19"</f>
        <v>19</v>
      </c>
      <c r="E346" t="str">
        <f t="shared" si="115"/>
        <v>1</v>
      </c>
      <c r="F346" t="str">
        <f t="shared" si="116"/>
        <v>COM</v>
      </c>
      <c r="G346" t="str">
        <f>"BELLESE FARMA (10279)"</f>
        <v>BELLESE FARMA (10279)</v>
      </c>
      <c r="H346" t="str">
        <f>"Serv.Prest. 29/12/2025 a 04/01/2026 - RPS: 1947 - NFSe: 19"</f>
        <v>Serv.Prest. 29/12/2025 a 04/01/2026 - RPS: 1947 - NFSe: 19</v>
      </c>
      <c r="I346" t="str">
        <f t="shared" si="117"/>
        <v>07/01/2026</v>
      </c>
      <c r="J346" t="str">
        <f t="shared" si="118"/>
        <v>06/01/2026</v>
      </c>
      <c r="K346" t="str">
        <f>("08/01/2026")</f>
        <v>08/01/2026</v>
      </c>
      <c r="L346">
        <v>150.05000000000001</v>
      </c>
      <c r="M346">
        <v>150.05000000000001</v>
      </c>
      <c r="N346">
        <v>303</v>
      </c>
      <c r="O346" t="str">
        <f>"RECEITAS COM ENTREGAS"</f>
        <v>RECEITAS COM ENTREGAS</v>
      </c>
      <c r="P346">
        <v>150.05000000000001</v>
      </c>
      <c r="S346" t="str">
        <f>"RECEITAS COM ENTREGAS (303)"</f>
        <v>RECEITAS COM ENTREGAS (303)</v>
      </c>
      <c r="T346">
        <v>3965</v>
      </c>
      <c r="U346">
        <v>3257</v>
      </c>
      <c r="V346" t="s">
        <v>88</v>
      </c>
    </row>
    <row r="347" spans="1:22">
      <c r="A347" t="str">
        <f t="shared" si="112"/>
        <v>08/01/2026</v>
      </c>
      <c r="B347" t="str">
        <f t="shared" si="113"/>
        <v>ENTRADA</v>
      </c>
      <c r="C347" t="str">
        <f t="shared" si="114"/>
        <v>NFSE</v>
      </c>
      <c r="D347" t="str">
        <f>"19"</f>
        <v>19</v>
      </c>
      <c r="E347" t="str">
        <f t="shared" si="115"/>
        <v>1</v>
      </c>
      <c r="F347" t="str">
        <f t="shared" si="116"/>
        <v>COM</v>
      </c>
      <c r="G347" t="str">
        <f>"BELLESE FARMA (10279)"</f>
        <v>BELLESE FARMA (10279)</v>
      </c>
      <c r="H347" t="s">
        <v>106</v>
      </c>
      <c r="I347" t="str">
        <f t="shared" si="117"/>
        <v>07/01/2026</v>
      </c>
      <c r="J347" t="str">
        <f t="shared" si="118"/>
        <v>06/01/2026</v>
      </c>
      <c r="K347">
        <v>46030</v>
      </c>
      <c r="N347">
        <v>303</v>
      </c>
      <c r="O347" t="s">
        <v>26</v>
      </c>
      <c r="Q347">
        <v>150.05000000000001</v>
      </c>
      <c r="R347" t="str">
        <f>"BELLESE FARMA (10279)"</f>
        <v>BELLESE FARMA (10279)</v>
      </c>
      <c r="S347" t="s">
        <v>27</v>
      </c>
      <c r="T347">
        <v>3965</v>
      </c>
      <c r="U347">
        <v>3257</v>
      </c>
      <c r="V347" t="s">
        <v>88</v>
      </c>
    </row>
    <row r="348" spans="1:22">
      <c r="A348" t="str">
        <f t="shared" si="112"/>
        <v>08/01/2026</v>
      </c>
      <c r="B348" t="str">
        <f t="shared" si="113"/>
        <v>ENTRADA</v>
      </c>
      <c r="C348" t="str">
        <f t="shared" si="114"/>
        <v>NFSE</v>
      </c>
      <c r="D348" t="str">
        <f>"20"</f>
        <v>20</v>
      </c>
      <c r="E348" t="str">
        <f t="shared" si="115"/>
        <v>1</v>
      </c>
      <c r="F348" t="str">
        <f t="shared" si="116"/>
        <v>COM</v>
      </c>
      <c r="G348" t="str">
        <f>"DROGARIA ANA VISCONDE DO RIO BRANCO (10182)"</f>
        <v>DROGARIA ANA VISCONDE DO RIO BRANCO (10182)</v>
      </c>
      <c r="H348" t="str">
        <f>"Serv.Prest. 29/12/2025 a 04/01/2026 - RPS: 1948 - NFSe: 20"</f>
        <v>Serv.Prest. 29/12/2025 a 04/01/2026 - RPS: 1948 - NFSe: 20</v>
      </c>
      <c r="I348" t="str">
        <f t="shared" si="117"/>
        <v>07/01/2026</v>
      </c>
      <c r="J348" t="str">
        <f t="shared" si="118"/>
        <v>06/01/2026</v>
      </c>
      <c r="K348" t="str">
        <f>("08/01/2026")</f>
        <v>08/01/2026</v>
      </c>
      <c r="L348">
        <v>954.45</v>
      </c>
      <c r="M348">
        <v>954.45</v>
      </c>
      <c r="N348">
        <v>303</v>
      </c>
      <c r="O348" t="str">
        <f>"RECEITAS COM ENTREGAS"</f>
        <v>RECEITAS COM ENTREGAS</v>
      </c>
      <c r="P348">
        <v>954.45</v>
      </c>
      <c r="S348" t="str">
        <f>"RECEITAS COM ENTREGAS (303)"</f>
        <v>RECEITAS COM ENTREGAS (303)</v>
      </c>
      <c r="T348">
        <v>3966</v>
      </c>
      <c r="U348">
        <v>3258</v>
      </c>
      <c r="V348" t="s">
        <v>88</v>
      </c>
    </row>
    <row r="349" spans="1:22">
      <c r="A349" t="str">
        <f t="shared" si="112"/>
        <v>08/01/2026</v>
      </c>
      <c r="B349" t="str">
        <f t="shared" si="113"/>
        <v>ENTRADA</v>
      </c>
      <c r="C349" t="str">
        <f t="shared" si="114"/>
        <v>NFSE</v>
      </c>
      <c r="D349" t="str">
        <f>"20"</f>
        <v>20</v>
      </c>
      <c r="E349" t="str">
        <f t="shared" si="115"/>
        <v>1</v>
      </c>
      <c r="F349" t="str">
        <f t="shared" si="116"/>
        <v>COM</v>
      </c>
      <c r="G349" t="str">
        <f>"DROGARIA ANA VISCONDE DO RIO BRANCO (10182)"</f>
        <v>DROGARIA ANA VISCONDE DO RIO BRANCO (10182)</v>
      </c>
      <c r="H349" t="s">
        <v>107</v>
      </c>
      <c r="I349" t="str">
        <f t="shared" si="117"/>
        <v>07/01/2026</v>
      </c>
      <c r="J349" t="str">
        <f t="shared" si="118"/>
        <v>06/01/2026</v>
      </c>
      <c r="K349">
        <v>46030</v>
      </c>
      <c r="N349">
        <v>303</v>
      </c>
      <c r="O349" t="s">
        <v>26</v>
      </c>
      <c r="Q349">
        <v>954.45</v>
      </c>
      <c r="R349" t="str">
        <f>"DROGARIA ANA VISCONDE DO RIO BRANCO (10182)"</f>
        <v>DROGARIA ANA VISCONDE DO RIO BRANCO (10182)</v>
      </c>
      <c r="S349" t="s">
        <v>27</v>
      </c>
      <c r="T349">
        <v>3966</v>
      </c>
      <c r="U349">
        <v>3258</v>
      </c>
      <c r="V349" t="s">
        <v>88</v>
      </c>
    </row>
    <row r="350" spans="1:22">
      <c r="A350" t="str">
        <f t="shared" si="112"/>
        <v>08/01/2026</v>
      </c>
      <c r="B350" t="str">
        <f t="shared" si="113"/>
        <v>ENTRADA</v>
      </c>
      <c r="C350" t="str">
        <f t="shared" si="114"/>
        <v>NFSE</v>
      </c>
      <c r="D350" t="str">
        <f>"23"</f>
        <v>23</v>
      </c>
      <c r="E350" t="str">
        <f t="shared" si="115"/>
        <v>1</v>
      </c>
      <c r="F350" t="str">
        <f t="shared" si="116"/>
        <v>COM</v>
      </c>
      <c r="G350" t="str">
        <f>"PENSE FARMA 39 (10228)"</f>
        <v>PENSE FARMA 39 (10228)</v>
      </c>
      <c r="H350" t="str">
        <f>"Serv.Prest. 29/12/2025 a 04/01/2026 - RPS: 1952 - NFSe: 23"</f>
        <v>Serv.Prest. 29/12/2025 a 04/01/2026 - RPS: 1952 - NFSe: 23</v>
      </c>
      <c r="I350" t="str">
        <f t="shared" si="117"/>
        <v>07/01/2026</v>
      </c>
      <c r="J350" t="str">
        <f t="shared" si="118"/>
        <v>06/01/2026</v>
      </c>
      <c r="K350" t="str">
        <f>("08/01/2026")</f>
        <v>08/01/2026</v>
      </c>
      <c r="L350">
        <v>599.98</v>
      </c>
      <c r="M350">
        <v>599.98</v>
      </c>
      <c r="N350">
        <v>303</v>
      </c>
      <c r="O350" t="str">
        <f>"RECEITAS COM ENTREGAS"</f>
        <v>RECEITAS COM ENTREGAS</v>
      </c>
      <c r="P350">
        <v>599.98</v>
      </c>
      <c r="S350" t="str">
        <f>"RECEITAS COM ENTREGAS (303)"</f>
        <v>RECEITAS COM ENTREGAS (303)</v>
      </c>
      <c r="T350">
        <v>3967</v>
      </c>
      <c r="U350">
        <v>3262</v>
      </c>
      <c r="V350" t="s">
        <v>88</v>
      </c>
    </row>
    <row r="351" spans="1:22">
      <c r="A351" t="str">
        <f t="shared" si="112"/>
        <v>08/01/2026</v>
      </c>
      <c r="B351" t="str">
        <f t="shared" si="113"/>
        <v>ENTRADA</v>
      </c>
      <c r="C351" t="str">
        <f t="shared" si="114"/>
        <v>NFSE</v>
      </c>
      <c r="D351" t="str">
        <f>"23"</f>
        <v>23</v>
      </c>
      <c r="E351" t="str">
        <f t="shared" si="115"/>
        <v>1</v>
      </c>
      <c r="F351" t="str">
        <f t="shared" si="116"/>
        <v>COM</v>
      </c>
      <c r="G351" t="str">
        <f>"PENSE FARMA 39 (10228)"</f>
        <v>PENSE FARMA 39 (10228)</v>
      </c>
      <c r="H351" t="s">
        <v>108</v>
      </c>
      <c r="I351" t="str">
        <f t="shared" si="117"/>
        <v>07/01/2026</v>
      </c>
      <c r="J351" t="str">
        <f t="shared" si="118"/>
        <v>06/01/2026</v>
      </c>
      <c r="K351">
        <v>46030</v>
      </c>
      <c r="N351">
        <v>303</v>
      </c>
      <c r="O351" t="s">
        <v>26</v>
      </c>
      <c r="Q351">
        <v>148.85</v>
      </c>
      <c r="R351" t="str">
        <f>"PENSE FARMA 02 (10199)"</f>
        <v>PENSE FARMA 02 (10199)</v>
      </c>
      <c r="S351" t="s">
        <v>27</v>
      </c>
      <c r="T351">
        <v>3967</v>
      </c>
      <c r="U351">
        <v>3262</v>
      </c>
      <c r="V351" t="s">
        <v>88</v>
      </c>
    </row>
    <row r="352" spans="1:22">
      <c r="A352" t="str">
        <f t="shared" si="112"/>
        <v>08/01/2026</v>
      </c>
      <c r="B352" t="str">
        <f t="shared" si="113"/>
        <v>ENTRADA</v>
      </c>
      <c r="C352" t="str">
        <f t="shared" si="114"/>
        <v>NFSE</v>
      </c>
      <c r="D352" t="str">
        <f>"23"</f>
        <v>23</v>
      </c>
      <c r="E352" t="str">
        <f t="shared" si="115"/>
        <v>1</v>
      </c>
      <c r="F352" t="str">
        <f t="shared" si="116"/>
        <v>COM</v>
      </c>
      <c r="G352" t="str">
        <f>"PENSE FARMA 39 (10228)"</f>
        <v>PENSE FARMA 39 (10228)</v>
      </c>
      <c r="H352" t="s">
        <v>108</v>
      </c>
      <c r="I352" t="str">
        <f t="shared" si="117"/>
        <v>07/01/2026</v>
      </c>
      <c r="J352" t="str">
        <f t="shared" si="118"/>
        <v>06/01/2026</v>
      </c>
      <c r="K352">
        <v>46030</v>
      </c>
      <c r="N352">
        <v>303</v>
      </c>
      <c r="O352" t="s">
        <v>26</v>
      </c>
      <c r="Q352">
        <v>148.86000000000001</v>
      </c>
      <c r="R352" t="str">
        <f>"PENSE FARMA 01 (10215)"</f>
        <v>PENSE FARMA 01 (10215)</v>
      </c>
      <c r="S352" t="s">
        <v>27</v>
      </c>
      <c r="T352">
        <v>3967</v>
      </c>
      <c r="U352">
        <v>3262</v>
      </c>
      <c r="V352" t="s">
        <v>88</v>
      </c>
    </row>
    <row r="353" spans="1:22">
      <c r="A353" t="str">
        <f t="shared" si="112"/>
        <v>08/01/2026</v>
      </c>
      <c r="B353" t="str">
        <f t="shared" si="113"/>
        <v>ENTRADA</v>
      </c>
      <c r="C353" t="str">
        <f t="shared" si="114"/>
        <v>NFSE</v>
      </c>
      <c r="D353" t="str">
        <f>"23"</f>
        <v>23</v>
      </c>
      <c r="E353" t="str">
        <f t="shared" si="115"/>
        <v>1</v>
      </c>
      <c r="F353" t="str">
        <f t="shared" si="116"/>
        <v>COM</v>
      </c>
      <c r="G353" t="str">
        <f>"PENSE FARMA 39 (10228)"</f>
        <v>PENSE FARMA 39 (10228)</v>
      </c>
      <c r="H353" t="s">
        <v>108</v>
      </c>
      <c r="I353" t="str">
        <f t="shared" si="117"/>
        <v>07/01/2026</v>
      </c>
      <c r="J353" t="str">
        <f t="shared" si="118"/>
        <v>06/01/2026</v>
      </c>
      <c r="K353">
        <v>46030</v>
      </c>
      <c r="N353">
        <v>303</v>
      </c>
      <c r="O353" t="s">
        <v>26</v>
      </c>
      <c r="Q353">
        <v>148.86000000000001</v>
      </c>
      <c r="R353" t="str">
        <f>"PENSE FARMA 03 (10216)"</f>
        <v>PENSE FARMA 03 (10216)</v>
      </c>
      <c r="S353" t="s">
        <v>27</v>
      </c>
      <c r="T353">
        <v>3967</v>
      </c>
      <c r="U353">
        <v>3262</v>
      </c>
      <c r="V353" t="s">
        <v>88</v>
      </c>
    </row>
    <row r="354" spans="1:22">
      <c r="A354" t="str">
        <f t="shared" si="112"/>
        <v>08/01/2026</v>
      </c>
      <c r="B354" t="str">
        <f t="shared" si="113"/>
        <v>ENTRADA</v>
      </c>
      <c r="C354" t="str">
        <f t="shared" si="114"/>
        <v>NFSE</v>
      </c>
      <c r="D354" t="str">
        <f>"23"</f>
        <v>23</v>
      </c>
      <c r="E354" t="str">
        <f t="shared" si="115"/>
        <v>1</v>
      </c>
      <c r="F354" t="str">
        <f t="shared" si="116"/>
        <v>COM</v>
      </c>
      <c r="G354" t="str">
        <f>"PENSE FARMA 39 (10228)"</f>
        <v>PENSE FARMA 39 (10228)</v>
      </c>
      <c r="H354" t="s">
        <v>108</v>
      </c>
      <c r="I354" t="str">
        <f t="shared" si="117"/>
        <v>07/01/2026</v>
      </c>
      <c r="J354" t="str">
        <f t="shared" si="118"/>
        <v>06/01/2026</v>
      </c>
      <c r="K354">
        <v>46030</v>
      </c>
      <c r="N354">
        <v>303</v>
      </c>
      <c r="O354" t="s">
        <v>26</v>
      </c>
      <c r="Q354">
        <v>153.41</v>
      </c>
      <c r="R354" t="str">
        <f>"PENSE FARMA 39 (10228)"</f>
        <v>PENSE FARMA 39 (10228)</v>
      </c>
      <c r="S354" t="s">
        <v>27</v>
      </c>
      <c r="T354">
        <v>3967</v>
      </c>
      <c r="U354">
        <v>3262</v>
      </c>
      <c r="V354" t="s">
        <v>88</v>
      </c>
    </row>
    <row r="355" spans="1:22">
      <c r="A355" t="str">
        <f t="shared" si="112"/>
        <v>08/01/2026</v>
      </c>
      <c r="B355" t="str">
        <f t="shared" si="113"/>
        <v>ENTRADA</v>
      </c>
      <c r="C355" t="str">
        <f t="shared" si="114"/>
        <v>NFSE</v>
      </c>
      <c r="D355" t="str">
        <f>"26"</f>
        <v>26</v>
      </c>
      <c r="E355" t="str">
        <f t="shared" si="115"/>
        <v>1</v>
      </c>
      <c r="F355" t="str">
        <f t="shared" si="116"/>
        <v>COM</v>
      </c>
      <c r="G355" t="str">
        <f>"ENTREFARMA (10164)"</f>
        <v>ENTREFARMA (10164)</v>
      </c>
      <c r="H355" t="str">
        <f>"Serv.Prest. 29/12/2025 a 04/01/2026 - RPS: 1955 - NFSe: 26"</f>
        <v>Serv.Prest. 29/12/2025 a 04/01/2026 - RPS: 1955 - NFSe: 26</v>
      </c>
      <c r="I355" t="str">
        <f t="shared" si="117"/>
        <v>07/01/2026</v>
      </c>
      <c r="J355" t="str">
        <f t="shared" si="118"/>
        <v>06/01/2026</v>
      </c>
      <c r="K355" t="str">
        <f>("08/01/2026")</f>
        <v>08/01/2026</v>
      </c>
      <c r="L355">
        <v>597.98</v>
      </c>
      <c r="M355">
        <v>597.98</v>
      </c>
      <c r="N355">
        <v>303</v>
      </c>
      <c r="O355" t="str">
        <f>"RECEITAS COM ENTREGAS"</f>
        <v>RECEITAS COM ENTREGAS</v>
      </c>
      <c r="P355">
        <v>597.98</v>
      </c>
      <c r="S355" t="str">
        <f>"RECEITAS COM ENTREGAS (303)"</f>
        <v>RECEITAS COM ENTREGAS (303)</v>
      </c>
      <c r="T355">
        <v>3968</v>
      </c>
      <c r="U355">
        <v>3265</v>
      </c>
      <c r="V355" t="s">
        <v>88</v>
      </c>
    </row>
    <row r="356" spans="1:22">
      <c r="A356" t="str">
        <f t="shared" si="112"/>
        <v>08/01/2026</v>
      </c>
      <c r="B356" t="str">
        <f t="shared" si="113"/>
        <v>ENTRADA</v>
      </c>
      <c r="C356" t="str">
        <f t="shared" si="114"/>
        <v>NFSE</v>
      </c>
      <c r="D356" t="str">
        <f>"26"</f>
        <v>26</v>
      </c>
      <c r="E356" t="str">
        <f t="shared" si="115"/>
        <v>1</v>
      </c>
      <c r="F356" t="str">
        <f t="shared" si="116"/>
        <v>COM</v>
      </c>
      <c r="G356" t="str">
        <f>"ENTREFARMA (10164)"</f>
        <v>ENTREFARMA (10164)</v>
      </c>
      <c r="H356" t="s">
        <v>109</v>
      </c>
      <c r="I356" t="str">
        <f t="shared" si="117"/>
        <v>07/01/2026</v>
      </c>
      <c r="J356" t="str">
        <f t="shared" si="118"/>
        <v>06/01/2026</v>
      </c>
      <c r="K356">
        <v>46030</v>
      </c>
      <c r="N356">
        <v>303</v>
      </c>
      <c r="O356" t="s">
        <v>26</v>
      </c>
      <c r="Q356">
        <v>597.98</v>
      </c>
      <c r="R356" t="str">
        <f>"ENTREFARMA (10164)"</f>
        <v>ENTREFARMA (10164)</v>
      </c>
      <c r="S356" t="s">
        <v>27</v>
      </c>
      <c r="T356">
        <v>3968</v>
      </c>
      <c r="U356">
        <v>3265</v>
      </c>
      <c r="V356" t="s">
        <v>88</v>
      </c>
    </row>
    <row r="357" spans="1:22">
      <c r="A357" t="str">
        <f t="shared" si="112"/>
        <v>08/01/2026</v>
      </c>
      <c r="B357" t="str">
        <f t="shared" si="113"/>
        <v>ENTRADA</v>
      </c>
      <c r="C357" t="str">
        <f t="shared" si="114"/>
        <v>NFSE</v>
      </c>
      <c r="D357" t="str">
        <f>"29"</f>
        <v>29</v>
      </c>
      <c r="E357" t="str">
        <f t="shared" si="115"/>
        <v>1</v>
      </c>
      <c r="F357" t="str">
        <f t="shared" si="116"/>
        <v>COM</v>
      </c>
      <c r="G357" t="str">
        <f>"JAL FARMACIA E DROGARIA LJ 1 (10137)"</f>
        <v>JAL FARMACIA E DROGARIA LJ 1 (10137)</v>
      </c>
      <c r="H357" t="str">
        <f>"Serv.Prest. 29/12/2025 a 04/01/2026 - RPS: 1958 - NFSe: 29"</f>
        <v>Serv.Prest. 29/12/2025 a 04/01/2026 - RPS: 1958 - NFSe: 29</v>
      </c>
      <c r="I357" t="str">
        <f t="shared" si="117"/>
        <v>07/01/2026</v>
      </c>
      <c r="J357" t="str">
        <f t="shared" si="118"/>
        <v>06/01/2026</v>
      </c>
      <c r="K357" t="str">
        <f>("08/01/2026")</f>
        <v>08/01/2026</v>
      </c>
      <c r="L357">
        <v>378</v>
      </c>
      <c r="M357">
        <v>378</v>
      </c>
      <c r="N357">
        <v>303</v>
      </c>
      <c r="O357" t="str">
        <f>"RECEITAS COM ENTREGAS"</f>
        <v>RECEITAS COM ENTREGAS</v>
      </c>
      <c r="P357">
        <v>378</v>
      </c>
      <c r="S357" t="str">
        <f>"RECEITAS COM ENTREGAS (303)"</f>
        <v>RECEITAS COM ENTREGAS (303)</v>
      </c>
      <c r="T357">
        <v>3969</v>
      </c>
      <c r="U357">
        <v>3268</v>
      </c>
      <c r="V357" t="s">
        <v>88</v>
      </c>
    </row>
    <row r="358" spans="1:22">
      <c r="A358" t="str">
        <f t="shared" si="112"/>
        <v>08/01/2026</v>
      </c>
      <c r="B358" t="str">
        <f t="shared" si="113"/>
        <v>ENTRADA</v>
      </c>
      <c r="C358" t="str">
        <f t="shared" si="114"/>
        <v>NFSE</v>
      </c>
      <c r="D358" t="str">
        <f>"29"</f>
        <v>29</v>
      </c>
      <c r="E358" t="str">
        <f t="shared" si="115"/>
        <v>1</v>
      </c>
      <c r="F358" t="str">
        <f t="shared" si="116"/>
        <v>COM</v>
      </c>
      <c r="G358" t="str">
        <f>"JAL FARMACIA E DROGARIA LJ 1 (10137)"</f>
        <v>JAL FARMACIA E DROGARIA LJ 1 (10137)</v>
      </c>
      <c r="H358" t="s">
        <v>110</v>
      </c>
      <c r="I358" t="str">
        <f t="shared" si="117"/>
        <v>07/01/2026</v>
      </c>
      <c r="J358" t="str">
        <f t="shared" si="118"/>
        <v>06/01/2026</v>
      </c>
      <c r="K358">
        <v>46030</v>
      </c>
      <c r="N358">
        <v>303</v>
      </c>
      <c r="O358" t="s">
        <v>26</v>
      </c>
      <c r="Q358">
        <v>378</v>
      </c>
      <c r="R358" t="str">
        <f>"JAL FARMACIA E DROGARIA LJ 1 (10137)"</f>
        <v>JAL FARMACIA E DROGARIA LJ 1 (10137)</v>
      </c>
      <c r="S358" t="s">
        <v>27</v>
      </c>
      <c r="T358">
        <v>3969</v>
      </c>
      <c r="U358">
        <v>3268</v>
      </c>
      <c r="V358" t="s">
        <v>88</v>
      </c>
    </row>
    <row r="359" spans="1:22">
      <c r="A359" t="str">
        <f t="shared" si="112"/>
        <v>08/01/2026</v>
      </c>
      <c r="B359" t="str">
        <f t="shared" si="113"/>
        <v>ENTRADA</v>
      </c>
      <c r="C359" t="str">
        <f t="shared" si="114"/>
        <v>NFSE</v>
      </c>
      <c r="D359" t="str">
        <f>"30"</f>
        <v>30</v>
      </c>
      <c r="E359" t="str">
        <f t="shared" si="115"/>
        <v>1</v>
      </c>
      <c r="F359" t="str">
        <f t="shared" si="116"/>
        <v>COM</v>
      </c>
      <c r="G359" t="str">
        <f>"JAL FARMACIA E DROGARIA LJ 2 (10138)"</f>
        <v>JAL FARMACIA E DROGARIA LJ 2 (10138)</v>
      </c>
      <c r="H359" t="str">
        <f>"Serv.Prest. 29/12/2025 a 04/01/2026 - RPS: 1959 - NFSe: 30"</f>
        <v>Serv.Prest. 29/12/2025 a 04/01/2026 - RPS: 1959 - NFSe: 30</v>
      </c>
      <c r="I359" t="str">
        <f t="shared" si="117"/>
        <v>07/01/2026</v>
      </c>
      <c r="J359" t="str">
        <f t="shared" si="118"/>
        <v>06/01/2026</v>
      </c>
      <c r="K359" t="str">
        <f>("08/01/2026")</f>
        <v>08/01/2026</v>
      </c>
      <c r="L359">
        <v>226.5</v>
      </c>
      <c r="M359">
        <v>226.5</v>
      </c>
      <c r="N359">
        <v>303</v>
      </c>
      <c r="O359" t="str">
        <f>"RECEITAS COM ENTREGAS"</f>
        <v>RECEITAS COM ENTREGAS</v>
      </c>
      <c r="P359">
        <v>226.5</v>
      </c>
      <c r="S359" t="str">
        <f>"RECEITAS COM ENTREGAS (303)"</f>
        <v>RECEITAS COM ENTREGAS (303)</v>
      </c>
      <c r="T359">
        <v>3970</v>
      </c>
      <c r="U359">
        <v>3269</v>
      </c>
      <c r="V359" t="s">
        <v>88</v>
      </c>
    </row>
    <row r="360" spans="1:22">
      <c r="A360" t="str">
        <f t="shared" si="112"/>
        <v>08/01/2026</v>
      </c>
      <c r="B360" t="str">
        <f t="shared" si="113"/>
        <v>ENTRADA</v>
      </c>
      <c r="C360" t="str">
        <f t="shared" si="114"/>
        <v>NFSE</v>
      </c>
      <c r="D360" t="str">
        <f>"30"</f>
        <v>30</v>
      </c>
      <c r="E360" t="str">
        <f t="shared" si="115"/>
        <v>1</v>
      </c>
      <c r="F360" t="str">
        <f t="shared" si="116"/>
        <v>COM</v>
      </c>
      <c r="G360" t="str">
        <f>"JAL FARMACIA E DROGARIA LJ 2 (10138)"</f>
        <v>JAL FARMACIA E DROGARIA LJ 2 (10138)</v>
      </c>
      <c r="H360" t="s">
        <v>111</v>
      </c>
      <c r="I360" t="str">
        <f t="shared" si="117"/>
        <v>07/01/2026</v>
      </c>
      <c r="J360" t="str">
        <f t="shared" si="118"/>
        <v>06/01/2026</v>
      </c>
      <c r="K360">
        <v>46030</v>
      </c>
      <c r="N360">
        <v>303</v>
      </c>
      <c r="O360" t="s">
        <v>26</v>
      </c>
      <c r="Q360">
        <v>226.5</v>
      </c>
      <c r="R360" t="str">
        <f>"JAL FARMACIA E DROGARIA LJ 2 (10138)"</f>
        <v>JAL FARMACIA E DROGARIA LJ 2 (10138)</v>
      </c>
      <c r="S360" t="s">
        <v>27</v>
      </c>
      <c r="T360">
        <v>3970</v>
      </c>
      <c r="U360">
        <v>3269</v>
      </c>
      <c r="V360" t="s">
        <v>88</v>
      </c>
    </row>
    <row r="361" spans="1:22">
      <c r="A361" t="str">
        <f t="shared" si="112"/>
        <v>08/01/2026</v>
      </c>
      <c r="B361" t="str">
        <f t="shared" si="113"/>
        <v>ENTRADA</v>
      </c>
      <c r="C361" t="str">
        <f t="shared" si="114"/>
        <v>NFSE</v>
      </c>
      <c r="D361" t="str">
        <f>"33"</f>
        <v>33</v>
      </c>
      <c r="E361" t="str">
        <f t="shared" si="115"/>
        <v>1</v>
      </c>
      <c r="F361" t="str">
        <f t="shared" si="116"/>
        <v>COM</v>
      </c>
      <c r="G361" t="str">
        <f>"ULTRA POPULAR  UBA 2 (10214)"</f>
        <v>ULTRA POPULAR  UBA 2 (10214)</v>
      </c>
      <c r="H361" t="str">
        <f>"Serv.Prest. 29/12/2025 a 04/01/2026 - RPS: 1962 - NFSe: 33"</f>
        <v>Serv.Prest. 29/12/2025 a 04/01/2026 - RPS: 1962 - NFSe: 33</v>
      </c>
      <c r="I361" t="str">
        <f t="shared" si="117"/>
        <v>07/01/2026</v>
      </c>
      <c r="J361" t="str">
        <f t="shared" si="118"/>
        <v>06/01/2026</v>
      </c>
      <c r="K361" t="str">
        <f>("08/01/2026")</f>
        <v>08/01/2026</v>
      </c>
      <c r="L361">
        <v>84.45</v>
      </c>
      <c r="M361">
        <v>84.45</v>
      </c>
      <c r="N361">
        <v>303</v>
      </c>
      <c r="O361" t="str">
        <f>"RECEITAS COM ENTREGAS"</f>
        <v>RECEITAS COM ENTREGAS</v>
      </c>
      <c r="P361">
        <v>84.45</v>
      </c>
      <c r="S361" t="str">
        <f>"RECEITAS COM ENTREGAS (303)"</f>
        <v>RECEITAS COM ENTREGAS (303)</v>
      </c>
      <c r="T361">
        <v>3971</v>
      </c>
      <c r="U361">
        <v>3272</v>
      </c>
      <c r="V361" t="s">
        <v>88</v>
      </c>
    </row>
    <row r="362" spans="1:22">
      <c r="A362" t="str">
        <f t="shared" si="112"/>
        <v>08/01/2026</v>
      </c>
      <c r="B362" t="str">
        <f t="shared" si="113"/>
        <v>ENTRADA</v>
      </c>
      <c r="C362" t="str">
        <f t="shared" si="114"/>
        <v>NFSE</v>
      </c>
      <c r="D362" t="str">
        <f>"33"</f>
        <v>33</v>
      </c>
      <c r="E362" t="str">
        <f t="shared" si="115"/>
        <v>1</v>
      </c>
      <c r="F362" t="str">
        <f t="shared" si="116"/>
        <v>COM</v>
      </c>
      <c r="G362" t="str">
        <f>"ULTRA POPULAR  UBA 2 (10214)"</f>
        <v>ULTRA POPULAR  UBA 2 (10214)</v>
      </c>
      <c r="H362" t="s">
        <v>112</v>
      </c>
      <c r="I362" t="str">
        <f t="shared" si="117"/>
        <v>07/01/2026</v>
      </c>
      <c r="J362" t="str">
        <f t="shared" si="118"/>
        <v>06/01/2026</v>
      </c>
      <c r="K362">
        <v>46030</v>
      </c>
      <c r="N362">
        <v>303</v>
      </c>
      <c r="O362" t="s">
        <v>26</v>
      </c>
      <c r="Q362">
        <v>31.99</v>
      </c>
      <c r="R362" t="str">
        <f>"ULTRA POPULAR  UBA 2 (10214)"</f>
        <v>ULTRA POPULAR  UBA 2 (10214)</v>
      </c>
      <c r="S362" t="s">
        <v>27</v>
      </c>
      <c r="T362">
        <v>3971</v>
      </c>
      <c r="U362">
        <v>3272</v>
      </c>
      <c r="V362" t="s">
        <v>88</v>
      </c>
    </row>
    <row r="363" spans="1:22">
      <c r="A363" t="str">
        <f t="shared" ref="A363:A386" si="119">("08/01/2026")</f>
        <v>08/01/2026</v>
      </c>
      <c r="B363" t="str">
        <f t="shared" ref="B363:B381" si="120">"ENTRADA"</f>
        <v>ENTRADA</v>
      </c>
      <c r="C363" t="str">
        <f t="shared" ref="C363:C381" si="121">"NFSE"</f>
        <v>NFSE</v>
      </c>
      <c r="D363" t="str">
        <f>"33"</f>
        <v>33</v>
      </c>
      <c r="E363" t="str">
        <f t="shared" ref="E363:E381" si="122">"1"</f>
        <v>1</v>
      </c>
      <c r="F363" t="str">
        <f t="shared" ref="F363:F381" si="123">"COM"</f>
        <v>COM</v>
      </c>
      <c r="G363" t="str">
        <f>"ULTRA POPULAR  UBA 2 (10214)"</f>
        <v>ULTRA POPULAR  UBA 2 (10214)</v>
      </c>
      <c r="H363" t="s">
        <v>112</v>
      </c>
      <c r="I363" t="str">
        <f t="shared" si="117"/>
        <v>07/01/2026</v>
      </c>
      <c r="J363" t="str">
        <f t="shared" si="118"/>
        <v>06/01/2026</v>
      </c>
      <c r="K363">
        <v>46030</v>
      </c>
      <c r="N363">
        <v>303</v>
      </c>
      <c r="O363" t="s">
        <v>26</v>
      </c>
      <c r="Q363">
        <v>52.46</v>
      </c>
      <c r="R363" t="str">
        <f>"UBA 1 (10263)"</f>
        <v>UBA 1 (10263)</v>
      </c>
      <c r="S363" t="s">
        <v>27</v>
      </c>
      <c r="T363">
        <v>3971</v>
      </c>
      <c r="U363">
        <v>3272</v>
      </c>
      <c r="V363" t="s">
        <v>88</v>
      </c>
    </row>
    <row r="364" spans="1:22">
      <c r="A364" t="str">
        <f t="shared" si="119"/>
        <v>08/01/2026</v>
      </c>
      <c r="B364" t="str">
        <f t="shared" si="120"/>
        <v>ENTRADA</v>
      </c>
      <c r="C364" t="str">
        <f t="shared" si="121"/>
        <v>NFSE</v>
      </c>
      <c r="D364" t="str">
        <f t="shared" ref="D364:D369" si="124">"36"</f>
        <v>36</v>
      </c>
      <c r="E364" t="str">
        <f t="shared" si="122"/>
        <v>1</v>
      </c>
      <c r="F364" t="str">
        <f t="shared" si="123"/>
        <v>COM</v>
      </c>
      <c r="G364" t="str">
        <f t="shared" ref="G364:G369" si="125">"DROGALIDER 25 (10246)"</f>
        <v>DROGALIDER 25 (10246)</v>
      </c>
      <c r="H364" t="str">
        <f>"Serv.Prest. 29/12/2025 a 04/01/2026 - RPS: 1966 - NFSe: 36"</f>
        <v>Serv.Prest. 29/12/2025 a 04/01/2026 - RPS: 1966 - NFSe: 36</v>
      </c>
      <c r="I364" t="str">
        <f t="shared" si="117"/>
        <v>07/01/2026</v>
      </c>
      <c r="J364" t="str">
        <f t="shared" si="118"/>
        <v>06/01/2026</v>
      </c>
      <c r="K364" t="str">
        <f>("08/01/2026")</f>
        <v>08/01/2026</v>
      </c>
      <c r="L364">
        <v>347</v>
      </c>
      <c r="M364">
        <v>347</v>
      </c>
      <c r="N364">
        <v>303</v>
      </c>
      <c r="O364" t="str">
        <f>"RECEITAS COM ENTREGAS"</f>
        <v>RECEITAS COM ENTREGAS</v>
      </c>
      <c r="P364">
        <v>347</v>
      </c>
      <c r="S364" t="str">
        <f>"RECEITAS COM ENTREGAS (303)"</f>
        <v>RECEITAS COM ENTREGAS (303)</v>
      </c>
      <c r="T364">
        <v>3972</v>
      </c>
      <c r="U364">
        <v>3276</v>
      </c>
      <c r="V364" t="s">
        <v>88</v>
      </c>
    </row>
    <row r="365" spans="1:22">
      <c r="A365" t="str">
        <f t="shared" si="119"/>
        <v>08/01/2026</v>
      </c>
      <c r="B365" t="str">
        <f t="shared" si="120"/>
        <v>ENTRADA</v>
      </c>
      <c r="C365" t="str">
        <f t="shared" si="121"/>
        <v>NFSE</v>
      </c>
      <c r="D365" t="str">
        <f t="shared" si="124"/>
        <v>36</v>
      </c>
      <c r="E365" t="str">
        <f t="shared" si="122"/>
        <v>1</v>
      </c>
      <c r="F365" t="str">
        <f t="shared" si="123"/>
        <v>COM</v>
      </c>
      <c r="G365" t="str">
        <f t="shared" si="125"/>
        <v>DROGALIDER 25 (10246)</v>
      </c>
      <c r="H365" t="s">
        <v>113</v>
      </c>
      <c r="I365" t="str">
        <f t="shared" ref="I365:I381" si="126">("07/01/2026")</f>
        <v>07/01/2026</v>
      </c>
      <c r="J365" t="str">
        <f t="shared" si="118"/>
        <v>06/01/2026</v>
      </c>
      <c r="K365">
        <v>46030</v>
      </c>
      <c r="N365">
        <v>303</v>
      </c>
      <c r="O365" t="s">
        <v>26</v>
      </c>
      <c r="Q365">
        <v>68.010000000000005</v>
      </c>
      <c r="R365" t="str">
        <f>"DROGALIDER 58 (10213)"</f>
        <v>DROGALIDER 58 (10213)</v>
      </c>
      <c r="S365" t="s">
        <v>27</v>
      </c>
      <c r="T365">
        <v>3972</v>
      </c>
      <c r="U365">
        <v>3276</v>
      </c>
      <c r="V365" t="s">
        <v>88</v>
      </c>
    </row>
    <row r="366" spans="1:22">
      <c r="A366" t="str">
        <f t="shared" si="119"/>
        <v>08/01/2026</v>
      </c>
      <c r="B366" t="str">
        <f t="shared" si="120"/>
        <v>ENTRADA</v>
      </c>
      <c r="C366" t="str">
        <f t="shared" si="121"/>
        <v>NFSE</v>
      </c>
      <c r="D366" t="str">
        <f t="shared" si="124"/>
        <v>36</v>
      </c>
      <c r="E366" t="str">
        <f t="shared" si="122"/>
        <v>1</v>
      </c>
      <c r="F366" t="str">
        <f t="shared" si="123"/>
        <v>COM</v>
      </c>
      <c r="G366" t="str">
        <f t="shared" si="125"/>
        <v>DROGALIDER 25 (10246)</v>
      </c>
      <c r="H366" t="s">
        <v>113</v>
      </c>
      <c r="I366" t="str">
        <f t="shared" si="126"/>
        <v>07/01/2026</v>
      </c>
      <c r="J366" t="str">
        <f t="shared" si="118"/>
        <v>06/01/2026</v>
      </c>
      <c r="K366">
        <v>46030</v>
      </c>
      <c r="N366">
        <v>303</v>
      </c>
      <c r="O366" t="s">
        <v>26</v>
      </c>
      <c r="Q366">
        <v>95.01</v>
      </c>
      <c r="R366" t="str">
        <f>"DROGALIDER 25 (10246)"</f>
        <v>DROGALIDER 25 (10246)</v>
      </c>
      <c r="S366" t="s">
        <v>27</v>
      </c>
      <c r="T366">
        <v>3972</v>
      </c>
      <c r="U366">
        <v>3276</v>
      </c>
      <c r="V366" t="s">
        <v>88</v>
      </c>
    </row>
    <row r="367" spans="1:22">
      <c r="A367" t="str">
        <f t="shared" si="119"/>
        <v>08/01/2026</v>
      </c>
      <c r="B367" t="str">
        <f t="shared" si="120"/>
        <v>ENTRADA</v>
      </c>
      <c r="C367" t="str">
        <f t="shared" si="121"/>
        <v>NFSE</v>
      </c>
      <c r="D367" t="str">
        <f t="shared" si="124"/>
        <v>36</v>
      </c>
      <c r="E367" t="str">
        <f t="shared" si="122"/>
        <v>1</v>
      </c>
      <c r="F367" t="str">
        <f t="shared" si="123"/>
        <v>COM</v>
      </c>
      <c r="G367" t="str">
        <f t="shared" si="125"/>
        <v>DROGALIDER 25 (10246)</v>
      </c>
      <c r="H367" t="s">
        <v>113</v>
      </c>
      <c r="I367" t="str">
        <f t="shared" si="126"/>
        <v>07/01/2026</v>
      </c>
      <c r="J367" t="str">
        <f t="shared" si="118"/>
        <v>06/01/2026</v>
      </c>
      <c r="K367">
        <v>46030</v>
      </c>
      <c r="N367">
        <v>303</v>
      </c>
      <c r="O367" t="s">
        <v>26</v>
      </c>
      <c r="Q367">
        <v>96.99</v>
      </c>
      <c r="R367" t="str">
        <f>"DROGALIDER 46 (10248)"</f>
        <v>DROGALIDER 46 (10248)</v>
      </c>
      <c r="S367" t="s">
        <v>27</v>
      </c>
      <c r="T367">
        <v>3972</v>
      </c>
      <c r="U367">
        <v>3276</v>
      </c>
      <c r="V367" t="s">
        <v>88</v>
      </c>
    </row>
    <row r="368" spans="1:22">
      <c r="A368" t="str">
        <f t="shared" si="119"/>
        <v>08/01/2026</v>
      </c>
      <c r="B368" t="str">
        <f t="shared" si="120"/>
        <v>ENTRADA</v>
      </c>
      <c r="C368" t="str">
        <f t="shared" si="121"/>
        <v>NFSE</v>
      </c>
      <c r="D368" t="str">
        <f t="shared" si="124"/>
        <v>36</v>
      </c>
      <c r="E368" t="str">
        <f t="shared" si="122"/>
        <v>1</v>
      </c>
      <c r="F368" t="str">
        <f t="shared" si="123"/>
        <v>COM</v>
      </c>
      <c r="G368" t="str">
        <f t="shared" si="125"/>
        <v>DROGALIDER 25 (10246)</v>
      </c>
      <c r="H368" t="s">
        <v>113</v>
      </c>
      <c r="I368" t="str">
        <f t="shared" si="126"/>
        <v>07/01/2026</v>
      </c>
      <c r="J368" t="str">
        <f t="shared" si="118"/>
        <v>06/01/2026</v>
      </c>
      <c r="K368">
        <v>46030</v>
      </c>
      <c r="N368">
        <v>303</v>
      </c>
      <c r="O368" t="s">
        <v>26</v>
      </c>
      <c r="Q368">
        <v>44</v>
      </c>
      <c r="R368" t="str">
        <f>"DROGALIDER 64 (10250)"</f>
        <v>DROGALIDER 64 (10250)</v>
      </c>
      <c r="S368" t="s">
        <v>27</v>
      </c>
      <c r="T368">
        <v>3972</v>
      </c>
      <c r="U368">
        <v>3276</v>
      </c>
      <c r="V368" t="s">
        <v>88</v>
      </c>
    </row>
    <row r="369" spans="1:22">
      <c r="A369" t="str">
        <f t="shared" si="119"/>
        <v>08/01/2026</v>
      </c>
      <c r="B369" t="str">
        <f t="shared" si="120"/>
        <v>ENTRADA</v>
      </c>
      <c r="C369" t="str">
        <f t="shared" si="121"/>
        <v>NFSE</v>
      </c>
      <c r="D369" t="str">
        <f t="shared" si="124"/>
        <v>36</v>
      </c>
      <c r="E369" t="str">
        <f t="shared" si="122"/>
        <v>1</v>
      </c>
      <c r="F369" t="str">
        <f t="shared" si="123"/>
        <v>COM</v>
      </c>
      <c r="G369" t="str">
        <f t="shared" si="125"/>
        <v>DROGALIDER 25 (10246)</v>
      </c>
      <c r="H369" t="s">
        <v>113</v>
      </c>
      <c r="I369" t="str">
        <f t="shared" si="126"/>
        <v>07/01/2026</v>
      </c>
      <c r="J369" t="str">
        <f t="shared" si="118"/>
        <v>06/01/2026</v>
      </c>
      <c r="K369">
        <v>46030</v>
      </c>
      <c r="N369">
        <v>303</v>
      </c>
      <c r="O369" t="s">
        <v>26</v>
      </c>
      <c r="Q369">
        <v>42.99</v>
      </c>
      <c r="R369" t="str">
        <f>"DROGALIDER 66 (10251)"</f>
        <v>DROGALIDER 66 (10251)</v>
      </c>
      <c r="S369" t="s">
        <v>27</v>
      </c>
      <c r="T369">
        <v>3972</v>
      </c>
      <c r="U369">
        <v>3276</v>
      </c>
      <c r="V369" t="s">
        <v>88</v>
      </c>
    </row>
    <row r="370" spans="1:22">
      <c r="A370" t="str">
        <f t="shared" si="119"/>
        <v>08/01/2026</v>
      </c>
      <c r="B370" t="str">
        <f t="shared" si="120"/>
        <v>ENTRADA</v>
      </c>
      <c r="C370" t="str">
        <f t="shared" si="121"/>
        <v>NFSE</v>
      </c>
      <c r="D370" t="str">
        <f t="shared" ref="D370:D375" si="127">"37"</f>
        <v>37</v>
      </c>
      <c r="E370" t="str">
        <f t="shared" si="122"/>
        <v>1</v>
      </c>
      <c r="F370" t="str">
        <f t="shared" si="123"/>
        <v>COM</v>
      </c>
      <c r="G370" t="str">
        <f t="shared" ref="G370:G375" si="128">"DROGALIDER 31 (10256)"</f>
        <v>DROGALIDER 31 (10256)</v>
      </c>
      <c r="H370" t="str">
        <f>"Serv.Prest. 29/12/2025 a 04/01/2026 - RPS: 1967 - NFSe: 37"</f>
        <v>Serv.Prest. 29/12/2025 a 04/01/2026 - RPS: 1967 - NFSe: 37</v>
      </c>
      <c r="I370" t="str">
        <f t="shared" si="126"/>
        <v>07/01/2026</v>
      </c>
      <c r="J370" t="str">
        <f t="shared" si="118"/>
        <v>06/01/2026</v>
      </c>
      <c r="K370" t="str">
        <f>("08/01/2026")</f>
        <v>08/01/2026</v>
      </c>
      <c r="L370">
        <v>450</v>
      </c>
      <c r="M370">
        <v>450</v>
      </c>
      <c r="N370">
        <v>303</v>
      </c>
      <c r="O370" t="str">
        <f>"RECEITAS COM ENTREGAS"</f>
        <v>RECEITAS COM ENTREGAS</v>
      </c>
      <c r="P370">
        <v>450</v>
      </c>
      <c r="S370" t="str">
        <f>"RECEITAS COM ENTREGAS (303)"</f>
        <v>RECEITAS COM ENTREGAS (303)</v>
      </c>
      <c r="T370">
        <v>3973</v>
      </c>
      <c r="U370">
        <v>3277</v>
      </c>
      <c r="V370" t="s">
        <v>88</v>
      </c>
    </row>
    <row r="371" spans="1:22">
      <c r="A371" t="str">
        <f t="shared" si="119"/>
        <v>08/01/2026</v>
      </c>
      <c r="B371" t="str">
        <f t="shared" si="120"/>
        <v>ENTRADA</v>
      </c>
      <c r="C371" t="str">
        <f t="shared" si="121"/>
        <v>NFSE</v>
      </c>
      <c r="D371" t="str">
        <f t="shared" si="127"/>
        <v>37</v>
      </c>
      <c r="E371" t="str">
        <f t="shared" si="122"/>
        <v>1</v>
      </c>
      <c r="F371" t="str">
        <f t="shared" si="123"/>
        <v>COM</v>
      </c>
      <c r="G371" t="str">
        <f t="shared" si="128"/>
        <v>DROGALIDER 31 (10256)</v>
      </c>
      <c r="H371" t="s">
        <v>114</v>
      </c>
      <c r="I371" t="str">
        <f t="shared" si="126"/>
        <v>07/01/2026</v>
      </c>
      <c r="J371" t="str">
        <f t="shared" si="118"/>
        <v>06/01/2026</v>
      </c>
      <c r="K371">
        <v>46030</v>
      </c>
      <c r="N371">
        <v>303</v>
      </c>
      <c r="O371" t="s">
        <v>26</v>
      </c>
      <c r="Q371">
        <v>90</v>
      </c>
      <c r="R371" t="str">
        <f>"DROGALIDER 42 (10247)"</f>
        <v>DROGALIDER 42 (10247)</v>
      </c>
      <c r="S371" t="s">
        <v>27</v>
      </c>
      <c r="T371">
        <v>3973</v>
      </c>
      <c r="U371">
        <v>3277</v>
      </c>
      <c r="V371" t="s">
        <v>88</v>
      </c>
    </row>
    <row r="372" spans="1:22">
      <c r="A372" t="str">
        <f t="shared" si="119"/>
        <v>08/01/2026</v>
      </c>
      <c r="B372" t="str">
        <f t="shared" si="120"/>
        <v>ENTRADA</v>
      </c>
      <c r="C372" t="str">
        <f t="shared" si="121"/>
        <v>NFSE</v>
      </c>
      <c r="D372" t="str">
        <f t="shared" si="127"/>
        <v>37</v>
      </c>
      <c r="E372" t="str">
        <f t="shared" si="122"/>
        <v>1</v>
      </c>
      <c r="F372" t="str">
        <f t="shared" si="123"/>
        <v>COM</v>
      </c>
      <c r="G372" t="str">
        <f t="shared" si="128"/>
        <v>DROGALIDER 31 (10256)</v>
      </c>
      <c r="H372" t="s">
        <v>114</v>
      </c>
      <c r="I372" t="str">
        <f t="shared" si="126"/>
        <v>07/01/2026</v>
      </c>
      <c r="J372" t="str">
        <f t="shared" si="118"/>
        <v>06/01/2026</v>
      </c>
      <c r="K372">
        <v>46030</v>
      </c>
      <c r="N372">
        <v>303</v>
      </c>
      <c r="O372" t="s">
        <v>26</v>
      </c>
      <c r="Q372">
        <v>90</v>
      </c>
      <c r="R372" t="str">
        <f>"DROGALIDER 55 (10249)"</f>
        <v>DROGALIDER 55 (10249)</v>
      </c>
      <c r="S372" t="s">
        <v>27</v>
      </c>
      <c r="T372">
        <v>3973</v>
      </c>
      <c r="U372">
        <v>3277</v>
      </c>
      <c r="V372" t="s">
        <v>88</v>
      </c>
    </row>
    <row r="373" spans="1:22">
      <c r="A373" t="str">
        <f t="shared" si="119"/>
        <v>08/01/2026</v>
      </c>
      <c r="B373" t="str">
        <f t="shared" si="120"/>
        <v>ENTRADA</v>
      </c>
      <c r="C373" t="str">
        <f t="shared" si="121"/>
        <v>NFSE</v>
      </c>
      <c r="D373" t="str">
        <f t="shared" si="127"/>
        <v>37</v>
      </c>
      <c r="E373" t="str">
        <f t="shared" si="122"/>
        <v>1</v>
      </c>
      <c r="F373" t="str">
        <f t="shared" si="123"/>
        <v>COM</v>
      </c>
      <c r="G373" t="str">
        <f t="shared" si="128"/>
        <v>DROGALIDER 31 (10256)</v>
      </c>
      <c r="H373" t="s">
        <v>114</v>
      </c>
      <c r="I373" t="str">
        <f t="shared" si="126"/>
        <v>07/01/2026</v>
      </c>
      <c r="J373" t="str">
        <f t="shared" si="118"/>
        <v>06/01/2026</v>
      </c>
      <c r="K373">
        <v>46030</v>
      </c>
      <c r="N373">
        <v>303</v>
      </c>
      <c r="O373" t="s">
        <v>26</v>
      </c>
      <c r="Q373">
        <v>90</v>
      </c>
      <c r="R373" t="str">
        <f>"DROGALIDER 67 (10252)"</f>
        <v>DROGALIDER 67 (10252)</v>
      </c>
      <c r="S373" t="s">
        <v>27</v>
      </c>
      <c r="T373">
        <v>3973</v>
      </c>
      <c r="U373">
        <v>3277</v>
      </c>
      <c r="V373" t="s">
        <v>88</v>
      </c>
    </row>
    <row r="374" spans="1:22">
      <c r="A374" t="str">
        <f t="shared" si="119"/>
        <v>08/01/2026</v>
      </c>
      <c r="B374" t="str">
        <f t="shared" si="120"/>
        <v>ENTRADA</v>
      </c>
      <c r="C374" t="str">
        <f t="shared" si="121"/>
        <v>NFSE</v>
      </c>
      <c r="D374" t="str">
        <f t="shared" si="127"/>
        <v>37</v>
      </c>
      <c r="E374" t="str">
        <f t="shared" si="122"/>
        <v>1</v>
      </c>
      <c r="F374" t="str">
        <f t="shared" si="123"/>
        <v>COM</v>
      </c>
      <c r="G374" t="str">
        <f t="shared" si="128"/>
        <v>DROGALIDER 31 (10256)</v>
      </c>
      <c r="H374" t="s">
        <v>114</v>
      </c>
      <c r="I374" t="str">
        <f t="shared" si="126"/>
        <v>07/01/2026</v>
      </c>
      <c r="J374" t="str">
        <f t="shared" ref="J374:J381" si="129">("06/01/2026")</f>
        <v>06/01/2026</v>
      </c>
      <c r="K374">
        <v>46030</v>
      </c>
      <c r="N374">
        <v>303</v>
      </c>
      <c r="O374" t="s">
        <v>26</v>
      </c>
      <c r="Q374">
        <v>90</v>
      </c>
      <c r="R374" t="str">
        <f>"DROGALIDER 68 (10253)"</f>
        <v>DROGALIDER 68 (10253)</v>
      </c>
      <c r="S374" t="s">
        <v>27</v>
      </c>
      <c r="T374">
        <v>3973</v>
      </c>
      <c r="U374">
        <v>3277</v>
      </c>
      <c r="V374" t="s">
        <v>88</v>
      </c>
    </row>
    <row r="375" spans="1:22">
      <c r="A375" t="str">
        <f t="shared" si="119"/>
        <v>08/01/2026</v>
      </c>
      <c r="B375" t="str">
        <f t="shared" si="120"/>
        <v>ENTRADA</v>
      </c>
      <c r="C375" t="str">
        <f t="shared" si="121"/>
        <v>NFSE</v>
      </c>
      <c r="D375" t="str">
        <f t="shared" si="127"/>
        <v>37</v>
      </c>
      <c r="E375" t="str">
        <f t="shared" si="122"/>
        <v>1</v>
      </c>
      <c r="F375" t="str">
        <f t="shared" si="123"/>
        <v>COM</v>
      </c>
      <c r="G375" t="str">
        <f t="shared" si="128"/>
        <v>DROGALIDER 31 (10256)</v>
      </c>
      <c r="H375" t="s">
        <v>114</v>
      </c>
      <c r="I375" t="str">
        <f t="shared" si="126"/>
        <v>07/01/2026</v>
      </c>
      <c r="J375" t="str">
        <f t="shared" si="129"/>
        <v>06/01/2026</v>
      </c>
      <c r="K375">
        <v>46030</v>
      </c>
      <c r="N375">
        <v>303</v>
      </c>
      <c r="O375" t="s">
        <v>26</v>
      </c>
      <c r="Q375">
        <v>90</v>
      </c>
      <c r="R375" t="str">
        <f>"DROGALIDER 31 (10256)"</f>
        <v>DROGALIDER 31 (10256)</v>
      </c>
      <c r="S375" t="s">
        <v>27</v>
      </c>
      <c r="T375">
        <v>3973</v>
      </c>
      <c r="U375">
        <v>3277</v>
      </c>
      <c r="V375" t="s">
        <v>88</v>
      </c>
    </row>
    <row r="376" spans="1:22">
      <c r="A376" t="str">
        <f t="shared" si="119"/>
        <v>08/01/2026</v>
      </c>
      <c r="B376" t="str">
        <f t="shared" si="120"/>
        <v>ENTRADA</v>
      </c>
      <c r="C376" t="str">
        <f t="shared" si="121"/>
        <v>NFSE</v>
      </c>
      <c r="D376" t="str">
        <f>"43"</f>
        <v>43</v>
      </c>
      <c r="E376" t="str">
        <f t="shared" si="122"/>
        <v>1</v>
      </c>
      <c r="F376" t="str">
        <f t="shared" si="123"/>
        <v>COM</v>
      </c>
      <c r="G376" t="str">
        <f>"LBL FARMACIA LTDA FILIAL (10192)"</f>
        <v>LBL FARMACIA LTDA FILIAL (10192)</v>
      </c>
      <c r="H376" t="str">
        <f>"Serv.Prest. 29/12/2025 a 04/01/2026 - RPS: 1973 - NFSe: 43"</f>
        <v>Serv.Prest. 29/12/2025 a 04/01/2026 - RPS: 1973 - NFSe: 43</v>
      </c>
      <c r="I376" t="str">
        <f t="shared" si="126"/>
        <v>07/01/2026</v>
      </c>
      <c r="J376" t="str">
        <f t="shared" si="129"/>
        <v>06/01/2026</v>
      </c>
      <c r="K376" t="str">
        <f>("08/01/2026")</f>
        <v>08/01/2026</v>
      </c>
      <c r="L376">
        <v>300.3</v>
      </c>
      <c r="M376">
        <v>300.3</v>
      </c>
      <c r="N376">
        <v>303</v>
      </c>
      <c r="O376" t="str">
        <f>"RECEITAS COM ENTREGAS"</f>
        <v>RECEITAS COM ENTREGAS</v>
      </c>
      <c r="P376">
        <v>300.3</v>
      </c>
      <c r="S376" t="str">
        <f>"RECEITAS COM ENTREGAS (303)"</f>
        <v>RECEITAS COM ENTREGAS (303)</v>
      </c>
      <c r="T376">
        <v>3974</v>
      </c>
      <c r="U376">
        <v>3283</v>
      </c>
      <c r="V376" t="s">
        <v>88</v>
      </c>
    </row>
    <row r="377" spans="1:22">
      <c r="A377" t="str">
        <f t="shared" si="119"/>
        <v>08/01/2026</v>
      </c>
      <c r="B377" t="str">
        <f t="shared" si="120"/>
        <v>ENTRADA</v>
      </c>
      <c r="C377" t="str">
        <f t="shared" si="121"/>
        <v>NFSE</v>
      </c>
      <c r="D377" t="str">
        <f>"43"</f>
        <v>43</v>
      </c>
      <c r="E377" t="str">
        <f t="shared" si="122"/>
        <v>1</v>
      </c>
      <c r="F377" t="str">
        <f t="shared" si="123"/>
        <v>COM</v>
      </c>
      <c r="G377" t="str">
        <f>"LBL FARMACIA LTDA FILIAL (10192)"</f>
        <v>LBL FARMACIA LTDA FILIAL (10192)</v>
      </c>
      <c r="H377" t="s">
        <v>115</v>
      </c>
      <c r="I377" t="str">
        <f t="shared" si="126"/>
        <v>07/01/2026</v>
      </c>
      <c r="J377" t="str">
        <f t="shared" si="129"/>
        <v>06/01/2026</v>
      </c>
      <c r="K377">
        <v>46030</v>
      </c>
      <c r="N377">
        <v>303</v>
      </c>
      <c r="O377" t="s">
        <v>26</v>
      </c>
      <c r="Q377">
        <v>300.3</v>
      </c>
      <c r="R377" t="str">
        <f>"LBL FARMACIA LTDA FILIAL (10192)"</f>
        <v>LBL FARMACIA LTDA FILIAL (10192)</v>
      </c>
      <c r="S377" t="s">
        <v>27</v>
      </c>
      <c r="T377">
        <v>3974</v>
      </c>
      <c r="U377">
        <v>3283</v>
      </c>
      <c r="V377" t="s">
        <v>88</v>
      </c>
    </row>
    <row r="378" spans="1:22">
      <c r="A378" t="str">
        <f t="shared" si="119"/>
        <v>08/01/2026</v>
      </c>
      <c r="B378" t="str">
        <f t="shared" si="120"/>
        <v>ENTRADA</v>
      </c>
      <c r="C378" t="str">
        <f t="shared" si="121"/>
        <v>NFSE</v>
      </c>
      <c r="D378" t="str">
        <f>"44"</f>
        <v>44</v>
      </c>
      <c r="E378" t="str">
        <f t="shared" si="122"/>
        <v>1</v>
      </c>
      <c r="F378" t="str">
        <f t="shared" si="123"/>
        <v>COM</v>
      </c>
      <c r="G378" t="str">
        <f>"LBL FARMACIA LTDA (10189)"</f>
        <v>LBL FARMACIA LTDA (10189)</v>
      </c>
      <c r="H378" t="str">
        <f>"Serv.Prest. 29/12/2025 a 04/01/2026 - RPS: 1974 - NFSe: 44"</f>
        <v>Serv.Prest. 29/12/2025 a 04/01/2026 - RPS: 1974 - NFSe: 44</v>
      </c>
      <c r="I378" t="str">
        <f t="shared" si="126"/>
        <v>07/01/2026</v>
      </c>
      <c r="J378" t="str">
        <f t="shared" si="129"/>
        <v>06/01/2026</v>
      </c>
      <c r="K378" t="str">
        <f>("08/01/2026")</f>
        <v>08/01/2026</v>
      </c>
      <c r="L378">
        <v>140.69999999999999</v>
      </c>
      <c r="M378">
        <v>140.69999999999999</v>
      </c>
      <c r="N378">
        <v>303</v>
      </c>
      <c r="O378" t="str">
        <f>"RECEITAS COM ENTREGAS"</f>
        <v>RECEITAS COM ENTREGAS</v>
      </c>
      <c r="P378">
        <v>140.69999999999999</v>
      </c>
      <c r="S378" t="str">
        <f>"RECEITAS COM ENTREGAS (303)"</f>
        <v>RECEITAS COM ENTREGAS (303)</v>
      </c>
      <c r="T378">
        <v>3975</v>
      </c>
      <c r="U378">
        <v>3284</v>
      </c>
      <c r="V378" t="s">
        <v>88</v>
      </c>
    </row>
    <row r="379" spans="1:22">
      <c r="A379" t="str">
        <f t="shared" si="119"/>
        <v>08/01/2026</v>
      </c>
      <c r="B379" t="str">
        <f t="shared" si="120"/>
        <v>ENTRADA</v>
      </c>
      <c r="C379" t="str">
        <f t="shared" si="121"/>
        <v>NFSE</v>
      </c>
      <c r="D379" t="str">
        <f>"44"</f>
        <v>44</v>
      </c>
      <c r="E379" t="str">
        <f t="shared" si="122"/>
        <v>1</v>
      </c>
      <c r="F379" t="str">
        <f t="shared" si="123"/>
        <v>COM</v>
      </c>
      <c r="G379" t="str">
        <f>"LBL FARMACIA LTDA (10189)"</f>
        <v>LBL FARMACIA LTDA (10189)</v>
      </c>
      <c r="H379" t="s">
        <v>116</v>
      </c>
      <c r="I379" t="str">
        <f t="shared" si="126"/>
        <v>07/01/2026</v>
      </c>
      <c r="J379" t="str">
        <f t="shared" si="129"/>
        <v>06/01/2026</v>
      </c>
      <c r="K379">
        <v>46030</v>
      </c>
      <c r="N379">
        <v>303</v>
      </c>
      <c r="O379" t="s">
        <v>26</v>
      </c>
      <c r="Q379">
        <v>140.69999999999999</v>
      </c>
      <c r="R379" t="str">
        <f>"LBL FARMACIA LTDA (10189)"</f>
        <v>LBL FARMACIA LTDA (10189)</v>
      </c>
      <c r="S379" t="s">
        <v>27</v>
      </c>
      <c r="T379">
        <v>3975</v>
      </c>
      <c r="U379">
        <v>3284</v>
      </c>
      <c r="V379" t="s">
        <v>88</v>
      </c>
    </row>
    <row r="380" spans="1:22">
      <c r="A380" t="str">
        <f t="shared" si="119"/>
        <v>08/01/2026</v>
      </c>
      <c r="B380" t="str">
        <f t="shared" si="120"/>
        <v>ENTRADA</v>
      </c>
      <c r="C380" t="str">
        <f t="shared" si="121"/>
        <v>NFSE</v>
      </c>
      <c r="D380" t="str">
        <f>"45"</f>
        <v>45</v>
      </c>
      <c r="E380" t="str">
        <f t="shared" si="122"/>
        <v>1</v>
      </c>
      <c r="F380" t="str">
        <f t="shared" si="123"/>
        <v>COM</v>
      </c>
      <c r="G380" t="str">
        <f>"DROGARIA POUPA MINAS (DOIS AMIGOS) 5 (10140)"</f>
        <v>DROGARIA POUPA MINAS (DOIS AMIGOS) 5 (10140)</v>
      </c>
      <c r="H380" t="str">
        <f>"Serv.Prest. 01/12/2025 a 31/12/2025 - RPS: 1975 - NFSe: 45"</f>
        <v>Serv.Prest. 01/12/2025 a 31/12/2025 - RPS: 1975 - NFSe: 45</v>
      </c>
      <c r="I380" t="str">
        <f t="shared" si="126"/>
        <v>07/01/2026</v>
      </c>
      <c r="J380" t="str">
        <f t="shared" si="129"/>
        <v>06/01/2026</v>
      </c>
      <c r="K380" t="str">
        <f>("08/01/2026")</f>
        <v>08/01/2026</v>
      </c>
      <c r="L380">
        <v>652.54</v>
      </c>
      <c r="M380">
        <v>652.54</v>
      </c>
      <c r="N380">
        <v>303</v>
      </c>
      <c r="O380" t="str">
        <f>"RECEITAS COM ENTREGAS"</f>
        <v>RECEITAS COM ENTREGAS</v>
      </c>
      <c r="P380">
        <v>652.54</v>
      </c>
      <c r="S380" t="str">
        <f>"RECEITAS COM ENTREGAS (303)"</f>
        <v>RECEITAS COM ENTREGAS (303)</v>
      </c>
      <c r="T380">
        <v>3976</v>
      </c>
      <c r="U380">
        <v>3285</v>
      </c>
      <c r="V380" t="s">
        <v>88</v>
      </c>
    </row>
    <row r="381" spans="1:22">
      <c r="A381" t="str">
        <f t="shared" si="119"/>
        <v>08/01/2026</v>
      </c>
      <c r="B381" t="str">
        <f t="shared" si="120"/>
        <v>ENTRADA</v>
      </c>
      <c r="C381" t="str">
        <f t="shared" si="121"/>
        <v>NFSE</v>
      </c>
      <c r="D381" t="str">
        <f>"45"</f>
        <v>45</v>
      </c>
      <c r="E381" t="str">
        <f t="shared" si="122"/>
        <v>1</v>
      </c>
      <c r="F381" t="str">
        <f t="shared" si="123"/>
        <v>COM</v>
      </c>
      <c r="G381" t="str">
        <f>"DROGARIA POUPA MINAS (DOIS AMIGOS) 5 (10140)"</f>
        <v>DROGARIA POUPA MINAS (DOIS AMIGOS) 5 (10140)</v>
      </c>
      <c r="H381" t="s">
        <v>117</v>
      </c>
      <c r="I381" t="str">
        <f t="shared" si="126"/>
        <v>07/01/2026</v>
      </c>
      <c r="J381" t="str">
        <f t="shared" si="129"/>
        <v>06/01/2026</v>
      </c>
      <c r="K381">
        <v>46030</v>
      </c>
      <c r="N381">
        <v>303</v>
      </c>
      <c r="O381" t="s">
        <v>26</v>
      </c>
      <c r="Q381">
        <v>652.54</v>
      </c>
      <c r="R381" t="str">
        <f>"DROGARIA POUPA MINAS (ULTRAMINAS) 1 (10181)"</f>
        <v>DROGARIA POUPA MINAS (ULTRAMINAS) 1 (10181)</v>
      </c>
      <c r="S381" t="s">
        <v>27</v>
      </c>
      <c r="T381">
        <v>3976</v>
      </c>
      <c r="U381">
        <v>3285</v>
      </c>
      <c r="V381" t="s">
        <v>88</v>
      </c>
    </row>
    <row r="382" spans="1:22">
      <c r="A382" t="str">
        <f t="shared" si="119"/>
        <v>08/01/2026</v>
      </c>
      <c r="B382" t="str">
        <f>"SAÍDA"</f>
        <v>SAÍDA</v>
      </c>
      <c r="C382" t="str">
        <f>"JUROS"</f>
        <v>JUROS</v>
      </c>
      <c r="D382" t="str">
        <f>""</f>
        <v/>
      </c>
      <c r="F382" t="str">
        <f>"CXA"</f>
        <v>CXA</v>
      </c>
      <c r="G382" t="str">
        <f>""</f>
        <v/>
      </c>
      <c r="H382" t="str">
        <f>"TARIFA SERV.COBR.TITULOS"</f>
        <v>TARIFA SERV.COBR.TITULOS</v>
      </c>
      <c r="I382" t="str">
        <f t="shared" ref="I382:K383" si="130">("08/01/2026")</f>
        <v>08/01/2026</v>
      </c>
      <c r="J382" t="str">
        <f t="shared" si="130"/>
        <v>08/01/2026</v>
      </c>
      <c r="K382" t="str">
        <f t="shared" si="130"/>
        <v>08/01/2026</v>
      </c>
      <c r="L382">
        <v>1.39</v>
      </c>
      <c r="M382">
        <v>1.39</v>
      </c>
      <c r="N382">
        <v>401</v>
      </c>
      <c r="O382" t="str">
        <f>"IOF/JUROS/DESP.FINANCEIRA"</f>
        <v>IOF/JUROS/DESP.FINANCEIRA</v>
      </c>
      <c r="P382">
        <v>1.39</v>
      </c>
      <c r="S382" t="str">
        <f>"BANCO SICREDI (131)"</f>
        <v>BANCO SICREDI (131)</v>
      </c>
      <c r="T382">
        <v>4128</v>
      </c>
      <c r="U382">
        <v>0</v>
      </c>
      <c r="V382" t="s">
        <v>54</v>
      </c>
    </row>
    <row r="383" spans="1:22">
      <c r="A383" t="str">
        <f t="shared" si="119"/>
        <v>08/01/2026</v>
      </c>
      <c r="B383" t="str">
        <f>"ENTRADA"</f>
        <v>ENTRADA</v>
      </c>
      <c r="C383" t="str">
        <f>"BOLETO"</f>
        <v>BOLETO</v>
      </c>
      <c r="D383" t="str">
        <f>"0801"</f>
        <v>0801</v>
      </c>
      <c r="E383" t="str">
        <f>"26"</f>
        <v>26</v>
      </c>
      <c r="F383" t="str">
        <f t="shared" ref="F383:F396" si="131">"COM"</f>
        <v>COM</v>
      </c>
      <c r="G383" t="str">
        <f>"POHL &amp; CIA LTDA  (10288)"</f>
        <v>POHL &amp; CIA LTDA  (10288)</v>
      </c>
      <c r="H383" t="str">
        <f>"PAGAMENTO SETUP"</f>
        <v>PAGAMENTO SETUP</v>
      </c>
      <c r="I383" t="str">
        <f t="shared" si="130"/>
        <v>08/01/2026</v>
      </c>
      <c r="J383" t="str">
        <f t="shared" si="130"/>
        <v>08/01/2026</v>
      </c>
      <c r="K383" t="str">
        <f t="shared" si="130"/>
        <v>08/01/2026</v>
      </c>
      <c r="L383">
        <v>3500</v>
      </c>
      <c r="M383">
        <v>3500</v>
      </c>
      <c r="N383">
        <v>117</v>
      </c>
      <c r="O383" t="str">
        <f>"RECEITAS COM SETUP"</f>
        <v>RECEITAS COM SETUP</v>
      </c>
      <c r="P383">
        <v>3500</v>
      </c>
      <c r="S383" t="str">
        <f>"RECEITAS COM SETUP (117)"</f>
        <v>RECEITAS COM SETUP (117)</v>
      </c>
      <c r="T383">
        <v>4168</v>
      </c>
      <c r="U383">
        <v>3740</v>
      </c>
      <c r="V383" t="s">
        <v>22</v>
      </c>
    </row>
    <row r="384" spans="1:22">
      <c r="A384" t="str">
        <f t="shared" si="119"/>
        <v>08/01/2026</v>
      </c>
      <c r="B384" t="str">
        <f>"ENTRADA"</f>
        <v>ENTRADA</v>
      </c>
      <c r="C384" t="str">
        <f>"BOLETO"</f>
        <v>BOLETO</v>
      </c>
      <c r="D384" t="str">
        <f>"0801"</f>
        <v>0801</v>
      </c>
      <c r="E384" t="str">
        <f>"26"</f>
        <v>26</v>
      </c>
      <c r="F384" t="str">
        <f t="shared" si="131"/>
        <v>COM</v>
      </c>
      <c r="G384" t="str">
        <f>"POHL &amp; CIA LTDA  (10288)"</f>
        <v>POHL &amp; CIA LTDA  (10288)</v>
      </c>
      <c r="H384" t="s">
        <v>118</v>
      </c>
      <c r="I384" t="str">
        <f t="shared" ref="I384:J386" si="132">("08/01/2026")</f>
        <v>08/01/2026</v>
      </c>
      <c r="J384" t="str">
        <f t="shared" si="132"/>
        <v>08/01/2026</v>
      </c>
      <c r="K384">
        <v>46030</v>
      </c>
      <c r="N384">
        <v>117</v>
      </c>
      <c r="O384" t="s">
        <v>119</v>
      </c>
      <c r="Q384">
        <v>3500</v>
      </c>
      <c r="R384" t="str">
        <f>"FARMACIA ROSAS (10288)"</f>
        <v>FARMACIA ROSAS (10288)</v>
      </c>
      <c r="S384" t="s">
        <v>120</v>
      </c>
      <c r="T384">
        <v>4168</v>
      </c>
      <c r="U384">
        <v>3740</v>
      </c>
      <c r="V384" t="s">
        <v>22</v>
      </c>
    </row>
    <row r="385" spans="1:22">
      <c r="A385" t="str">
        <f t="shared" si="119"/>
        <v>08/01/2026</v>
      </c>
      <c r="B385" t="str">
        <f>"SAÍDA"</f>
        <v>SAÍDA</v>
      </c>
      <c r="C385" t="str">
        <f>"BOLETO"</f>
        <v>BOLETO</v>
      </c>
      <c r="D385" t="str">
        <f>"0801"</f>
        <v>0801</v>
      </c>
      <c r="E385" t="str">
        <f>"26"</f>
        <v>26</v>
      </c>
      <c r="F385" t="str">
        <f t="shared" si="131"/>
        <v>COM</v>
      </c>
      <c r="G385" t="str">
        <f>"CORA SOCIEDADE DE CREDITO, FINANCIAMENTO E INVESTIMENTO (20035)"</f>
        <v>CORA SOCIEDADE DE CREDITO, FINANCIAMENTO E INVESTIMENTO (20035)</v>
      </c>
      <c r="H385" t="str">
        <f>"TAXA BOLETO CORA"</f>
        <v>TAXA BOLETO CORA</v>
      </c>
      <c r="I385" t="str">
        <f t="shared" si="132"/>
        <v>08/01/2026</v>
      </c>
      <c r="J385" t="str">
        <f t="shared" si="132"/>
        <v>08/01/2026</v>
      </c>
      <c r="K385" t="str">
        <f>("08/01/2026")</f>
        <v>08/01/2026</v>
      </c>
      <c r="L385">
        <v>0.5</v>
      </c>
      <c r="M385">
        <v>0.5</v>
      </c>
      <c r="N385">
        <v>401</v>
      </c>
      <c r="O385" t="str">
        <f>"IOF/JUROS/DESP.FINANCEIRA"</f>
        <v>IOF/JUROS/DESP.FINANCEIRA</v>
      </c>
      <c r="P385">
        <v>0.5</v>
      </c>
      <c r="S385" t="str">
        <f>"BANCO CORA (102)"</f>
        <v>BANCO CORA (102)</v>
      </c>
      <c r="T385">
        <v>4177</v>
      </c>
      <c r="U385">
        <v>2619</v>
      </c>
      <c r="V385" t="s">
        <v>22</v>
      </c>
    </row>
    <row r="386" spans="1:22">
      <c r="A386" t="str">
        <f t="shared" si="119"/>
        <v>08/01/2026</v>
      </c>
      <c r="B386" t="str">
        <f>"SAÍDA"</f>
        <v>SAÍDA</v>
      </c>
      <c r="C386" t="str">
        <f>"BOLETO"</f>
        <v>BOLETO</v>
      </c>
      <c r="D386" t="str">
        <f>"0801"</f>
        <v>0801</v>
      </c>
      <c r="E386" t="str">
        <f>"26"</f>
        <v>26</v>
      </c>
      <c r="F386" t="str">
        <f t="shared" si="131"/>
        <v>COM</v>
      </c>
      <c r="G386" t="str">
        <f>"CORA SOCIEDADE DE CREDITO, FINANCIAMENTO E INVESTIMENTO (20035)"</f>
        <v>CORA SOCIEDADE DE CREDITO, FINANCIAMENTO E INVESTIMENTO (20035)</v>
      </c>
      <c r="H386" t="s">
        <v>121</v>
      </c>
      <c r="I386" t="str">
        <f t="shared" si="132"/>
        <v>08/01/2026</v>
      </c>
      <c r="J386" t="str">
        <f t="shared" si="132"/>
        <v>08/01/2026</v>
      </c>
      <c r="K386">
        <v>46030</v>
      </c>
      <c r="N386">
        <v>401</v>
      </c>
      <c r="O386" t="s">
        <v>58</v>
      </c>
      <c r="Q386">
        <v>0.5</v>
      </c>
      <c r="R386" t="str">
        <f>"CORA SOCIEDADE DE CREDITO, FINANCIAMENTO E INVESTIMENTO (20035)"</f>
        <v>CORA SOCIEDADE DE CREDITO, FINANCIAMENTO E INVESTIMENTO (20035)</v>
      </c>
      <c r="S386" t="s">
        <v>22</v>
      </c>
      <c r="T386">
        <v>4177</v>
      </c>
      <c r="U386">
        <v>2619</v>
      </c>
      <c r="V386" t="s">
        <v>22</v>
      </c>
    </row>
    <row r="387" spans="1:22">
      <c r="A387" t="str">
        <f t="shared" ref="A387:A402" si="133">("09/01/2026")</f>
        <v>09/01/2026</v>
      </c>
      <c r="B387" t="str">
        <f t="shared" ref="B387:B396" si="134">"ENTRADA"</f>
        <v>ENTRADA</v>
      </c>
      <c r="C387" t="str">
        <f t="shared" ref="C387:C396" si="135">"NFSE"</f>
        <v>NFSE</v>
      </c>
      <c r="D387" t="str">
        <f>"34"</f>
        <v>34</v>
      </c>
      <c r="E387" t="str">
        <f t="shared" ref="E387:E396" si="136">"1"</f>
        <v>1</v>
      </c>
      <c r="F387" t="str">
        <f t="shared" si="131"/>
        <v>COM</v>
      </c>
      <c r="G387" t="str">
        <f>"DROGARIA POUPA MINAS (DOIS AMIGOS) 5 (10140)"</f>
        <v>DROGARIA POUPA MINAS (DOIS AMIGOS) 5 (10140)</v>
      </c>
      <c r="H387" t="str">
        <f>"Serv.Prest. 29/12/2025 a 04/01/2026 - RPS: 1963 - NFSe: 34"</f>
        <v>Serv.Prest. 29/12/2025 a 04/01/2026 - RPS: 1963 - NFSe: 34</v>
      </c>
      <c r="I387" t="str">
        <f>("08/01/2026")</f>
        <v>08/01/2026</v>
      </c>
      <c r="J387" t="str">
        <f>("06/01/2026")</f>
        <v>06/01/2026</v>
      </c>
      <c r="K387" t="str">
        <f>("09/01/2026")</f>
        <v>09/01/2026</v>
      </c>
      <c r="L387">
        <v>737.46</v>
      </c>
      <c r="M387">
        <v>737.46</v>
      </c>
      <c r="N387">
        <v>303</v>
      </c>
      <c r="O387" t="str">
        <f>"RECEITAS COM ENTREGAS"</f>
        <v>RECEITAS COM ENTREGAS</v>
      </c>
      <c r="P387">
        <v>737.46</v>
      </c>
      <c r="S387" t="str">
        <f>"RECEITAS COM ENTREGAS (303)"</f>
        <v>RECEITAS COM ENTREGAS (303)</v>
      </c>
      <c r="T387">
        <v>3977</v>
      </c>
      <c r="U387">
        <v>3273</v>
      </c>
      <c r="V387" t="s">
        <v>88</v>
      </c>
    </row>
    <row r="388" spans="1:22">
      <c r="A388" t="str">
        <f t="shared" si="133"/>
        <v>09/01/2026</v>
      </c>
      <c r="B388" t="str">
        <f t="shared" si="134"/>
        <v>ENTRADA</v>
      </c>
      <c r="C388" t="str">
        <f t="shared" si="135"/>
        <v>NFSE</v>
      </c>
      <c r="D388" t="str">
        <f>"34"</f>
        <v>34</v>
      </c>
      <c r="E388" t="str">
        <f t="shared" si="136"/>
        <v>1</v>
      </c>
      <c r="F388" t="str">
        <f t="shared" si="131"/>
        <v>COM</v>
      </c>
      <c r="G388" t="str">
        <f>"DROGARIA POUPA MINAS (DOIS AMIGOS) 5 (10140)"</f>
        <v>DROGARIA POUPA MINAS (DOIS AMIGOS) 5 (10140)</v>
      </c>
      <c r="H388" t="s">
        <v>122</v>
      </c>
      <c r="I388" t="str">
        <f>("08/01/2026")</f>
        <v>08/01/2026</v>
      </c>
      <c r="J388" t="str">
        <f>("06/01/2026")</f>
        <v>06/01/2026</v>
      </c>
      <c r="K388">
        <v>46031</v>
      </c>
      <c r="N388">
        <v>303</v>
      </c>
      <c r="O388" t="s">
        <v>26</v>
      </c>
      <c r="Q388">
        <v>737.46</v>
      </c>
      <c r="R388" t="str">
        <f>"DROGARIA POUPA MINAS (ULTRAMINAS) 1 (10181)"</f>
        <v>DROGARIA POUPA MINAS (ULTRAMINAS) 1 (10181)</v>
      </c>
      <c r="S388" t="s">
        <v>27</v>
      </c>
      <c r="T388">
        <v>3977</v>
      </c>
      <c r="U388">
        <v>3273</v>
      </c>
      <c r="V388" t="s">
        <v>88</v>
      </c>
    </row>
    <row r="389" spans="1:22">
      <c r="A389" t="str">
        <f t="shared" si="133"/>
        <v>09/01/2026</v>
      </c>
      <c r="B389" t="str">
        <f t="shared" si="134"/>
        <v>ENTRADA</v>
      </c>
      <c r="C389" t="str">
        <f t="shared" si="135"/>
        <v>NFSE</v>
      </c>
      <c r="D389" t="str">
        <f>"49"</f>
        <v>49</v>
      </c>
      <c r="E389" t="str">
        <f t="shared" si="136"/>
        <v>1</v>
      </c>
      <c r="F389" t="str">
        <f t="shared" si="131"/>
        <v>COM</v>
      </c>
      <c r="G389" t="str">
        <f>"DROGARIA POUPA MINAS (ULTRAMINAS) 3 (10129)"</f>
        <v>DROGARIA POUPA MINAS (ULTRAMINAS) 3 (10129)</v>
      </c>
      <c r="H389" t="str">
        <f>"Serv.Prest. 29/12/2025 a 04/01/2026 - RPS: 1965 - NFSe: 49"</f>
        <v>Serv.Prest. 29/12/2025 a 04/01/2026 - RPS: 1965 - NFSe: 49</v>
      </c>
      <c r="I389" t="str">
        <f>("08/01/2026")</f>
        <v>08/01/2026</v>
      </c>
      <c r="J389" t="str">
        <f>("06/01/2026")</f>
        <v>06/01/2026</v>
      </c>
      <c r="K389" t="str">
        <f>("09/01/2026")</f>
        <v>09/01/2026</v>
      </c>
      <c r="L389">
        <v>171.6</v>
      </c>
      <c r="M389">
        <v>171.6</v>
      </c>
      <c r="N389">
        <v>303</v>
      </c>
      <c r="O389" t="str">
        <f>"RECEITAS COM ENTREGAS"</f>
        <v>RECEITAS COM ENTREGAS</v>
      </c>
      <c r="P389">
        <v>171.6</v>
      </c>
      <c r="S389" t="str">
        <f>"RECEITAS COM ENTREGAS (303)"</f>
        <v>RECEITAS COM ENTREGAS (303)</v>
      </c>
      <c r="T389">
        <v>3978</v>
      </c>
      <c r="U389">
        <v>3275</v>
      </c>
      <c r="V389" t="s">
        <v>88</v>
      </c>
    </row>
    <row r="390" spans="1:22">
      <c r="A390" t="str">
        <f t="shared" si="133"/>
        <v>09/01/2026</v>
      </c>
      <c r="B390" t="str">
        <f t="shared" si="134"/>
        <v>ENTRADA</v>
      </c>
      <c r="C390" t="str">
        <f t="shared" si="135"/>
        <v>NFSE</v>
      </c>
      <c r="D390" t="str">
        <f>"49"</f>
        <v>49</v>
      </c>
      <c r="E390" t="str">
        <f t="shared" si="136"/>
        <v>1</v>
      </c>
      <c r="F390" t="str">
        <f t="shared" si="131"/>
        <v>COM</v>
      </c>
      <c r="G390" t="str">
        <f>"DROGARIA POUPA MINAS (ULTRAMINAS) 3 (10129)"</f>
        <v>DROGARIA POUPA MINAS (ULTRAMINAS) 3 (10129)</v>
      </c>
      <c r="H390" t="s">
        <v>123</v>
      </c>
      <c r="I390" t="str">
        <f>("08/01/2026")</f>
        <v>08/01/2026</v>
      </c>
      <c r="J390" t="str">
        <f>("06/01/2026")</f>
        <v>06/01/2026</v>
      </c>
      <c r="K390">
        <v>46031</v>
      </c>
      <c r="N390">
        <v>303</v>
      </c>
      <c r="O390" t="s">
        <v>26</v>
      </c>
      <c r="Q390">
        <v>171.6</v>
      </c>
      <c r="R390" t="str">
        <f>"DROGARIA POUPA MINAS (ULTRAMINAS) 3 (10129)"</f>
        <v>DROGARIA POUPA MINAS (ULTRAMINAS) 3 (10129)</v>
      </c>
      <c r="S390" t="s">
        <v>27</v>
      </c>
      <c r="T390">
        <v>3978</v>
      </c>
      <c r="U390">
        <v>3275</v>
      </c>
      <c r="V390" t="s">
        <v>88</v>
      </c>
    </row>
    <row r="391" spans="1:22">
      <c r="A391" t="str">
        <f t="shared" si="133"/>
        <v>09/01/2026</v>
      </c>
      <c r="B391" t="str">
        <f t="shared" si="134"/>
        <v>ENTRADA</v>
      </c>
      <c r="C391" t="str">
        <f t="shared" si="135"/>
        <v>NFSE</v>
      </c>
      <c r="D391" t="str">
        <f>"2"</f>
        <v>2</v>
      </c>
      <c r="E391" t="str">
        <f t="shared" si="136"/>
        <v>1</v>
      </c>
      <c r="F391" t="str">
        <f t="shared" si="131"/>
        <v>COM</v>
      </c>
      <c r="G391" t="str">
        <f>"BRASIL FARMA (10173)"</f>
        <v>BRASIL FARMA (10173)</v>
      </c>
      <c r="H391" t="str">
        <f>"Serv.Prest. 29/12/2025 a 04/01/2026 - RPS: 1929 - NFSe: 2"</f>
        <v>Serv.Prest. 29/12/2025 a 04/01/2026 - RPS: 1929 - NFSe: 2</v>
      </c>
      <c r="I391" t="str">
        <f t="shared" ref="I391:I396" si="137">("07/01/2026")</f>
        <v>07/01/2026</v>
      </c>
      <c r="J391" t="str">
        <f>("05/01/2026")</f>
        <v>05/01/2026</v>
      </c>
      <c r="K391" t="str">
        <f>("09/01/2026")</f>
        <v>09/01/2026</v>
      </c>
      <c r="L391">
        <v>300.89999999999998</v>
      </c>
      <c r="M391">
        <v>309.91000000000003</v>
      </c>
      <c r="N391">
        <v>303</v>
      </c>
      <c r="O391" t="str">
        <f>"RECEITAS COM ENTREGAS"</f>
        <v>RECEITAS COM ENTREGAS</v>
      </c>
      <c r="P391">
        <v>309.91000000000003</v>
      </c>
      <c r="S391" t="str">
        <f>"RECEITAS COM ENTREGAS (303)"</f>
        <v>RECEITAS COM ENTREGAS (303)</v>
      </c>
      <c r="T391">
        <v>4093</v>
      </c>
      <c r="U391">
        <v>3191</v>
      </c>
      <c r="V391" t="s">
        <v>88</v>
      </c>
    </row>
    <row r="392" spans="1:22">
      <c r="A392" t="str">
        <f t="shared" si="133"/>
        <v>09/01/2026</v>
      </c>
      <c r="B392" t="str">
        <f t="shared" si="134"/>
        <v>ENTRADA</v>
      </c>
      <c r="C392" t="str">
        <f t="shared" si="135"/>
        <v>NFSE</v>
      </c>
      <c r="D392" t="str">
        <f>"2"</f>
        <v>2</v>
      </c>
      <c r="E392" t="str">
        <f t="shared" si="136"/>
        <v>1</v>
      </c>
      <c r="F392" t="str">
        <f t="shared" si="131"/>
        <v>COM</v>
      </c>
      <c r="G392" t="str">
        <f>"BRASIL FARMA (10173)"</f>
        <v>BRASIL FARMA (10173)</v>
      </c>
      <c r="H392" t="s">
        <v>124</v>
      </c>
      <c r="I392" t="str">
        <f t="shared" si="137"/>
        <v>07/01/2026</v>
      </c>
      <c r="J392" t="str">
        <f>("05/01/2026")</f>
        <v>05/01/2026</v>
      </c>
      <c r="K392">
        <v>46031</v>
      </c>
      <c r="N392">
        <v>303</v>
      </c>
      <c r="O392" t="s">
        <v>26</v>
      </c>
      <c r="Q392">
        <v>309.91000000000003</v>
      </c>
      <c r="R392" t="str">
        <f>"BRASIL FARMA (10173)"</f>
        <v>BRASIL FARMA (10173)</v>
      </c>
      <c r="S392" t="s">
        <v>27</v>
      </c>
      <c r="T392">
        <v>4093</v>
      </c>
      <c r="U392">
        <v>3191</v>
      </c>
      <c r="V392" t="s">
        <v>88</v>
      </c>
    </row>
    <row r="393" spans="1:22">
      <c r="A393" t="str">
        <f t="shared" si="133"/>
        <v>09/01/2026</v>
      </c>
      <c r="B393" t="str">
        <f t="shared" si="134"/>
        <v>ENTRADA</v>
      </c>
      <c r="C393" t="str">
        <f t="shared" si="135"/>
        <v>NFSE</v>
      </c>
      <c r="D393" t="str">
        <f>"28"</f>
        <v>28</v>
      </c>
      <c r="E393" t="str">
        <f t="shared" si="136"/>
        <v>1</v>
      </c>
      <c r="F393" t="str">
        <f t="shared" si="131"/>
        <v>COM</v>
      </c>
      <c r="G393" t="str">
        <f>"FARMACIA ECONOMIZE (10103)"</f>
        <v>FARMACIA ECONOMIZE (10103)</v>
      </c>
      <c r="H393" t="str">
        <f>"Serv.Prest. 29/12/2025 a 04/01/2026 - RPS: 1957 - NFSe: 28"</f>
        <v>Serv.Prest. 29/12/2025 a 04/01/2026 - RPS: 1957 - NFSe: 28</v>
      </c>
      <c r="I393" t="str">
        <f t="shared" si="137"/>
        <v>07/01/2026</v>
      </c>
      <c r="J393" t="str">
        <f>("06/01/2026")</f>
        <v>06/01/2026</v>
      </c>
      <c r="K393" t="str">
        <f>("09/01/2026")</f>
        <v>09/01/2026</v>
      </c>
      <c r="L393">
        <v>23.83</v>
      </c>
      <c r="M393">
        <v>24.53</v>
      </c>
      <c r="N393">
        <v>303</v>
      </c>
      <c r="O393" t="str">
        <f>"RECEITAS COM ENTREGAS"</f>
        <v>RECEITAS COM ENTREGAS</v>
      </c>
      <c r="P393">
        <v>24.53</v>
      </c>
      <c r="S393" t="str">
        <f>"RECEITAS COM ENTREGAS (303)"</f>
        <v>RECEITAS COM ENTREGAS (303)</v>
      </c>
      <c r="T393">
        <v>4101</v>
      </c>
      <c r="U393">
        <v>3267</v>
      </c>
      <c r="V393" t="s">
        <v>88</v>
      </c>
    </row>
    <row r="394" spans="1:22">
      <c r="A394" t="str">
        <f t="shared" si="133"/>
        <v>09/01/2026</v>
      </c>
      <c r="B394" t="str">
        <f t="shared" si="134"/>
        <v>ENTRADA</v>
      </c>
      <c r="C394" t="str">
        <f t="shared" si="135"/>
        <v>NFSE</v>
      </c>
      <c r="D394" t="str">
        <f>"28"</f>
        <v>28</v>
      </c>
      <c r="E394" t="str">
        <f t="shared" si="136"/>
        <v>1</v>
      </c>
      <c r="F394" t="str">
        <f t="shared" si="131"/>
        <v>COM</v>
      </c>
      <c r="G394" t="str">
        <f>"FARMACIA ECONOMIZE (10103)"</f>
        <v>FARMACIA ECONOMIZE (10103)</v>
      </c>
      <c r="H394" t="s">
        <v>125</v>
      </c>
      <c r="I394" t="str">
        <f t="shared" si="137"/>
        <v>07/01/2026</v>
      </c>
      <c r="J394" t="str">
        <f>("06/01/2026")</f>
        <v>06/01/2026</v>
      </c>
      <c r="K394">
        <v>46031</v>
      </c>
      <c r="N394">
        <v>303</v>
      </c>
      <c r="O394" t="s">
        <v>26</v>
      </c>
      <c r="Q394">
        <v>24.53</v>
      </c>
      <c r="R394" t="str">
        <f>"FARMACIA ECONOMIZE (10103)"</f>
        <v>FARMACIA ECONOMIZE (10103)</v>
      </c>
      <c r="S394" t="s">
        <v>27</v>
      </c>
      <c r="T394">
        <v>4101</v>
      </c>
      <c r="U394">
        <v>3267</v>
      </c>
      <c r="V394" t="s">
        <v>88</v>
      </c>
    </row>
    <row r="395" spans="1:22">
      <c r="A395" t="str">
        <f t="shared" si="133"/>
        <v>09/01/2026</v>
      </c>
      <c r="B395" t="str">
        <f t="shared" si="134"/>
        <v>ENTRADA</v>
      </c>
      <c r="C395" t="str">
        <f t="shared" si="135"/>
        <v>NFSE</v>
      </c>
      <c r="D395" t="str">
        <f>"39"</f>
        <v>39</v>
      </c>
      <c r="E395" t="str">
        <f t="shared" si="136"/>
        <v>1</v>
      </c>
      <c r="F395" t="str">
        <f t="shared" si="131"/>
        <v>COM</v>
      </c>
      <c r="G395" t="str">
        <f>"DELTA LOJA 2 (10123)"</f>
        <v>DELTA LOJA 2 (10123)</v>
      </c>
      <c r="H395" t="str">
        <f>"Serv.Prest. 29/12/2025 a 04/01/2026 - RPS: 1969 - NFSe: 39"</f>
        <v>Serv.Prest. 29/12/2025 a 04/01/2026 - RPS: 1969 - NFSe: 39</v>
      </c>
      <c r="I395" t="str">
        <f t="shared" si="137"/>
        <v>07/01/2026</v>
      </c>
      <c r="J395" t="str">
        <f>("06/01/2026")</f>
        <v>06/01/2026</v>
      </c>
      <c r="K395" t="str">
        <f>("09/01/2026")</f>
        <v>09/01/2026</v>
      </c>
      <c r="L395">
        <v>801.15</v>
      </c>
      <c r="M395">
        <v>825.18</v>
      </c>
      <c r="N395">
        <v>303</v>
      </c>
      <c r="O395" t="str">
        <f>"RECEITAS COM ENTREGAS"</f>
        <v>RECEITAS COM ENTREGAS</v>
      </c>
      <c r="P395">
        <v>825.18</v>
      </c>
      <c r="S395" t="str">
        <f>"RECEITAS COM ENTREGAS (303)"</f>
        <v>RECEITAS COM ENTREGAS (303)</v>
      </c>
      <c r="T395">
        <v>4103</v>
      </c>
      <c r="U395">
        <v>3279</v>
      </c>
      <c r="V395" t="s">
        <v>88</v>
      </c>
    </row>
    <row r="396" spans="1:22">
      <c r="A396" t="str">
        <f t="shared" si="133"/>
        <v>09/01/2026</v>
      </c>
      <c r="B396" t="str">
        <f t="shared" si="134"/>
        <v>ENTRADA</v>
      </c>
      <c r="C396" t="str">
        <f t="shared" si="135"/>
        <v>NFSE</v>
      </c>
      <c r="D396" t="str">
        <f>"39"</f>
        <v>39</v>
      </c>
      <c r="E396" t="str">
        <f t="shared" si="136"/>
        <v>1</v>
      </c>
      <c r="F396" t="str">
        <f t="shared" si="131"/>
        <v>COM</v>
      </c>
      <c r="G396" t="str">
        <f>"DELTA LOJA 2 (10123)"</f>
        <v>DELTA LOJA 2 (10123)</v>
      </c>
      <c r="H396" t="s">
        <v>126</v>
      </c>
      <c r="I396" t="str">
        <f t="shared" si="137"/>
        <v>07/01/2026</v>
      </c>
      <c r="J396" t="str">
        <f>("06/01/2026")</f>
        <v>06/01/2026</v>
      </c>
      <c r="K396">
        <v>46031</v>
      </c>
      <c r="N396">
        <v>303</v>
      </c>
      <c r="O396" t="s">
        <v>26</v>
      </c>
      <c r="Q396">
        <v>825.18</v>
      </c>
      <c r="R396" t="str">
        <f>"DELTA LOJA 2 (10123)"</f>
        <v>DELTA LOJA 2 (10123)</v>
      </c>
      <c r="S396" t="s">
        <v>27</v>
      </c>
      <c r="T396">
        <v>4103</v>
      </c>
      <c r="U396">
        <v>3279</v>
      </c>
      <c r="V396" t="s">
        <v>88</v>
      </c>
    </row>
    <row r="397" spans="1:22">
      <c r="A397" t="str">
        <f t="shared" si="133"/>
        <v>09/01/2026</v>
      </c>
      <c r="B397" t="str">
        <f t="shared" ref="B397:B404" si="138">"SAÍDA"</f>
        <v>SAÍDA</v>
      </c>
      <c r="C397" t="str">
        <f>"JUROS"</f>
        <v>JUROS</v>
      </c>
      <c r="D397" t="str">
        <f>""</f>
        <v/>
      </c>
      <c r="F397" t="str">
        <f>"CXA"</f>
        <v>CXA</v>
      </c>
      <c r="G397" t="str">
        <f>""</f>
        <v/>
      </c>
      <c r="H397" t="str">
        <f>"TARIFA SERV.COBR.TITULOS"</f>
        <v>TARIFA SERV.COBR.TITULOS</v>
      </c>
      <c r="I397" t="str">
        <f>("09/01/2026")</f>
        <v>09/01/2026</v>
      </c>
      <c r="J397" t="str">
        <f>("09/01/2026")</f>
        <v>09/01/2026</v>
      </c>
      <c r="K397" t="str">
        <f>("09/01/2026")</f>
        <v>09/01/2026</v>
      </c>
      <c r="L397">
        <v>1.39</v>
      </c>
      <c r="M397">
        <v>1.39</v>
      </c>
      <c r="N397">
        <v>401</v>
      </c>
      <c r="O397" t="str">
        <f>"IOF/JUROS/DESP.FINANCEIRA"</f>
        <v>IOF/JUROS/DESP.FINANCEIRA</v>
      </c>
      <c r="P397">
        <v>1.39</v>
      </c>
      <c r="S397" t="str">
        <f>"BANCO SICREDI (131)"</f>
        <v>BANCO SICREDI (131)</v>
      </c>
      <c r="T397">
        <v>4129</v>
      </c>
      <c r="U397">
        <v>0</v>
      </c>
      <c r="V397" t="s">
        <v>54</v>
      </c>
    </row>
    <row r="398" spans="1:22">
      <c r="A398" t="str">
        <f t="shared" si="133"/>
        <v>09/01/2026</v>
      </c>
      <c r="B398" t="str">
        <f t="shared" si="138"/>
        <v>SAÍDA</v>
      </c>
      <c r="C398" t="str">
        <f>"BOLETO"</f>
        <v>BOLETO</v>
      </c>
      <c r="D398" t="str">
        <f>"011125"</f>
        <v>011125</v>
      </c>
      <c r="E398" t="str">
        <f>"3"</f>
        <v>3</v>
      </c>
      <c r="F398" t="str">
        <f>"COM"</f>
        <v>COM</v>
      </c>
      <c r="G398" t="str">
        <f>"CORA SOCIEDADE DE CREDITO, FINANCIAMENTO E INVESTIMENTO (20035)"</f>
        <v>CORA SOCIEDADE DE CREDITO, FINANCIAMENTO E INVESTIMENTO (20035)</v>
      </c>
      <c r="H398" t="str">
        <f>"TAXA BOLETO CORA"</f>
        <v>TAXA BOLETO CORA</v>
      </c>
      <c r="I398" t="str">
        <f>("15/01/2026")</f>
        <v>15/01/2026</v>
      </c>
      <c r="J398" t="str">
        <f>("01/11/2025")</f>
        <v>01/11/2025</v>
      </c>
      <c r="K398" t="str">
        <f>("09/01/2026")</f>
        <v>09/01/2026</v>
      </c>
      <c r="L398">
        <v>44.9</v>
      </c>
      <c r="M398">
        <v>44.9</v>
      </c>
      <c r="N398">
        <v>401</v>
      </c>
      <c r="O398" t="str">
        <f>"IOF/JUROS/DESP.FINANCEIRA"</f>
        <v>IOF/JUROS/DESP.FINANCEIRA</v>
      </c>
      <c r="P398">
        <v>44.9</v>
      </c>
      <c r="S398" t="str">
        <f>"BANCO CORA (102)"</f>
        <v>BANCO CORA (102)</v>
      </c>
      <c r="T398">
        <v>4169</v>
      </c>
      <c r="U398">
        <v>2973</v>
      </c>
      <c r="V398" t="s">
        <v>22</v>
      </c>
    </row>
    <row r="399" spans="1:22">
      <c r="A399" t="str">
        <f t="shared" si="133"/>
        <v>09/01/2026</v>
      </c>
      <c r="B399" t="str">
        <f t="shared" si="138"/>
        <v>SAÍDA</v>
      </c>
      <c r="C399" t="str">
        <f>"BOLETO"</f>
        <v>BOLETO</v>
      </c>
      <c r="D399" t="str">
        <f>"011125"</f>
        <v>011125</v>
      </c>
      <c r="E399" t="str">
        <f>"3"</f>
        <v>3</v>
      </c>
      <c r="F399" t="str">
        <f>"COM"</f>
        <v>COM</v>
      </c>
      <c r="G399" t="str">
        <f>"CORA SOCIEDADE DE CREDITO, FINANCIAMENTO E INVESTIMENTO (20035)"</f>
        <v>CORA SOCIEDADE DE CREDITO, FINANCIAMENTO E INVESTIMENTO (20035)</v>
      </c>
      <c r="H399" t="s">
        <v>121</v>
      </c>
      <c r="I399" t="str">
        <f>("15/01/2026")</f>
        <v>15/01/2026</v>
      </c>
      <c r="J399" t="str">
        <f>("01/11/2025")</f>
        <v>01/11/2025</v>
      </c>
      <c r="K399">
        <v>46031</v>
      </c>
      <c r="N399">
        <v>401</v>
      </c>
      <c r="O399" t="s">
        <v>58</v>
      </c>
      <c r="Q399">
        <v>44.9</v>
      </c>
      <c r="R399" t="str">
        <f>"CORA SOCIEDADE DE CREDITO, FINANCIAMENTO E INVESTIMENTO (20035)"</f>
        <v>CORA SOCIEDADE DE CREDITO, FINANCIAMENTO E INVESTIMENTO (20035)</v>
      </c>
      <c r="S399" t="s">
        <v>22</v>
      </c>
      <c r="T399">
        <v>4169</v>
      </c>
      <c r="U399">
        <v>2973</v>
      </c>
      <c r="V399" t="s">
        <v>22</v>
      </c>
    </row>
    <row r="400" spans="1:22">
      <c r="A400" t="str">
        <f t="shared" si="133"/>
        <v>09/01/2026</v>
      </c>
      <c r="B400" t="str">
        <f t="shared" si="138"/>
        <v>SAÍDA</v>
      </c>
      <c r="C400" t="str">
        <f>"PIX"</f>
        <v>PIX</v>
      </c>
      <c r="D400" t="str">
        <f>"0901"</f>
        <v>0901</v>
      </c>
      <c r="E400" t="str">
        <f>"26"</f>
        <v>26</v>
      </c>
      <c r="F400" t="str">
        <f>"COM"</f>
        <v>COM</v>
      </c>
      <c r="G400" t="str">
        <f>"MARCELO REZENDE ARANTES (20014)"</f>
        <v>MARCELO REZENDE ARANTES (20014)</v>
      </c>
      <c r="H400" t="str">
        <f>"DISTRIBUIÇÃO DE LUCROS"</f>
        <v>DISTRIBUIÇÃO DE LUCROS</v>
      </c>
      <c r="I400" t="str">
        <f>("09/01/2026")</f>
        <v>09/01/2026</v>
      </c>
      <c r="J400" t="str">
        <f>("09/01/2026")</f>
        <v>09/01/2026</v>
      </c>
      <c r="K400" t="str">
        <f>("09/01/2026")</f>
        <v>09/01/2026</v>
      </c>
      <c r="L400">
        <v>5000</v>
      </c>
      <c r="M400">
        <v>5000</v>
      </c>
      <c r="N400">
        <v>125</v>
      </c>
      <c r="O400" t="str">
        <f>"DISTRIBUIÇÃO DE LUCRO"</f>
        <v>DISTRIBUIÇÃO DE LUCRO</v>
      </c>
      <c r="P400">
        <v>5000</v>
      </c>
      <c r="S400" t="str">
        <f>"BANCO CORA (102)"</f>
        <v>BANCO CORA (102)</v>
      </c>
      <c r="T400">
        <v>4175</v>
      </c>
      <c r="U400">
        <v>3753</v>
      </c>
      <c r="V400" t="s">
        <v>22</v>
      </c>
    </row>
    <row r="401" spans="1:22">
      <c r="A401" t="str">
        <f t="shared" si="133"/>
        <v>09/01/2026</v>
      </c>
      <c r="B401" t="str">
        <f t="shared" si="138"/>
        <v>SAÍDA</v>
      </c>
      <c r="C401" t="str">
        <f>"PIX"</f>
        <v>PIX</v>
      </c>
      <c r="D401" t="str">
        <f>"0901"</f>
        <v>0901</v>
      </c>
      <c r="E401" t="str">
        <f>"26"</f>
        <v>26</v>
      </c>
      <c r="F401" t="str">
        <f>"COM"</f>
        <v>COM</v>
      </c>
      <c r="G401" t="str">
        <f>"MARCELO REZENDE ARANTES (20014)"</f>
        <v>MARCELO REZENDE ARANTES (20014)</v>
      </c>
      <c r="H401" t="s">
        <v>127</v>
      </c>
      <c r="I401" t="str">
        <f>("09/01/2026")</f>
        <v>09/01/2026</v>
      </c>
      <c r="J401" t="str">
        <f>("09/01/2026")</f>
        <v>09/01/2026</v>
      </c>
      <c r="K401">
        <v>46031</v>
      </c>
      <c r="N401">
        <v>125</v>
      </c>
      <c r="O401" t="s">
        <v>128</v>
      </c>
      <c r="Q401">
        <v>5000</v>
      </c>
      <c r="R401" t="str">
        <f>"MARCELO REZENDE ARANTES (20014)"</f>
        <v>MARCELO REZENDE ARANTES (20014)</v>
      </c>
      <c r="S401" t="s">
        <v>22</v>
      </c>
      <c r="T401">
        <v>4175</v>
      </c>
      <c r="U401">
        <v>3753</v>
      </c>
      <c r="V401" t="s">
        <v>22</v>
      </c>
    </row>
    <row r="402" spans="1:22">
      <c r="A402" t="str">
        <f t="shared" si="133"/>
        <v>09/01/2026</v>
      </c>
      <c r="B402" t="str">
        <f t="shared" si="138"/>
        <v>SAÍDA</v>
      </c>
      <c r="C402" t="str">
        <f>""</f>
        <v/>
      </c>
      <c r="D402" t="str">
        <f>""</f>
        <v/>
      </c>
      <c r="F402" t="str">
        <f>"CXA"</f>
        <v>CXA</v>
      </c>
      <c r="G402" t="str">
        <f>""</f>
        <v/>
      </c>
      <c r="H402" t="str">
        <f>"COMPRA DE LANCHE PARA ESCRITORIO"</f>
        <v>COMPRA DE LANCHE PARA ESCRITORIO</v>
      </c>
      <c r="I402" t="str">
        <f>("09/01/2026")</f>
        <v>09/01/2026</v>
      </c>
      <c r="J402" t="str">
        <f>("09/01/2026")</f>
        <v>09/01/2026</v>
      </c>
      <c r="K402" t="str">
        <f>("09/01/2026")</f>
        <v>09/01/2026</v>
      </c>
      <c r="L402">
        <v>261.98</v>
      </c>
      <c r="M402">
        <v>261.98</v>
      </c>
      <c r="N402">
        <v>708</v>
      </c>
      <c r="O402" t="str">
        <f>"LANCHES/REFEIÇÕES"</f>
        <v>LANCHES/REFEIÇÕES</v>
      </c>
      <c r="P402">
        <v>261.98</v>
      </c>
      <c r="S402" t="str">
        <f>"BANCO CORA (102)"</f>
        <v>BANCO CORA (102)</v>
      </c>
      <c r="T402">
        <v>4176</v>
      </c>
      <c r="U402">
        <v>0</v>
      </c>
      <c r="V402" t="s">
        <v>129</v>
      </c>
    </row>
    <row r="403" spans="1:22">
      <c r="A403" t="str">
        <f>("11/01/2026")</f>
        <v>11/01/2026</v>
      </c>
      <c r="B403" t="str">
        <f t="shared" si="138"/>
        <v>SAÍDA</v>
      </c>
      <c r="C403" t="str">
        <f>"PIX"</f>
        <v>PIX</v>
      </c>
      <c r="D403" t="str">
        <f>"1101"</f>
        <v>1101</v>
      </c>
      <c r="E403" t="str">
        <f>"26"</f>
        <v>26</v>
      </c>
      <c r="F403" t="str">
        <f t="shared" ref="F403:F420" si="139">"COM"</f>
        <v>COM</v>
      </c>
      <c r="G403" t="str">
        <f>"LILIANE DE FATIMA REZENDE JUSTINO (20013)"</f>
        <v>LILIANE DE FATIMA REZENDE JUSTINO (20013)</v>
      </c>
      <c r="H403" t="str">
        <f>"DESPESAS COM VIAGEM PARA TEOFILO OTONI"</f>
        <v>DESPESAS COM VIAGEM PARA TEOFILO OTONI</v>
      </c>
      <c r="I403" t="str">
        <f>("11/01/2026")</f>
        <v>11/01/2026</v>
      </c>
      <c r="J403" t="str">
        <f>("11/01/2026")</f>
        <v>11/01/2026</v>
      </c>
      <c r="K403" t="str">
        <f>("11/01/2026")</f>
        <v>11/01/2026</v>
      </c>
      <c r="L403">
        <v>1500</v>
      </c>
      <c r="M403">
        <v>1500</v>
      </c>
      <c r="N403">
        <v>128</v>
      </c>
      <c r="O403" t="str">
        <f>"DESPESAS COM VIAGENS"</f>
        <v>DESPESAS COM VIAGENS</v>
      </c>
      <c r="P403">
        <v>1500</v>
      </c>
      <c r="S403" t="str">
        <f>"BANCO CORA (102)"</f>
        <v>BANCO CORA (102)</v>
      </c>
      <c r="T403">
        <v>4178</v>
      </c>
      <c r="U403">
        <v>3754</v>
      </c>
      <c r="V403" t="s">
        <v>22</v>
      </c>
    </row>
    <row r="404" spans="1:22">
      <c r="A404" t="str">
        <f>("11/01/2026")</f>
        <v>11/01/2026</v>
      </c>
      <c r="B404" t="str">
        <f t="shared" si="138"/>
        <v>SAÍDA</v>
      </c>
      <c r="C404" t="str">
        <f>"PIX"</f>
        <v>PIX</v>
      </c>
      <c r="D404" t="str">
        <f>"1101"</f>
        <v>1101</v>
      </c>
      <c r="E404" t="str">
        <f>"26"</f>
        <v>26</v>
      </c>
      <c r="F404" t="str">
        <f t="shared" si="139"/>
        <v>COM</v>
      </c>
      <c r="G404" t="str">
        <f>"LILIANE DE FATIMA REZENDE JUSTINO (20013)"</f>
        <v>LILIANE DE FATIMA REZENDE JUSTINO (20013)</v>
      </c>
      <c r="H404" t="s">
        <v>130</v>
      </c>
      <c r="I404" t="str">
        <f>("11/01/2026")</f>
        <v>11/01/2026</v>
      </c>
      <c r="J404" t="str">
        <f>("11/01/2026")</f>
        <v>11/01/2026</v>
      </c>
      <c r="K404">
        <v>46033</v>
      </c>
      <c r="N404">
        <v>128</v>
      </c>
      <c r="O404" t="s">
        <v>60</v>
      </c>
      <c r="Q404">
        <v>1500</v>
      </c>
      <c r="R404" t="str">
        <f>"FARMÁCIA INDIANA LJ 1 (10126)"</f>
        <v>FARMÁCIA INDIANA LJ 1 (10126)</v>
      </c>
      <c r="S404" t="s">
        <v>22</v>
      </c>
      <c r="T404">
        <v>4178</v>
      </c>
      <c r="U404">
        <v>3754</v>
      </c>
      <c r="V404" t="s">
        <v>22</v>
      </c>
    </row>
    <row r="405" spans="1:22">
      <c r="A405" t="str">
        <f t="shared" ref="A405:A448" si="140">("12/01/2026")</f>
        <v>12/01/2026</v>
      </c>
      <c r="B405" t="str">
        <f t="shared" ref="B405:B420" si="141">"ENTRADA"</f>
        <v>ENTRADA</v>
      </c>
      <c r="C405" t="str">
        <f t="shared" ref="C405:C420" si="142">"NFSE"</f>
        <v>NFSE</v>
      </c>
      <c r="D405" t="str">
        <f>"4159"</f>
        <v>4159</v>
      </c>
      <c r="E405" t="str">
        <f t="shared" ref="E405:E420" si="143">"1"</f>
        <v>1</v>
      </c>
      <c r="F405" t="str">
        <f t="shared" si="139"/>
        <v>COM</v>
      </c>
      <c r="G405" t="str">
        <f>"DROGARIA NIQUINHO (10257)"</f>
        <v>DROGARIA NIQUINHO (10257)</v>
      </c>
      <c r="H405" t="str">
        <f>"Serv.Prest. 22/12/2025 a 28/12/2025 - RPS: 1921 - NFSe: 4159"</f>
        <v>Serv.Prest. 22/12/2025 a 28/12/2025 - RPS: 1921 - NFSe: 4159</v>
      </c>
      <c r="I405" t="str">
        <f>("31/12/2025")</f>
        <v>31/12/2025</v>
      </c>
      <c r="J405" t="str">
        <f>("29/12/2025")</f>
        <v>29/12/2025</v>
      </c>
      <c r="K405" t="str">
        <f>("12/01/2026")</f>
        <v>12/01/2026</v>
      </c>
      <c r="L405">
        <v>248.22</v>
      </c>
      <c r="M405">
        <v>254.17</v>
      </c>
      <c r="N405">
        <v>303</v>
      </c>
      <c r="O405" t="str">
        <f>"RECEITAS COM ENTREGAS"</f>
        <v>RECEITAS COM ENTREGAS</v>
      </c>
      <c r="P405">
        <v>254.17</v>
      </c>
      <c r="S405" t="str">
        <f>"RECEITAS COM ENTREGAS (303)"</f>
        <v>RECEITAS COM ENTREGAS (303)</v>
      </c>
      <c r="T405">
        <v>3941</v>
      </c>
      <c r="U405">
        <v>3179</v>
      </c>
      <c r="V405" t="s">
        <v>22</v>
      </c>
    </row>
    <row r="406" spans="1:22">
      <c r="A406" t="str">
        <f t="shared" si="140"/>
        <v>12/01/2026</v>
      </c>
      <c r="B406" t="str">
        <f t="shared" si="141"/>
        <v>ENTRADA</v>
      </c>
      <c r="C406" t="str">
        <f t="shared" si="142"/>
        <v>NFSE</v>
      </c>
      <c r="D406" t="str">
        <f>"4159"</f>
        <v>4159</v>
      </c>
      <c r="E406" t="str">
        <f t="shared" si="143"/>
        <v>1</v>
      </c>
      <c r="F406" t="str">
        <f t="shared" si="139"/>
        <v>COM</v>
      </c>
      <c r="G406" t="str">
        <f>"DROGARIA NIQUINHO (10257)"</f>
        <v>DROGARIA NIQUINHO (10257)</v>
      </c>
      <c r="H406" t="s">
        <v>131</v>
      </c>
      <c r="I406" t="str">
        <f>("31/12/2025")</f>
        <v>31/12/2025</v>
      </c>
      <c r="J406" t="str">
        <f>("29/12/2025")</f>
        <v>29/12/2025</v>
      </c>
      <c r="K406">
        <v>46034</v>
      </c>
      <c r="N406">
        <v>303</v>
      </c>
      <c r="O406" t="s">
        <v>26</v>
      </c>
      <c r="Q406">
        <v>254.17</v>
      </c>
      <c r="R406" t="str">
        <f>"DROGARIA NIQUINHO (10257)"</f>
        <v>DROGARIA NIQUINHO (10257)</v>
      </c>
      <c r="S406" t="s">
        <v>27</v>
      </c>
      <c r="T406">
        <v>3941</v>
      </c>
      <c r="U406">
        <v>3179</v>
      </c>
      <c r="V406" t="s">
        <v>22</v>
      </c>
    </row>
    <row r="407" spans="1:22">
      <c r="A407" t="str">
        <f t="shared" si="140"/>
        <v>12/01/2026</v>
      </c>
      <c r="B407" t="str">
        <f t="shared" si="141"/>
        <v>ENTRADA</v>
      </c>
      <c r="C407" t="str">
        <f t="shared" si="142"/>
        <v>NFSE</v>
      </c>
      <c r="D407" t="str">
        <f>"4106"</f>
        <v>4106</v>
      </c>
      <c r="E407" t="str">
        <f t="shared" si="143"/>
        <v>1</v>
      </c>
      <c r="F407" t="str">
        <f t="shared" si="139"/>
        <v>COM</v>
      </c>
      <c r="G407" t="str">
        <f>"DROGARIA NIQUINHO (10257)"</f>
        <v>DROGARIA NIQUINHO (10257)</v>
      </c>
      <c r="H407" t="str">
        <f>"Serv.Prest. 15/12/2025 a 21/12/2025 - RPS: 1868 - NFSe: 4106"</f>
        <v>Serv.Prest. 15/12/2025 a 21/12/2025 - RPS: 1868 - NFSe: 4106</v>
      </c>
      <c r="I407" t="str">
        <f>("24/12/2025")</f>
        <v>24/12/2025</v>
      </c>
      <c r="J407" t="str">
        <f>("22/12/2025")</f>
        <v>22/12/2025</v>
      </c>
      <c r="K407" t="str">
        <f>("12/01/2026")</f>
        <v>12/01/2026</v>
      </c>
      <c r="L407">
        <v>310.92</v>
      </c>
      <c r="M407">
        <v>319.08999999999997</v>
      </c>
      <c r="N407">
        <v>303</v>
      </c>
      <c r="O407" t="str">
        <f>"RECEITAS COM ENTREGAS"</f>
        <v>RECEITAS COM ENTREGAS</v>
      </c>
      <c r="P407">
        <v>319.08999999999997</v>
      </c>
      <c r="S407" t="str">
        <f>"RECEITAS COM ENTREGAS (303)"</f>
        <v>RECEITAS COM ENTREGAS (303)</v>
      </c>
      <c r="T407">
        <v>3942</v>
      </c>
      <c r="U407">
        <v>3124</v>
      </c>
      <c r="V407" t="s">
        <v>22</v>
      </c>
    </row>
    <row r="408" spans="1:22">
      <c r="A408" t="str">
        <f t="shared" si="140"/>
        <v>12/01/2026</v>
      </c>
      <c r="B408" t="str">
        <f t="shared" si="141"/>
        <v>ENTRADA</v>
      </c>
      <c r="C408" t="str">
        <f t="shared" si="142"/>
        <v>NFSE</v>
      </c>
      <c r="D408" t="str">
        <f>"4106"</f>
        <v>4106</v>
      </c>
      <c r="E408" t="str">
        <f t="shared" si="143"/>
        <v>1</v>
      </c>
      <c r="F408" t="str">
        <f t="shared" si="139"/>
        <v>COM</v>
      </c>
      <c r="G408" t="str">
        <f>"DROGARIA NIQUINHO (10257)"</f>
        <v>DROGARIA NIQUINHO (10257)</v>
      </c>
      <c r="H408" t="s">
        <v>132</v>
      </c>
      <c r="I408" t="str">
        <f>("24/12/2025")</f>
        <v>24/12/2025</v>
      </c>
      <c r="J408" t="str">
        <f>("22/12/2025")</f>
        <v>22/12/2025</v>
      </c>
      <c r="K408">
        <v>46034</v>
      </c>
      <c r="N408">
        <v>303</v>
      </c>
      <c r="O408" t="s">
        <v>26</v>
      </c>
      <c r="Q408">
        <v>319.08999999999997</v>
      </c>
      <c r="R408" t="str">
        <f>"DROGARIA NIQUINHO (10257)"</f>
        <v>DROGARIA NIQUINHO (10257)</v>
      </c>
      <c r="S408" t="s">
        <v>27</v>
      </c>
      <c r="T408">
        <v>3942</v>
      </c>
      <c r="U408">
        <v>3124</v>
      </c>
      <c r="V408" t="s">
        <v>22</v>
      </c>
    </row>
    <row r="409" spans="1:22">
      <c r="A409" t="str">
        <f t="shared" si="140"/>
        <v>12/01/2026</v>
      </c>
      <c r="B409" t="str">
        <f t="shared" si="141"/>
        <v>ENTRADA</v>
      </c>
      <c r="C409" t="str">
        <f t="shared" si="142"/>
        <v>NFSE</v>
      </c>
      <c r="D409" t="str">
        <f>"3192"</f>
        <v>3192</v>
      </c>
      <c r="E409" t="str">
        <f t="shared" si="143"/>
        <v>1</v>
      </c>
      <c r="F409" t="str">
        <f t="shared" si="139"/>
        <v>COM</v>
      </c>
      <c r="G409" t="str">
        <f t="shared" ref="G409:G416" si="144">"DROGARIA VAZ (10179)"</f>
        <v>DROGARIA VAZ (10179)</v>
      </c>
      <c r="H409" t="str">
        <f>"Serv.Prest. 23/06/2025 a 29/06/2025 - RPS: 960 - NFSe: 3192"</f>
        <v>Serv.Prest. 23/06/2025 a 29/06/2025 - RPS: 960 - NFSe: 3192</v>
      </c>
      <c r="I409" t="str">
        <f t="shared" ref="I409:I416" si="145">("12/01/2026")</f>
        <v>12/01/2026</v>
      </c>
      <c r="J409" t="str">
        <f>("01/07/2025")</f>
        <v>01/07/2025</v>
      </c>
      <c r="K409" t="str">
        <f>("12/01/2026")</f>
        <v>12/01/2026</v>
      </c>
      <c r="L409">
        <v>138.19</v>
      </c>
      <c r="M409">
        <v>138.19</v>
      </c>
      <c r="N409">
        <v>303</v>
      </c>
      <c r="O409" t="str">
        <f>"RECEITAS COM ENTREGAS"</f>
        <v>RECEITAS COM ENTREGAS</v>
      </c>
      <c r="P409">
        <v>138.19</v>
      </c>
      <c r="S409" t="str">
        <f>"RECEITAS COM ENTREGAS (303)"</f>
        <v>RECEITAS COM ENTREGAS (303)</v>
      </c>
      <c r="T409">
        <v>3943</v>
      </c>
      <c r="U409">
        <v>1523</v>
      </c>
      <c r="V409" t="s">
        <v>22</v>
      </c>
    </row>
    <row r="410" spans="1:22">
      <c r="A410" t="str">
        <f t="shared" si="140"/>
        <v>12/01/2026</v>
      </c>
      <c r="B410" t="str">
        <f t="shared" si="141"/>
        <v>ENTRADA</v>
      </c>
      <c r="C410" t="str">
        <f t="shared" si="142"/>
        <v>NFSE</v>
      </c>
      <c r="D410" t="str">
        <f>"3192"</f>
        <v>3192</v>
      </c>
      <c r="E410" t="str">
        <f t="shared" si="143"/>
        <v>1</v>
      </c>
      <c r="F410" t="str">
        <f t="shared" si="139"/>
        <v>COM</v>
      </c>
      <c r="G410" t="str">
        <f t="shared" si="144"/>
        <v>DROGARIA VAZ (10179)</v>
      </c>
      <c r="H410" t="s">
        <v>133</v>
      </c>
      <c r="I410" t="str">
        <f t="shared" si="145"/>
        <v>12/01/2026</v>
      </c>
      <c r="J410" t="str">
        <f>("01/07/2025")</f>
        <v>01/07/2025</v>
      </c>
      <c r="K410">
        <v>46034</v>
      </c>
      <c r="N410">
        <v>303</v>
      </c>
      <c r="O410" t="s">
        <v>26</v>
      </c>
      <c r="Q410">
        <v>138.19</v>
      </c>
      <c r="R410" t="str">
        <f>"DROGARIA VAZ (10179)"</f>
        <v>DROGARIA VAZ (10179)</v>
      </c>
      <c r="S410" t="s">
        <v>27</v>
      </c>
      <c r="T410">
        <v>3943</v>
      </c>
      <c r="U410">
        <v>1523</v>
      </c>
      <c r="V410" t="s">
        <v>22</v>
      </c>
    </row>
    <row r="411" spans="1:22">
      <c r="A411" t="str">
        <f t="shared" si="140"/>
        <v>12/01/2026</v>
      </c>
      <c r="B411" t="str">
        <f t="shared" si="141"/>
        <v>ENTRADA</v>
      </c>
      <c r="C411" t="str">
        <f t="shared" si="142"/>
        <v>NFSE</v>
      </c>
      <c r="D411" t="str">
        <f>"3202"</f>
        <v>3202</v>
      </c>
      <c r="E411" t="str">
        <f t="shared" si="143"/>
        <v>1</v>
      </c>
      <c r="F411" t="str">
        <f t="shared" si="139"/>
        <v>COM</v>
      </c>
      <c r="G411" t="str">
        <f t="shared" si="144"/>
        <v>DROGARIA VAZ (10179)</v>
      </c>
      <c r="H411" t="str">
        <f>"Serv.Prest. 30/06/2025 a 06/07/2025 - RPS: 969 - NFSe: 3202"</f>
        <v>Serv.Prest. 30/06/2025 a 06/07/2025 - RPS: 969 - NFSe: 3202</v>
      </c>
      <c r="I411" t="str">
        <f t="shared" si="145"/>
        <v>12/01/2026</v>
      </c>
      <c r="J411" t="str">
        <f>("07/07/2025")</f>
        <v>07/07/2025</v>
      </c>
      <c r="K411" t="str">
        <f>("12/01/2026")</f>
        <v>12/01/2026</v>
      </c>
      <c r="L411">
        <v>237.99</v>
      </c>
      <c r="M411">
        <v>237.99</v>
      </c>
      <c r="N411">
        <v>303</v>
      </c>
      <c r="O411" t="str">
        <f>"RECEITAS COM ENTREGAS"</f>
        <v>RECEITAS COM ENTREGAS</v>
      </c>
      <c r="S411" t="str">
        <f>"RECEITAS COM ENTREGAS (303)"</f>
        <v>RECEITAS COM ENTREGAS (303)</v>
      </c>
      <c r="T411">
        <v>3943</v>
      </c>
      <c r="U411">
        <v>1533</v>
      </c>
      <c r="V411" t="s">
        <v>22</v>
      </c>
    </row>
    <row r="412" spans="1:22">
      <c r="A412" t="str">
        <f t="shared" si="140"/>
        <v>12/01/2026</v>
      </c>
      <c r="B412" t="str">
        <f t="shared" si="141"/>
        <v>ENTRADA</v>
      </c>
      <c r="C412" t="str">
        <f t="shared" si="142"/>
        <v>NFSE</v>
      </c>
      <c r="D412" t="str">
        <f>"3202"</f>
        <v>3202</v>
      </c>
      <c r="E412" t="str">
        <f t="shared" si="143"/>
        <v>1</v>
      </c>
      <c r="F412" t="str">
        <f t="shared" si="139"/>
        <v>COM</v>
      </c>
      <c r="G412" t="str">
        <f t="shared" si="144"/>
        <v>DROGARIA VAZ (10179)</v>
      </c>
      <c r="H412" t="s">
        <v>134</v>
      </c>
      <c r="I412" t="str">
        <f t="shared" si="145"/>
        <v>12/01/2026</v>
      </c>
      <c r="J412" t="str">
        <f>("07/07/2025")</f>
        <v>07/07/2025</v>
      </c>
      <c r="K412">
        <v>46034</v>
      </c>
      <c r="N412">
        <v>303</v>
      </c>
      <c r="O412" t="s">
        <v>26</v>
      </c>
      <c r="Q412">
        <v>237.99</v>
      </c>
      <c r="R412" t="str">
        <f>"DROGARIA VAZ (10179)"</f>
        <v>DROGARIA VAZ (10179)</v>
      </c>
      <c r="S412" t="s">
        <v>27</v>
      </c>
      <c r="T412">
        <v>3943</v>
      </c>
      <c r="U412">
        <v>1533</v>
      </c>
      <c r="V412" t="s">
        <v>22</v>
      </c>
    </row>
    <row r="413" spans="1:22">
      <c r="A413" t="str">
        <f t="shared" si="140"/>
        <v>12/01/2026</v>
      </c>
      <c r="B413" t="str">
        <f t="shared" si="141"/>
        <v>ENTRADA</v>
      </c>
      <c r="C413" t="str">
        <f t="shared" si="142"/>
        <v>NFSE</v>
      </c>
      <c r="D413" t="str">
        <f>"3240"</f>
        <v>3240</v>
      </c>
      <c r="E413" t="str">
        <f t="shared" si="143"/>
        <v>1</v>
      </c>
      <c r="F413" t="str">
        <f t="shared" si="139"/>
        <v>COM</v>
      </c>
      <c r="G413" t="str">
        <f t="shared" si="144"/>
        <v>DROGARIA VAZ (10179)</v>
      </c>
      <c r="H413" t="str">
        <f>"Serv.Prest. 07/07/2025 a 13/07/2025 - RPS: 1007 - NFSe: 3240"</f>
        <v>Serv.Prest. 07/07/2025 a 13/07/2025 - RPS: 1007 - NFSe: 3240</v>
      </c>
      <c r="I413" t="str">
        <f t="shared" si="145"/>
        <v>12/01/2026</v>
      </c>
      <c r="J413" t="str">
        <f>("14/07/2025")</f>
        <v>14/07/2025</v>
      </c>
      <c r="K413" t="str">
        <f>("12/01/2026")</f>
        <v>12/01/2026</v>
      </c>
      <c r="L413">
        <v>197.04</v>
      </c>
      <c r="M413">
        <v>197.04</v>
      </c>
      <c r="N413">
        <v>303</v>
      </c>
      <c r="O413" t="str">
        <f>"RECEITAS COM ENTREGAS"</f>
        <v>RECEITAS COM ENTREGAS</v>
      </c>
      <c r="S413" t="str">
        <f>"RECEITAS COM ENTREGAS (303)"</f>
        <v>RECEITAS COM ENTREGAS (303)</v>
      </c>
      <c r="T413">
        <v>3943</v>
      </c>
      <c r="U413">
        <v>1578</v>
      </c>
      <c r="V413" t="s">
        <v>22</v>
      </c>
    </row>
    <row r="414" spans="1:22">
      <c r="A414" t="str">
        <f t="shared" si="140"/>
        <v>12/01/2026</v>
      </c>
      <c r="B414" t="str">
        <f t="shared" si="141"/>
        <v>ENTRADA</v>
      </c>
      <c r="C414" t="str">
        <f t="shared" si="142"/>
        <v>NFSE</v>
      </c>
      <c r="D414" t="str">
        <f>"3240"</f>
        <v>3240</v>
      </c>
      <c r="E414" t="str">
        <f t="shared" si="143"/>
        <v>1</v>
      </c>
      <c r="F414" t="str">
        <f t="shared" si="139"/>
        <v>COM</v>
      </c>
      <c r="G414" t="str">
        <f t="shared" si="144"/>
        <v>DROGARIA VAZ (10179)</v>
      </c>
      <c r="H414" t="s">
        <v>135</v>
      </c>
      <c r="I414" t="str">
        <f t="shared" si="145"/>
        <v>12/01/2026</v>
      </c>
      <c r="J414" t="str">
        <f>("14/07/2025")</f>
        <v>14/07/2025</v>
      </c>
      <c r="K414">
        <v>46034</v>
      </c>
      <c r="N414">
        <v>303</v>
      </c>
      <c r="O414" t="s">
        <v>26</v>
      </c>
      <c r="Q414">
        <v>197.04</v>
      </c>
      <c r="R414" t="str">
        <f>"DROGARIA VAZ (10179)"</f>
        <v>DROGARIA VAZ (10179)</v>
      </c>
      <c r="S414" t="s">
        <v>27</v>
      </c>
      <c r="T414">
        <v>3943</v>
      </c>
      <c r="U414">
        <v>1578</v>
      </c>
      <c r="V414" t="s">
        <v>22</v>
      </c>
    </row>
    <row r="415" spans="1:22">
      <c r="A415" t="str">
        <f t="shared" si="140"/>
        <v>12/01/2026</v>
      </c>
      <c r="B415" t="str">
        <f t="shared" si="141"/>
        <v>ENTRADA</v>
      </c>
      <c r="C415" t="str">
        <f t="shared" si="142"/>
        <v>NFSE</v>
      </c>
      <c r="D415" t="str">
        <f>"3263"</f>
        <v>3263</v>
      </c>
      <c r="E415" t="str">
        <f t="shared" si="143"/>
        <v>1</v>
      </c>
      <c r="F415" t="str">
        <f t="shared" si="139"/>
        <v>COM</v>
      </c>
      <c r="G415" t="str">
        <f t="shared" si="144"/>
        <v>DROGARIA VAZ (10179)</v>
      </c>
      <c r="H415" t="str">
        <f>"Serv.Prest. 14/07/2025 a 20/07/2025 - RPS: 1030 - NFSe: 3263"</f>
        <v>Serv.Prest. 14/07/2025 a 20/07/2025 - RPS: 1030 - NFSe: 3263</v>
      </c>
      <c r="I415" t="str">
        <f t="shared" si="145"/>
        <v>12/01/2026</v>
      </c>
      <c r="J415" t="str">
        <f>("21/07/2025")</f>
        <v>21/07/2025</v>
      </c>
      <c r="K415" t="str">
        <f>("12/01/2026")</f>
        <v>12/01/2026</v>
      </c>
      <c r="L415">
        <v>133.07</v>
      </c>
      <c r="M415">
        <v>133.07</v>
      </c>
      <c r="N415">
        <v>303</v>
      </c>
      <c r="O415" t="str">
        <f>"RECEITAS COM ENTREGAS"</f>
        <v>RECEITAS COM ENTREGAS</v>
      </c>
      <c r="S415" t="str">
        <f>"RECEITAS COM ENTREGAS (303)"</f>
        <v>RECEITAS COM ENTREGAS (303)</v>
      </c>
      <c r="T415">
        <v>3943</v>
      </c>
      <c r="U415">
        <v>3326</v>
      </c>
      <c r="V415" t="s">
        <v>22</v>
      </c>
    </row>
    <row r="416" spans="1:22">
      <c r="A416" t="str">
        <f t="shared" si="140"/>
        <v>12/01/2026</v>
      </c>
      <c r="B416" t="str">
        <f t="shared" si="141"/>
        <v>ENTRADA</v>
      </c>
      <c r="C416" t="str">
        <f t="shared" si="142"/>
        <v>NFSE</v>
      </c>
      <c r="D416" t="str">
        <f>"3263"</f>
        <v>3263</v>
      </c>
      <c r="E416" t="str">
        <f t="shared" si="143"/>
        <v>1</v>
      </c>
      <c r="F416" t="str">
        <f t="shared" si="139"/>
        <v>COM</v>
      </c>
      <c r="G416" t="str">
        <f t="shared" si="144"/>
        <v>DROGARIA VAZ (10179)</v>
      </c>
      <c r="H416" t="s">
        <v>136</v>
      </c>
      <c r="I416" t="str">
        <f t="shared" si="145"/>
        <v>12/01/2026</v>
      </c>
      <c r="J416" t="str">
        <f>("21/07/2025")</f>
        <v>21/07/2025</v>
      </c>
      <c r="K416">
        <v>46034</v>
      </c>
      <c r="N416">
        <v>303</v>
      </c>
      <c r="O416" t="s">
        <v>26</v>
      </c>
      <c r="Q416">
        <v>133.07</v>
      </c>
      <c r="R416" t="str">
        <f>"DROGARIA VAZ (10179)"</f>
        <v>DROGARIA VAZ (10179)</v>
      </c>
      <c r="S416" t="s">
        <v>27</v>
      </c>
      <c r="T416">
        <v>3943</v>
      </c>
      <c r="U416">
        <v>3326</v>
      </c>
      <c r="V416" t="s">
        <v>22</v>
      </c>
    </row>
    <row r="417" spans="1:22">
      <c r="A417" t="str">
        <f t="shared" si="140"/>
        <v>12/01/2026</v>
      </c>
      <c r="B417" t="str">
        <f t="shared" si="141"/>
        <v>ENTRADA</v>
      </c>
      <c r="C417" t="str">
        <f t="shared" si="142"/>
        <v>NFSE</v>
      </c>
      <c r="D417" t="str">
        <f>"48"</f>
        <v>48</v>
      </c>
      <c r="E417" t="str">
        <f t="shared" si="143"/>
        <v>1</v>
      </c>
      <c r="F417" t="str">
        <f t="shared" si="139"/>
        <v>COM</v>
      </c>
      <c r="G417" t="str">
        <f>"DROGARIA ISABELLA (10276)"</f>
        <v>DROGARIA ISABELLA (10276)</v>
      </c>
      <c r="H417" t="str">
        <f>"Serv.Prest. 29/12/2025 a 04/01/2026 - RPS: 1949 - NFSe: 48"</f>
        <v>Serv.Prest. 29/12/2025 a 04/01/2026 - RPS: 1949 - NFSe: 48</v>
      </c>
      <c r="I417" t="str">
        <f>("08/01/2026")</f>
        <v>08/01/2026</v>
      </c>
      <c r="J417" t="str">
        <f>("06/01/2026")</f>
        <v>06/01/2026</v>
      </c>
      <c r="K417" t="str">
        <f>("12/01/2026")</f>
        <v>12/01/2026</v>
      </c>
      <c r="L417">
        <v>260.10000000000002</v>
      </c>
      <c r="M417">
        <v>267.89999999999998</v>
      </c>
      <c r="N417">
        <v>303</v>
      </c>
      <c r="O417" t="str">
        <f>"RECEITAS COM ENTREGAS"</f>
        <v>RECEITAS COM ENTREGAS</v>
      </c>
      <c r="P417">
        <v>267.89999999999998</v>
      </c>
      <c r="S417" t="str">
        <f>"RECEITAS COM ENTREGAS (303)"</f>
        <v>RECEITAS COM ENTREGAS (303)</v>
      </c>
      <c r="T417">
        <v>4096</v>
      </c>
      <c r="U417">
        <v>3259</v>
      </c>
      <c r="V417" t="s">
        <v>88</v>
      </c>
    </row>
    <row r="418" spans="1:22">
      <c r="A418" t="str">
        <f t="shared" si="140"/>
        <v>12/01/2026</v>
      </c>
      <c r="B418" t="str">
        <f t="shared" si="141"/>
        <v>ENTRADA</v>
      </c>
      <c r="C418" t="str">
        <f t="shared" si="142"/>
        <v>NFSE</v>
      </c>
      <c r="D418" t="str">
        <f>"48"</f>
        <v>48</v>
      </c>
      <c r="E418" t="str">
        <f t="shared" si="143"/>
        <v>1</v>
      </c>
      <c r="F418" t="str">
        <f t="shared" si="139"/>
        <v>COM</v>
      </c>
      <c r="G418" t="str">
        <f>"DROGARIA ISABELLA (10276)"</f>
        <v>DROGARIA ISABELLA (10276)</v>
      </c>
      <c r="H418" t="s">
        <v>137</v>
      </c>
      <c r="I418" t="str">
        <f>("08/01/2026")</f>
        <v>08/01/2026</v>
      </c>
      <c r="J418" t="str">
        <f>("06/01/2026")</f>
        <v>06/01/2026</v>
      </c>
      <c r="K418">
        <v>46034</v>
      </c>
      <c r="N418">
        <v>303</v>
      </c>
      <c r="O418" t="s">
        <v>26</v>
      </c>
      <c r="Q418">
        <v>267.89999999999998</v>
      </c>
      <c r="R418" t="str">
        <f>"DROGARIA ISABELLA (10276)"</f>
        <v>DROGARIA ISABELLA (10276)</v>
      </c>
      <c r="S418" t="s">
        <v>27</v>
      </c>
      <c r="T418">
        <v>4096</v>
      </c>
      <c r="U418">
        <v>3259</v>
      </c>
      <c r="V418" t="s">
        <v>88</v>
      </c>
    </row>
    <row r="419" spans="1:22">
      <c r="A419" t="str">
        <f t="shared" si="140"/>
        <v>12/01/2026</v>
      </c>
      <c r="B419" t="str">
        <f t="shared" si="141"/>
        <v>ENTRADA</v>
      </c>
      <c r="C419" t="str">
        <f t="shared" si="142"/>
        <v>NFSE</v>
      </c>
      <c r="D419" t="str">
        <f>"22"</f>
        <v>22</v>
      </c>
      <c r="E419" t="str">
        <f t="shared" si="143"/>
        <v>1</v>
      </c>
      <c r="F419" t="str">
        <f t="shared" si="139"/>
        <v>COM</v>
      </c>
      <c r="G419" t="str">
        <f>"DROGARIA MORENO LTDA (10171)"</f>
        <v>DROGARIA MORENO LTDA (10171)</v>
      </c>
      <c r="H419" t="str">
        <f>"Serv.Prest. 29/12/2025 a 04/01/2026 - RPS: 1951 - NFSe: 22"</f>
        <v>Serv.Prest. 29/12/2025 a 04/01/2026 - RPS: 1951 - NFSe: 22</v>
      </c>
      <c r="I419" t="str">
        <f>("09/01/2026")</f>
        <v>09/01/2026</v>
      </c>
      <c r="J419" t="str">
        <f>("06/01/2026")</f>
        <v>06/01/2026</v>
      </c>
      <c r="K419" t="str">
        <f>("12/01/2026")</f>
        <v>12/01/2026</v>
      </c>
      <c r="L419">
        <v>299.7</v>
      </c>
      <c r="M419">
        <v>299.7</v>
      </c>
      <c r="N419">
        <v>303</v>
      </c>
      <c r="O419" t="str">
        <f>"RECEITAS COM ENTREGAS"</f>
        <v>RECEITAS COM ENTREGAS</v>
      </c>
      <c r="P419">
        <v>299.7</v>
      </c>
      <c r="S419" t="str">
        <f>"RECEITAS COM ENTREGAS (303)"</f>
        <v>RECEITAS COM ENTREGAS (303)</v>
      </c>
      <c r="T419">
        <v>4123</v>
      </c>
      <c r="U419">
        <v>3261</v>
      </c>
      <c r="V419" t="s">
        <v>22</v>
      </c>
    </row>
    <row r="420" spans="1:22">
      <c r="A420" t="str">
        <f t="shared" si="140"/>
        <v>12/01/2026</v>
      </c>
      <c r="B420" t="str">
        <f t="shared" si="141"/>
        <v>ENTRADA</v>
      </c>
      <c r="C420" t="str">
        <f t="shared" si="142"/>
        <v>NFSE</v>
      </c>
      <c r="D420" t="str">
        <f>"22"</f>
        <v>22</v>
      </c>
      <c r="E420" t="str">
        <f t="shared" si="143"/>
        <v>1</v>
      </c>
      <c r="F420" t="str">
        <f t="shared" si="139"/>
        <v>COM</v>
      </c>
      <c r="G420" t="str">
        <f>"DROGARIA MORENO LTDA (10171)"</f>
        <v>DROGARIA MORENO LTDA (10171)</v>
      </c>
      <c r="H420" t="s">
        <v>138</v>
      </c>
      <c r="I420" t="str">
        <f>("09/01/2026")</f>
        <v>09/01/2026</v>
      </c>
      <c r="J420" t="str">
        <f>("06/01/2026")</f>
        <v>06/01/2026</v>
      </c>
      <c r="K420">
        <v>46034</v>
      </c>
      <c r="N420">
        <v>303</v>
      </c>
      <c r="O420" t="s">
        <v>26</v>
      </c>
      <c r="Q420">
        <v>299.7</v>
      </c>
      <c r="R420" t="str">
        <f>"DROGARIA MORENO LTDA (10171)"</f>
        <v>DROGARIA MORENO LTDA (10171)</v>
      </c>
      <c r="S420" t="s">
        <v>27</v>
      </c>
      <c r="T420">
        <v>4123</v>
      </c>
      <c r="U420">
        <v>3261</v>
      </c>
      <c r="V420" t="s">
        <v>22</v>
      </c>
    </row>
    <row r="421" spans="1:22">
      <c r="A421" t="str">
        <f t="shared" si="140"/>
        <v>12/01/2026</v>
      </c>
      <c r="B421" t="str">
        <f>"SAÍDA"</f>
        <v>SAÍDA</v>
      </c>
      <c r="C421" t="str">
        <f>"JUROS"</f>
        <v>JUROS</v>
      </c>
      <c r="D421" t="str">
        <f>""</f>
        <v/>
      </c>
      <c r="F421" t="str">
        <f>"CXA"</f>
        <v>CXA</v>
      </c>
      <c r="G421" t="str">
        <f>""</f>
        <v/>
      </c>
      <c r="H421" t="str">
        <f>"MANUTENCAO DE TITULOS"</f>
        <v>MANUTENCAO DE TITULOS</v>
      </c>
      <c r="I421" t="str">
        <f t="shared" ref="I421:K423" si="146">("12/01/2026")</f>
        <v>12/01/2026</v>
      </c>
      <c r="J421" t="str">
        <f t="shared" si="146"/>
        <v>12/01/2026</v>
      </c>
      <c r="K421" t="str">
        <f t="shared" si="146"/>
        <v>12/01/2026</v>
      </c>
      <c r="L421">
        <v>32.5</v>
      </c>
      <c r="M421">
        <v>32.5</v>
      </c>
      <c r="N421">
        <v>401</v>
      </c>
      <c r="O421" t="str">
        <f>"IOF/JUROS/DESP.FINANCEIRA"</f>
        <v>IOF/JUROS/DESP.FINANCEIRA</v>
      </c>
      <c r="P421">
        <v>32.5</v>
      </c>
      <c r="S421" t="str">
        <f>"BANCO SICREDI (131)"</f>
        <v>BANCO SICREDI (131)</v>
      </c>
      <c r="T421">
        <v>4130</v>
      </c>
      <c r="U421">
        <v>0</v>
      </c>
      <c r="V421" t="s">
        <v>54</v>
      </c>
    </row>
    <row r="422" spans="1:22">
      <c r="A422" t="str">
        <f t="shared" si="140"/>
        <v>12/01/2026</v>
      </c>
      <c r="B422" t="str">
        <f>"SAÍDA"</f>
        <v>SAÍDA</v>
      </c>
      <c r="C422" t="str">
        <f>"JUROS"</f>
        <v>JUROS</v>
      </c>
      <c r="D422" t="str">
        <f>""</f>
        <v/>
      </c>
      <c r="F422" t="str">
        <f>"CXA"</f>
        <v>CXA</v>
      </c>
      <c r="G422" t="str">
        <f>""</f>
        <v/>
      </c>
      <c r="H422" t="str">
        <f>"CESTA DE RELACIONAMENTO"</f>
        <v>CESTA DE RELACIONAMENTO</v>
      </c>
      <c r="I422" t="str">
        <f t="shared" si="146"/>
        <v>12/01/2026</v>
      </c>
      <c r="J422" t="str">
        <f t="shared" si="146"/>
        <v>12/01/2026</v>
      </c>
      <c r="K422" t="str">
        <f t="shared" si="146"/>
        <v>12/01/2026</v>
      </c>
      <c r="L422">
        <v>60.98</v>
      </c>
      <c r="M422">
        <v>60.98</v>
      </c>
      <c r="N422">
        <v>401</v>
      </c>
      <c r="O422" t="str">
        <f>"IOF/JUROS/DESP.FINANCEIRA"</f>
        <v>IOF/JUROS/DESP.FINANCEIRA</v>
      </c>
      <c r="P422">
        <v>60.98</v>
      </c>
      <c r="S422" t="str">
        <f>"BANCO SICREDI (131)"</f>
        <v>BANCO SICREDI (131)</v>
      </c>
      <c r="T422">
        <v>4131</v>
      </c>
      <c r="U422">
        <v>0</v>
      </c>
      <c r="V422" t="s">
        <v>54</v>
      </c>
    </row>
    <row r="423" spans="1:22">
      <c r="A423" t="str">
        <f t="shared" si="140"/>
        <v>12/01/2026</v>
      </c>
      <c r="B423" t="str">
        <f>"SAÍDA"</f>
        <v>SAÍDA</v>
      </c>
      <c r="C423" t="str">
        <f>"JUROS"</f>
        <v>JUROS</v>
      </c>
      <c r="D423" t="str">
        <f>""</f>
        <v/>
      </c>
      <c r="F423" t="str">
        <f>"CXA"</f>
        <v>CXA</v>
      </c>
      <c r="G423" t="str">
        <f>""</f>
        <v/>
      </c>
      <c r="H423" t="str">
        <f>"TARIFA SERV.COBR.TITULOS"</f>
        <v>TARIFA SERV.COBR.TITULOS</v>
      </c>
      <c r="I423" t="str">
        <f t="shared" si="146"/>
        <v>12/01/2026</v>
      </c>
      <c r="J423" t="str">
        <f t="shared" si="146"/>
        <v>12/01/2026</v>
      </c>
      <c r="K423" t="str">
        <f t="shared" si="146"/>
        <v>12/01/2026</v>
      </c>
      <c r="L423">
        <v>47.26</v>
      </c>
      <c r="M423">
        <v>47.26</v>
      </c>
      <c r="N423">
        <v>401</v>
      </c>
      <c r="O423" t="str">
        <f>"IOF/JUROS/DESP.FINANCEIRA"</f>
        <v>IOF/JUROS/DESP.FINANCEIRA</v>
      </c>
      <c r="P423">
        <v>47.26</v>
      </c>
      <c r="S423" t="str">
        <f>"BANCO SICREDI (131)"</f>
        <v>BANCO SICREDI (131)</v>
      </c>
      <c r="T423">
        <v>4132</v>
      </c>
      <c r="U423">
        <v>0</v>
      </c>
      <c r="V423" t="s">
        <v>54</v>
      </c>
    </row>
    <row r="424" spans="1:22">
      <c r="A424" t="str">
        <f t="shared" si="140"/>
        <v>12/01/2026</v>
      </c>
      <c r="B424" t="str">
        <f t="shared" ref="B424:B440" si="147">"ENTRADA"</f>
        <v>ENTRADA</v>
      </c>
      <c r="C424" t="str">
        <f t="shared" ref="C424:C440" si="148">"NFSE"</f>
        <v>NFSE</v>
      </c>
      <c r="D424" t="str">
        <f t="shared" ref="D424:D429" si="149">"47"</f>
        <v>47</v>
      </c>
      <c r="E424" t="str">
        <f t="shared" ref="E424:E440" si="150">"1"</f>
        <v>1</v>
      </c>
      <c r="F424" t="str">
        <f t="shared" ref="F424:F448" si="151">"COM"</f>
        <v>COM</v>
      </c>
      <c r="G424" t="str">
        <f t="shared" ref="G424:G429" si="152">"PENSE FARMA 08 (10217)"</f>
        <v>PENSE FARMA 08 (10217)</v>
      </c>
      <c r="H424" t="str">
        <f>"Serv.Prest. 29/12/2025 a 04/01/2026 - RPS: 1935 - NFSe: 47"</f>
        <v>Serv.Prest. 29/12/2025 a 04/01/2026 - RPS: 1935 - NFSe: 47</v>
      </c>
      <c r="I424" t="str">
        <f t="shared" ref="I424:I440" si="153">("09/01/2026")</f>
        <v>09/01/2026</v>
      </c>
      <c r="J424" t="str">
        <f t="shared" ref="J424:J438" si="154">("06/01/2026")</f>
        <v>06/01/2026</v>
      </c>
      <c r="K424" t="str">
        <f>("12/01/2026")</f>
        <v>12/01/2026</v>
      </c>
      <c r="L424">
        <v>589.5</v>
      </c>
      <c r="M424">
        <v>589.5</v>
      </c>
      <c r="N424">
        <v>303</v>
      </c>
      <c r="O424" t="str">
        <f>"RECEITAS COM ENTREGAS"</f>
        <v>RECEITAS COM ENTREGAS</v>
      </c>
      <c r="P424">
        <v>589.5</v>
      </c>
      <c r="S424" t="str">
        <f>"RECEITAS COM ENTREGAS (303)"</f>
        <v>RECEITAS COM ENTREGAS (303)</v>
      </c>
      <c r="T424">
        <v>4146</v>
      </c>
      <c r="U424">
        <v>3245</v>
      </c>
      <c r="V424" t="s">
        <v>88</v>
      </c>
    </row>
    <row r="425" spans="1:22">
      <c r="A425" t="str">
        <f t="shared" si="140"/>
        <v>12/01/2026</v>
      </c>
      <c r="B425" t="str">
        <f t="shared" si="147"/>
        <v>ENTRADA</v>
      </c>
      <c r="C425" t="str">
        <f t="shared" si="148"/>
        <v>NFSE</v>
      </c>
      <c r="D425" t="str">
        <f t="shared" si="149"/>
        <v>47</v>
      </c>
      <c r="E425" t="str">
        <f t="shared" si="150"/>
        <v>1</v>
      </c>
      <c r="F425" t="str">
        <f t="shared" si="151"/>
        <v>COM</v>
      </c>
      <c r="G425" t="str">
        <f t="shared" si="152"/>
        <v>PENSE FARMA 08 (10217)</v>
      </c>
      <c r="H425" t="s">
        <v>139</v>
      </c>
      <c r="I425" t="str">
        <f t="shared" si="153"/>
        <v>09/01/2026</v>
      </c>
      <c r="J425" t="str">
        <f t="shared" si="154"/>
        <v>06/01/2026</v>
      </c>
      <c r="K425">
        <v>46034</v>
      </c>
      <c r="N425">
        <v>303</v>
      </c>
      <c r="O425" t="s">
        <v>26</v>
      </c>
      <c r="Q425">
        <v>117.9</v>
      </c>
      <c r="R425" t="str">
        <f>"PENSE FARMA 08 (10217)"</f>
        <v>PENSE FARMA 08 (10217)</v>
      </c>
      <c r="S425" t="s">
        <v>27</v>
      </c>
      <c r="T425">
        <v>4146</v>
      </c>
      <c r="U425">
        <v>3245</v>
      </c>
      <c r="V425" t="s">
        <v>88</v>
      </c>
    </row>
    <row r="426" spans="1:22">
      <c r="A426" t="str">
        <f t="shared" si="140"/>
        <v>12/01/2026</v>
      </c>
      <c r="B426" t="str">
        <f t="shared" si="147"/>
        <v>ENTRADA</v>
      </c>
      <c r="C426" t="str">
        <f t="shared" si="148"/>
        <v>NFSE</v>
      </c>
      <c r="D426" t="str">
        <f t="shared" si="149"/>
        <v>47</v>
      </c>
      <c r="E426" t="str">
        <f t="shared" si="150"/>
        <v>1</v>
      </c>
      <c r="F426" t="str">
        <f t="shared" si="151"/>
        <v>COM</v>
      </c>
      <c r="G426" t="str">
        <f t="shared" si="152"/>
        <v>PENSE FARMA 08 (10217)</v>
      </c>
      <c r="H426" t="s">
        <v>139</v>
      </c>
      <c r="I426" t="str">
        <f t="shared" si="153"/>
        <v>09/01/2026</v>
      </c>
      <c r="J426" t="str">
        <f t="shared" si="154"/>
        <v>06/01/2026</v>
      </c>
      <c r="K426">
        <v>46034</v>
      </c>
      <c r="N426">
        <v>303</v>
      </c>
      <c r="O426" t="s">
        <v>26</v>
      </c>
      <c r="Q426">
        <v>117.9</v>
      </c>
      <c r="R426" t="str">
        <f>"PENSE FARMA 11 (10220)"</f>
        <v>PENSE FARMA 11 (10220)</v>
      </c>
      <c r="S426" t="s">
        <v>27</v>
      </c>
      <c r="T426">
        <v>4146</v>
      </c>
      <c r="U426">
        <v>3245</v>
      </c>
      <c r="V426" t="s">
        <v>88</v>
      </c>
    </row>
    <row r="427" spans="1:22">
      <c r="A427" t="str">
        <f t="shared" si="140"/>
        <v>12/01/2026</v>
      </c>
      <c r="B427" t="str">
        <f t="shared" si="147"/>
        <v>ENTRADA</v>
      </c>
      <c r="C427" t="str">
        <f t="shared" si="148"/>
        <v>NFSE</v>
      </c>
      <c r="D427" t="str">
        <f t="shared" si="149"/>
        <v>47</v>
      </c>
      <c r="E427" t="str">
        <f t="shared" si="150"/>
        <v>1</v>
      </c>
      <c r="F427" t="str">
        <f t="shared" si="151"/>
        <v>COM</v>
      </c>
      <c r="G427" t="str">
        <f t="shared" si="152"/>
        <v>PENSE FARMA 08 (10217)</v>
      </c>
      <c r="H427" t="s">
        <v>139</v>
      </c>
      <c r="I427" t="str">
        <f t="shared" si="153"/>
        <v>09/01/2026</v>
      </c>
      <c r="J427" t="str">
        <f t="shared" si="154"/>
        <v>06/01/2026</v>
      </c>
      <c r="K427">
        <v>46034</v>
      </c>
      <c r="N427">
        <v>303</v>
      </c>
      <c r="O427" t="s">
        <v>26</v>
      </c>
      <c r="Q427">
        <v>117.9</v>
      </c>
      <c r="R427" t="str">
        <f>"PENSE FARMA 41 (10229)"</f>
        <v>PENSE FARMA 41 (10229)</v>
      </c>
      <c r="S427" t="s">
        <v>27</v>
      </c>
      <c r="T427">
        <v>4146</v>
      </c>
      <c r="U427">
        <v>3245</v>
      </c>
      <c r="V427" t="s">
        <v>88</v>
      </c>
    </row>
    <row r="428" spans="1:22">
      <c r="A428" t="str">
        <f t="shared" si="140"/>
        <v>12/01/2026</v>
      </c>
      <c r="B428" t="str">
        <f t="shared" si="147"/>
        <v>ENTRADA</v>
      </c>
      <c r="C428" t="str">
        <f t="shared" si="148"/>
        <v>NFSE</v>
      </c>
      <c r="D428" t="str">
        <f t="shared" si="149"/>
        <v>47</v>
      </c>
      <c r="E428" t="str">
        <f t="shared" si="150"/>
        <v>1</v>
      </c>
      <c r="F428" t="str">
        <f t="shared" si="151"/>
        <v>COM</v>
      </c>
      <c r="G428" t="str">
        <f t="shared" si="152"/>
        <v>PENSE FARMA 08 (10217)</v>
      </c>
      <c r="H428" t="s">
        <v>139</v>
      </c>
      <c r="I428" t="str">
        <f t="shared" si="153"/>
        <v>09/01/2026</v>
      </c>
      <c r="J428" t="str">
        <f t="shared" si="154"/>
        <v>06/01/2026</v>
      </c>
      <c r="K428">
        <v>46034</v>
      </c>
      <c r="N428">
        <v>303</v>
      </c>
      <c r="O428" t="s">
        <v>26</v>
      </c>
      <c r="Q428">
        <v>117.9</v>
      </c>
      <c r="R428" t="str">
        <f>"PENSE FARMA 42 (10230)"</f>
        <v>PENSE FARMA 42 (10230)</v>
      </c>
      <c r="S428" t="s">
        <v>27</v>
      </c>
      <c r="T428">
        <v>4146</v>
      </c>
      <c r="U428">
        <v>3245</v>
      </c>
      <c r="V428" t="s">
        <v>88</v>
      </c>
    </row>
    <row r="429" spans="1:22">
      <c r="A429" t="str">
        <f t="shared" si="140"/>
        <v>12/01/2026</v>
      </c>
      <c r="B429" t="str">
        <f t="shared" si="147"/>
        <v>ENTRADA</v>
      </c>
      <c r="C429" t="str">
        <f t="shared" si="148"/>
        <v>NFSE</v>
      </c>
      <c r="D429" t="str">
        <f t="shared" si="149"/>
        <v>47</v>
      </c>
      <c r="E429" t="str">
        <f t="shared" si="150"/>
        <v>1</v>
      </c>
      <c r="F429" t="str">
        <f t="shared" si="151"/>
        <v>COM</v>
      </c>
      <c r="G429" t="str">
        <f t="shared" si="152"/>
        <v>PENSE FARMA 08 (10217)</v>
      </c>
      <c r="H429" t="s">
        <v>139</v>
      </c>
      <c r="I429" t="str">
        <f t="shared" si="153"/>
        <v>09/01/2026</v>
      </c>
      <c r="J429" t="str">
        <f t="shared" si="154"/>
        <v>06/01/2026</v>
      </c>
      <c r="K429">
        <v>46034</v>
      </c>
      <c r="N429">
        <v>303</v>
      </c>
      <c r="O429" t="s">
        <v>26</v>
      </c>
      <c r="Q429">
        <v>117.9</v>
      </c>
      <c r="R429" t="str">
        <f>"PENSE FARMA 52 (10236)"</f>
        <v>PENSE FARMA 52 (10236)</v>
      </c>
      <c r="S429" t="s">
        <v>27</v>
      </c>
      <c r="T429">
        <v>4146</v>
      </c>
      <c r="U429">
        <v>3245</v>
      </c>
      <c r="V429" t="s">
        <v>88</v>
      </c>
    </row>
    <row r="430" spans="1:22">
      <c r="A430" t="str">
        <f t="shared" si="140"/>
        <v>12/01/2026</v>
      </c>
      <c r="B430" t="str">
        <f t="shared" si="147"/>
        <v>ENTRADA</v>
      </c>
      <c r="C430" t="str">
        <f t="shared" si="148"/>
        <v>NFSE</v>
      </c>
      <c r="D430" t="str">
        <f t="shared" ref="D430:D436" si="155">"16"</f>
        <v>16</v>
      </c>
      <c r="E430" t="str">
        <f t="shared" si="150"/>
        <v>1</v>
      </c>
      <c r="F430" t="str">
        <f t="shared" si="151"/>
        <v>COM</v>
      </c>
      <c r="G430" t="str">
        <f t="shared" ref="G430:G436" si="156">"PENSE FARMA 36 (10206)"</f>
        <v>PENSE FARMA 36 (10206)</v>
      </c>
      <c r="H430" t="str">
        <f>"Serv.Prest. 29/12/2025 a 04/01/2026 - RPS: 1944 - NFSe: 16"</f>
        <v>Serv.Prest. 29/12/2025 a 04/01/2026 - RPS: 1944 - NFSe: 16</v>
      </c>
      <c r="I430" t="str">
        <f t="shared" si="153"/>
        <v>09/01/2026</v>
      </c>
      <c r="J430" t="str">
        <f t="shared" si="154"/>
        <v>06/01/2026</v>
      </c>
      <c r="K430" t="str">
        <f>("12/01/2026")</f>
        <v>12/01/2026</v>
      </c>
      <c r="L430">
        <v>894.35</v>
      </c>
      <c r="M430">
        <v>894.35</v>
      </c>
      <c r="N430">
        <v>303</v>
      </c>
      <c r="O430" t="str">
        <f>"RECEITAS COM ENTREGAS"</f>
        <v>RECEITAS COM ENTREGAS</v>
      </c>
      <c r="P430">
        <v>894.35</v>
      </c>
      <c r="S430" t="str">
        <f>"RECEITAS COM ENTREGAS (303)"</f>
        <v>RECEITAS COM ENTREGAS (303)</v>
      </c>
      <c r="T430">
        <v>4147</v>
      </c>
      <c r="U430">
        <v>3254</v>
      </c>
      <c r="V430" t="s">
        <v>88</v>
      </c>
    </row>
    <row r="431" spans="1:22">
      <c r="A431" t="str">
        <f t="shared" si="140"/>
        <v>12/01/2026</v>
      </c>
      <c r="B431" t="str">
        <f t="shared" si="147"/>
        <v>ENTRADA</v>
      </c>
      <c r="C431" t="str">
        <f t="shared" si="148"/>
        <v>NFSE</v>
      </c>
      <c r="D431" t="str">
        <f t="shared" si="155"/>
        <v>16</v>
      </c>
      <c r="E431" t="str">
        <f t="shared" si="150"/>
        <v>1</v>
      </c>
      <c r="F431" t="str">
        <f t="shared" si="151"/>
        <v>COM</v>
      </c>
      <c r="G431" t="str">
        <f t="shared" si="156"/>
        <v>PENSE FARMA 36 (10206)</v>
      </c>
      <c r="H431" t="s">
        <v>140</v>
      </c>
      <c r="I431" t="str">
        <f t="shared" si="153"/>
        <v>09/01/2026</v>
      </c>
      <c r="J431" t="str">
        <f t="shared" si="154"/>
        <v>06/01/2026</v>
      </c>
      <c r="K431">
        <v>46034</v>
      </c>
      <c r="N431">
        <v>303</v>
      </c>
      <c r="O431" t="s">
        <v>26</v>
      </c>
      <c r="Q431">
        <v>148.30000000000001</v>
      </c>
      <c r="R431" t="str">
        <f>"PENSE FARMA 20 (10203)"</f>
        <v>PENSE FARMA 20 (10203)</v>
      </c>
      <c r="S431" t="s">
        <v>27</v>
      </c>
      <c r="T431">
        <v>4147</v>
      </c>
      <c r="U431">
        <v>3254</v>
      </c>
      <c r="V431" t="s">
        <v>88</v>
      </c>
    </row>
    <row r="432" spans="1:22">
      <c r="A432" t="str">
        <f t="shared" si="140"/>
        <v>12/01/2026</v>
      </c>
      <c r="B432" t="str">
        <f t="shared" si="147"/>
        <v>ENTRADA</v>
      </c>
      <c r="C432" t="str">
        <f t="shared" si="148"/>
        <v>NFSE</v>
      </c>
      <c r="D432" t="str">
        <f t="shared" si="155"/>
        <v>16</v>
      </c>
      <c r="E432" t="str">
        <f t="shared" si="150"/>
        <v>1</v>
      </c>
      <c r="F432" t="str">
        <f t="shared" si="151"/>
        <v>COM</v>
      </c>
      <c r="G432" t="str">
        <f t="shared" si="156"/>
        <v>PENSE FARMA 36 (10206)</v>
      </c>
      <c r="H432" t="s">
        <v>140</v>
      </c>
      <c r="I432" t="str">
        <f t="shared" si="153"/>
        <v>09/01/2026</v>
      </c>
      <c r="J432" t="str">
        <f t="shared" si="154"/>
        <v>06/01/2026</v>
      </c>
      <c r="K432">
        <v>46034</v>
      </c>
      <c r="N432">
        <v>303</v>
      </c>
      <c r="O432" t="s">
        <v>26</v>
      </c>
      <c r="Q432">
        <v>148.28</v>
      </c>
      <c r="R432" t="str">
        <f>"PENSE FARMA 36 (10206)"</f>
        <v>PENSE FARMA 36 (10206)</v>
      </c>
      <c r="S432" t="s">
        <v>27</v>
      </c>
      <c r="T432">
        <v>4147</v>
      </c>
      <c r="U432">
        <v>3254</v>
      </c>
      <c r="V432" t="s">
        <v>88</v>
      </c>
    </row>
    <row r="433" spans="1:22">
      <c r="A433" t="str">
        <f t="shared" si="140"/>
        <v>12/01/2026</v>
      </c>
      <c r="B433" t="str">
        <f t="shared" si="147"/>
        <v>ENTRADA</v>
      </c>
      <c r="C433" t="str">
        <f t="shared" si="148"/>
        <v>NFSE</v>
      </c>
      <c r="D433" t="str">
        <f t="shared" si="155"/>
        <v>16</v>
      </c>
      <c r="E433" t="str">
        <f t="shared" si="150"/>
        <v>1</v>
      </c>
      <c r="F433" t="str">
        <f t="shared" si="151"/>
        <v>COM</v>
      </c>
      <c r="G433" t="str">
        <f t="shared" si="156"/>
        <v>PENSE FARMA 36 (10206)</v>
      </c>
      <c r="H433" t="s">
        <v>140</v>
      </c>
      <c r="I433" t="str">
        <f t="shared" si="153"/>
        <v>09/01/2026</v>
      </c>
      <c r="J433" t="str">
        <f t="shared" si="154"/>
        <v>06/01/2026</v>
      </c>
      <c r="K433">
        <v>46034</v>
      </c>
      <c r="N433">
        <v>303</v>
      </c>
      <c r="O433" t="s">
        <v>26</v>
      </c>
      <c r="Q433">
        <v>148.28</v>
      </c>
      <c r="R433" t="str">
        <f>"PENSE FARMA 40 (10207)"</f>
        <v>PENSE FARMA 40 (10207)</v>
      </c>
      <c r="S433" t="s">
        <v>27</v>
      </c>
      <c r="T433">
        <v>4147</v>
      </c>
      <c r="U433">
        <v>3254</v>
      </c>
      <c r="V433" t="s">
        <v>88</v>
      </c>
    </row>
    <row r="434" spans="1:22">
      <c r="A434" t="str">
        <f t="shared" si="140"/>
        <v>12/01/2026</v>
      </c>
      <c r="B434" t="str">
        <f t="shared" si="147"/>
        <v>ENTRADA</v>
      </c>
      <c r="C434" t="str">
        <f t="shared" si="148"/>
        <v>NFSE</v>
      </c>
      <c r="D434" t="str">
        <f t="shared" si="155"/>
        <v>16</v>
      </c>
      <c r="E434" t="str">
        <f t="shared" si="150"/>
        <v>1</v>
      </c>
      <c r="F434" t="str">
        <f t="shared" si="151"/>
        <v>COM</v>
      </c>
      <c r="G434" t="str">
        <f t="shared" si="156"/>
        <v>PENSE FARMA 36 (10206)</v>
      </c>
      <c r="H434" t="s">
        <v>140</v>
      </c>
      <c r="I434" t="str">
        <f t="shared" si="153"/>
        <v>09/01/2026</v>
      </c>
      <c r="J434" t="str">
        <f t="shared" si="154"/>
        <v>06/01/2026</v>
      </c>
      <c r="K434">
        <v>46034</v>
      </c>
      <c r="N434">
        <v>303</v>
      </c>
      <c r="O434" t="s">
        <v>26</v>
      </c>
      <c r="Q434">
        <v>148.28</v>
      </c>
      <c r="R434" t="str">
        <f>"PENSE FARMA 43 (10208)"</f>
        <v>PENSE FARMA 43 (10208)</v>
      </c>
      <c r="S434" t="s">
        <v>27</v>
      </c>
      <c r="T434">
        <v>4147</v>
      </c>
      <c r="U434">
        <v>3254</v>
      </c>
      <c r="V434" t="s">
        <v>88</v>
      </c>
    </row>
    <row r="435" spans="1:22">
      <c r="A435" t="str">
        <f t="shared" si="140"/>
        <v>12/01/2026</v>
      </c>
      <c r="B435" t="str">
        <f t="shared" si="147"/>
        <v>ENTRADA</v>
      </c>
      <c r="C435" t="str">
        <f t="shared" si="148"/>
        <v>NFSE</v>
      </c>
      <c r="D435" t="str">
        <f t="shared" si="155"/>
        <v>16</v>
      </c>
      <c r="E435" t="str">
        <f t="shared" si="150"/>
        <v>1</v>
      </c>
      <c r="F435" t="str">
        <f t="shared" si="151"/>
        <v>COM</v>
      </c>
      <c r="G435" t="str">
        <f t="shared" si="156"/>
        <v>PENSE FARMA 36 (10206)</v>
      </c>
      <c r="H435" t="s">
        <v>140</v>
      </c>
      <c r="I435" t="str">
        <f t="shared" si="153"/>
        <v>09/01/2026</v>
      </c>
      <c r="J435" t="str">
        <f t="shared" si="154"/>
        <v>06/01/2026</v>
      </c>
      <c r="K435">
        <v>46034</v>
      </c>
      <c r="N435">
        <v>303</v>
      </c>
      <c r="O435" t="s">
        <v>26</v>
      </c>
      <c r="Q435">
        <v>148.28</v>
      </c>
      <c r="R435" t="str">
        <f>"PENSE FARMA 59 (10211)"</f>
        <v>PENSE FARMA 59 (10211)</v>
      </c>
      <c r="S435" t="s">
        <v>27</v>
      </c>
      <c r="T435">
        <v>4147</v>
      </c>
      <c r="U435">
        <v>3254</v>
      </c>
      <c r="V435" t="s">
        <v>88</v>
      </c>
    </row>
    <row r="436" spans="1:22">
      <c r="A436" t="str">
        <f t="shared" si="140"/>
        <v>12/01/2026</v>
      </c>
      <c r="B436" t="str">
        <f t="shared" si="147"/>
        <v>ENTRADA</v>
      </c>
      <c r="C436" t="str">
        <f t="shared" si="148"/>
        <v>NFSE</v>
      </c>
      <c r="D436" t="str">
        <f t="shared" si="155"/>
        <v>16</v>
      </c>
      <c r="E436" t="str">
        <f t="shared" si="150"/>
        <v>1</v>
      </c>
      <c r="F436" t="str">
        <f t="shared" si="151"/>
        <v>COM</v>
      </c>
      <c r="G436" t="str">
        <f t="shared" si="156"/>
        <v>PENSE FARMA 36 (10206)</v>
      </c>
      <c r="H436" t="s">
        <v>140</v>
      </c>
      <c r="I436" t="str">
        <f t="shared" si="153"/>
        <v>09/01/2026</v>
      </c>
      <c r="J436" t="str">
        <f t="shared" si="154"/>
        <v>06/01/2026</v>
      </c>
      <c r="K436">
        <v>46034</v>
      </c>
      <c r="N436">
        <v>303</v>
      </c>
      <c r="O436" t="s">
        <v>26</v>
      </c>
      <c r="Q436">
        <v>152.93</v>
      </c>
      <c r="R436" t="str">
        <f>"PENSE FARMA DARK STORE 361 (10212)"</f>
        <v>PENSE FARMA DARK STORE 361 (10212)</v>
      </c>
      <c r="S436" t="s">
        <v>27</v>
      </c>
      <c r="T436">
        <v>4147</v>
      </c>
      <c r="U436">
        <v>3254</v>
      </c>
      <c r="V436" t="s">
        <v>88</v>
      </c>
    </row>
    <row r="437" spans="1:22">
      <c r="A437" t="str">
        <f t="shared" si="140"/>
        <v>12/01/2026</v>
      </c>
      <c r="B437" t="str">
        <f t="shared" si="147"/>
        <v>ENTRADA</v>
      </c>
      <c r="C437" t="str">
        <f t="shared" si="148"/>
        <v>NFSE</v>
      </c>
      <c r="D437" t="str">
        <f>"25"</f>
        <v>25</v>
      </c>
      <c r="E437" t="str">
        <f t="shared" si="150"/>
        <v>1</v>
      </c>
      <c r="F437" t="str">
        <f t="shared" si="151"/>
        <v>COM</v>
      </c>
      <c r="G437" t="str">
        <f>"DROGARIA TOTAL JUNDIAI (10177)"</f>
        <v>DROGARIA TOTAL JUNDIAI (10177)</v>
      </c>
      <c r="H437" t="str">
        <f>"Serv.Prest. 29/12/2025 a 04/01/2026 - RPS: 1954 - NFSe: 25"</f>
        <v>Serv.Prest. 29/12/2025 a 04/01/2026 - RPS: 1954 - NFSe: 25</v>
      </c>
      <c r="I437" t="str">
        <f t="shared" si="153"/>
        <v>09/01/2026</v>
      </c>
      <c r="J437" t="str">
        <f t="shared" si="154"/>
        <v>06/01/2026</v>
      </c>
      <c r="K437" t="str">
        <f>("12/01/2026")</f>
        <v>12/01/2026</v>
      </c>
      <c r="L437">
        <v>100.27</v>
      </c>
      <c r="M437">
        <v>100.27</v>
      </c>
      <c r="N437">
        <v>303</v>
      </c>
      <c r="O437" t="str">
        <f>"RECEITAS COM ENTREGAS"</f>
        <v>RECEITAS COM ENTREGAS</v>
      </c>
      <c r="P437">
        <v>100.27</v>
      </c>
      <c r="S437" t="str">
        <f>"RECEITAS COM ENTREGAS (303)"</f>
        <v>RECEITAS COM ENTREGAS (303)</v>
      </c>
      <c r="T437">
        <v>4148</v>
      </c>
      <c r="U437">
        <v>3264</v>
      </c>
      <c r="V437" t="s">
        <v>88</v>
      </c>
    </row>
    <row r="438" spans="1:22">
      <c r="A438" t="str">
        <f t="shared" si="140"/>
        <v>12/01/2026</v>
      </c>
      <c r="B438" t="str">
        <f t="shared" si="147"/>
        <v>ENTRADA</v>
      </c>
      <c r="C438" t="str">
        <f t="shared" si="148"/>
        <v>NFSE</v>
      </c>
      <c r="D438" t="str">
        <f>"25"</f>
        <v>25</v>
      </c>
      <c r="E438" t="str">
        <f t="shared" si="150"/>
        <v>1</v>
      </c>
      <c r="F438" t="str">
        <f t="shared" si="151"/>
        <v>COM</v>
      </c>
      <c r="G438" t="str">
        <f>"DROGARIA TOTAL JUNDIAI (10177)"</f>
        <v>DROGARIA TOTAL JUNDIAI (10177)</v>
      </c>
      <c r="H438" t="s">
        <v>141</v>
      </c>
      <c r="I438" t="str">
        <f t="shared" si="153"/>
        <v>09/01/2026</v>
      </c>
      <c r="J438" t="str">
        <f t="shared" si="154"/>
        <v>06/01/2026</v>
      </c>
      <c r="K438">
        <v>46034</v>
      </c>
      <c r="N438">
        <v>303</v>
      </c>
      <c r="O438" t="s">
        <v>26</v>
      </c>
      <c r="Q438">
        <v>100.27</v>
      </c>
      <c r="R438" t="str">
        <f>"DROGARIA TOTAL JUNDIAI (10177)"</f>
        <v>DROGARIA TOTAL JUNDIAI (10177)</v>
      </c>
      <c r="S438" t="s">
        <v>27</v>
      </c>
      <c r="T438">
        <v>4148</v>
      </c>
      <c r="U438">
        <v>3264</v>
      </c>
      <c r="V438" t="s">
        <v>88</v>
      </c>
    </row>
    <row r="439" spans="1:22">
      <c r="A439" t="str">
        <f t="shared" si="140"/>
        <v>12/01/2026</v>
      </c>
      <c r="B439" t="str">
        <f t="shared" si="147"/>
        <v>ENTRADA</v>
      </c>
      <c r="C439" t="str">
        <f t="shared" si="148"/>
        <v>NFSE</v>
      </c>
      <c r="D439" t="str">
        <f>"46"</f>
        <v>46</v>
      </c>
      <c r="E439" t="str">
        <f t="shared" si="150"/>
        <v>1</v>
      </c>
      <c r="F439" t="str">
        <f t="shared" si="151"/>
        <v>COM</v>
      </c>
      <c r="G439" t="str">
        <f>"PENSE FARMA 22 (10198)"</f>
        <v>PENSE FARMA 22 (10198)</v>
      </c>
      <c r="H439" t="str">
        <f>"Serv.Prest. 29/12/2025 a 04/01/2026 - RPS: 1976 - NFSe: 46"</f>
        <v>Serv.Prest. 29/12/2025 a 04/01/2026 - RPS: 1976 - NFSe: 46</v>
      </c>
      <c r="I439" t="str">
        <f t="shared" si="153"/>
        <v>09/01/2026</v>
      </c>
      <c r="J439" t="str">
        <f>("07/01/2026")</f>
        <v>07/01/2026</v>
      </c>
      <c r="K439" t="str">
        <f>("12/01/2026")</f>
        <v>12/01/2026</v>
      </c>
      <c r="L439">
        <v>287.76</v>
      </c>
      <c r="M439">
        <v>287.76</v>
      </c>
      <c r="N439">
        <v>303</v>
      </c>
      <c r="O439" t="str">
        <f>"RECEITAS COM ENTREGAS"</f>
        <v>RECEITAS COM ENTREGAS</v>
      </c>
      <c r="P439">
        <v>287.76</v>
      </c>
      <c r="S439" t="str">
        <f>"RECEITAS COM ENTREGAS (303)"</f>
        <v>RECEITAS COM ENTREGAS (303)</v>
      </c>
      <c r="T439">
        <v>4149</v>
      </c>
      <c r="U439">
        <v>3286</v>
      </c>
      <c r="V439" t="s">
        <v>88</v>
      </c>
    </row>
    <row r="440" spans="1:22">
      <c r="A440" t="str">
        <f t="shared" si="140"/>
        <v>12/01/2026</v>
      </c>
      <c r="B440" t="str">
        <f t="shared" si="147"/>
        <v>ENTRADA</v>
      </c>
      <c r="C440" t="str">
        <f t="shared" si="148"/>
        <v>NFSE</v>
      </c>
      <c r="D440" t="str">
        <f>"46"</f>
        <v>46</v>
      </c>
      <c r="E440" t="str">
        <f t="shared" si="150"/>
        <v>1</v>
      </c>
      <c r="F440" t="str">
        <f t="shared" si="151"/>
        <v>COM</v>
      </c>
      <c r="G440" t="str">
        <f>"PENSE FARMA 22 (10198)"</f>
        <v>PENSE FARMA 22 (10198)</v>
      </c>
      <c r="H440" t="s">
        <v>142</v>
      </c>
      <c r="I440" t="str">
        <f t="shared" si="153"/>
        <v>09/01/2026</v>
      </c>
      <c r="J440" t="str">
        <f>("07/01/2026")</f>
        <v>07/01/2026</v>
      </c>
      <c r="K440">
        <v>46034</v>
      </c>
      <c r="N440">
        <v>303</v>
      </c>
      <c r="O440" t="s">
        <v>26</v>
      </c>
      <c r="Q440">
        <v>287.76</v>
      </c>
      <c r="R440" t="str">
        <f>"PENSE FARMA 22 (10198)"</f>
        <v>PENSE FARMA 22 (10198)</v>
      </c>
      <c r="S440" t="s">
        <v>27</v>
      </c>
      <c r="T440">
        <v>4149</v>
      </c>
      <c r="U440">
        <v>3286</v>
      </c>
      <c r="V440" t="s">
        <v>88</v>
      </c>
    </row>
    <row r="441" spans="1:22">
      <c r="A441" t="str">
        <f t="shared" si="140"/>
        <v>12/01/2026</v>
      </c>
      <c r="B441" t="str">
        <f>"SAÍDA"</f>
        <v>SAÍDA</v>
      </c>
      <c r="C441" t="str">
        <f t="shared" ref="C441:C448" si="157">"BOLETO"</f>
        <v>BOLETO</v>
      </c>
      <c r="D441" t="str">
        <f>"1201"</f>
        <v>1201</v>
      </c>
      <c r="E441" t="str">
        <f>"26"</f>
        <v>26</v>
      </c>
      <c r="F441" t="str">
        <f t="shared" si="151"/>
        <v>COM</v>
      </c>
      <c r="G441" t="str">
        <f>"CORA SOCIEDADE DE CREDITO, FINANCIAMENTO E INVESTIMENTO (20035)"</f>
        <v>CORA SOCIEDADE DE CREDITO, FINANCIAMENTO E INVESTIMENTO (20035)</v>
      </c>
      <c r="H441" t="str">
        <f>"TAXA BOLETO CORA (02x1,7)"</f>
        <v>TAXA BOLETO CORA (02x1,7)</v>
      </c>
      <c r="I441" t="str">
        <f>("12/01/2026")</f>
        <v>12/01/2026</v>
      </c>
      <c r="J441" t="str">
        <f>("12/01/2026")</f>
        <v>12/01/2026</v>
      </c>
      <c r="K441" t="str">
        <f>("12/01/2026")</f>
        <v>12/01/2026</v>
      </c>
      <c r="L441">
        <v>3.4</v>
      </c>
      <c r="M441">
        <v>3.4</v>
      </c>
      <c r="N441">
        <v>401</v>
      </c>
      <c r="O441" t="str">
        <f>"IOF/JUROS/DESP.FINANCEIRA"</f>
        <v>IOF/JUROS/DESP.FINANCEIRA</v>
      </c>
      <c r="P441">
        <v>3.4</v>
      </c>
      <c r="S441" t="str">
        <f>"BANCO CORA (102)"</f>
        <v>BANCO CORA (102)</v>
      </c>
      <c r="T441">
        <v>4180</v>
      </c>
      <c r="U441">
        <v>3755</v>
      </c>
      <c r="V441" t="s">
        <v>22</v>
      </c>
    </row>
    <row r="442" spans="1:22">
      <c r="A442" t="str">
        <f t="shared" si="140"/>
        <v>12/01/2026</v>
      </c>
      <c r="B442" t="str">
        <f>"SAÍDA"</f>
        <v>SAÍDA</v>
      </c>
      <c r="C442" t="str">
        <f t="shared" si="157"/>
        <v>BOLETO</v>
      </c>
      <c r="D442" t="str">
        <f>"1201"</f>
        <v>1201</v>
      </c>
      <c r="E442" t="str">
        <f>"26"</f>
        <v>26</v>
      </c>
      <c r="F442" t="str">
        <f t="shared" si="151"/>
        <v>COM</v>
      </c>
      <c r="G442" t="str">
        <f>"CORA SOCIEDADE DE CREDITO, FINANCIAMENTO E INVESTIMENTO (20035)"</f>
        <v>CORA SOCIEDADE DE CREDITO, FINANCIAMENTO E INVESTIMENTO (20035)</v>
      </c>
      <c r="H442" t="s">
        <v>143</v>
      </c>
      <c r="I442" t="str">
        <f t="shared" ref="I442:J444" si="158">("12/01/2026")</f>
        <v>12/01/2026</v>
      </c>
      <c r="J442" t="str">
        <f t="shared" si="158"/>
        <v>12/01/2026</v>
      </c>
      <c r="K442">
        <v>46034</v>
      </c>
      <c r="N442">
        <v>401</v>
      </c>
      <c r="O442" t="s">
        <v>58</v>
      </c>
      <c r="Q442">
        <v>3.4</v>
      </c>
      <c r="R442" t="str">
        <f>"CORA SOCIEDADE DE CREDITO, FINANCIAMENTO E INVESTIMENTO (20035)"</f>
        <v>CORA SOCIEDADE DE CREDITO, FINANCIAMENTO E INVESTIMENTO (20035)</v>
      </c>
      <c r="S442" t="s">
        <v>22</v>
      </c>
      <c r="T442">
        <v>4180</v>
      </c>
      <c r="U442">
        <v>3755</v>
      </c>
      <c r="V442" t="s">
        <v>22</v>
      </c>
    </row>
    <row r="443" spans="1:22">
      <c r="A443" t="str">
        <f t="shared" si="140"/>
        <v>12/01/2026</v>
      </c>
      <c r="B443" t="str">
        <f>"ENTRADA"</f>
        <v>ENTRADA</v>
      </c>
      <c r="C443" t="str">
        <f t="shared" si="157"/>
        <v>BOLETO</v>
      </c>
      <c r="D443" t="str">
        <f>"1201"</f>
        <v>1201</v>
      </c>
      <c r="E443" t="str">
        <f>"26"</f>
        <v>26</v>
      </c>
      <c r="F443" t="str">
        <f t="shared" si="151"/>
        <v>COM</v>
      </c>
      <c r="G443" t="str">
        <f>"CLEBER DE SOUZA RODRIGUES &amp; CIA LTDA (10283)"</f>
        <v>CLEBER DE SOUZA RODRIGUES &amp; CIA LTDA (10283)</v>
      </c>
      <c r="H443" t="str">
        <f>"PAGAMENTO SETUP"</f>
        <v>PAGAMENTO SETUP</v>
      </c>
      <c r="I443" t="str">
        <f t="shared" si="158"/>
        <v>12/01/2026</v>
      </c>
      <c r="J443" t="str">
        <f t="shared" si="158"/>
        <v>12/01/2026</v>
      </c>
      <c r="K443" t="str">
        <f>("12/01/2026")</f>
        <v>12/01/2026</v>
      </c>
      <c r="L443">
        <v>1500</v>
      </c>
      <c r="M443">
        <v>1500</v>
      </c>
      <c r="N443">
        <v>117</v>
      </c>
      <c r="O443" t="str">
        <f>"RECEITAS COM SETUP"</f>
        <v>RECEITAS COM SETUP</v>
      </c>
      <c r="P443">
        <v>1500</v>
      </c>
      <c r="S443" t="str">
        <f>"RECEITAS COM SETUP (117)"</f>
        <v>RECEITAS COM SETUP (117)</v>
      </c>
      <c r="T443">
        <v>4181</v>
      </c>
      <c r="U443">
        <v>3756</v>
      </c>
      <c r="V443" t="s">
        <v>22</v>
      </c>
    </row>
    <row r="444" spans="1:22">
      <c r="A444" t="str">
        <f t="shared" si="140"/>
        <v>12/01/2026</v>
      </c>
      <c r="B444" t="str">
        <f>"ENTRADA"</f>
        <v>ENTRADA</v>
      </c>
      <c r="C444" t="str">
        <f t="shared" si="157"/>
        <v>BOLETO</v>
      </c>
      <c r="D444" t="str">
        <f>"1201"</f>
        <v>1201</v>
      </c>
      <c r="E444" t="str">
        <f>"26"</f>
        <v>26</v>
      </c>
      <c r="F444" t="str">
        <f t="shared" si="151"/>
        <v>COM</v>
      </c>
      <c r="G444" t="str">
        <f>"CLEBER DE SOUZA RODRIGUES &amp; CIA LTDA (10283)"</f>
        <v>CLEBER DE SOUZA RODRIGUES &amp; CIA LTDA (10283)</v>
      </c>
      <c r="H444" t="s">
        <v>118</v>
      </c>
      <c r="I444" t="str">
        <f t="shared" si="158"/>
        <v>12/01/2026</v>
      </c>
      <c r="J444" t="str">
        <f t="shared" si="158"/>
        <v>12/01/2026</v>
      </c>
      <c r="K444">
        <v>46034</v>
      </c>
      <c r="N444">
        <v>117</v>
      </c>
      <c r="O444" t="s">
        <v>119</v>
      </c>
      <c r="Q444">
        <v>1500</v>
      </c>
      <c r="R444" t="str">
        <f>"CLEBER DE SOUZA RODRIGUES &amp; CIA LTDA (10283)"</f>
        <v>CLEBER DE SOUZA RODRIGUES &amp; CIA LTDA (10283)</v>
      </c>
      <c r="S444" t="s">
        <v>120</v>
      </c>
      <c r="T444">
        <v>4181</v>
      </c>
      <c r="U444">
        <v>3756</v>
      </c>
      <c r="V444" t="s">
        <v>22</v>
      </c>
    </row>
    <row r="445" spans="1:22">
      <c r="A445" t="str">
        <f t="shared" si="140"/>
        <v>12/01/2026</v>
      </c>
      <c r="B445" t="str">
        <f>"SAÍDA"</f>
        <v>SAÍDA</v>
      </c>
      <c r="C445" t="str">
        <f t="shared" si="157"/>
        <v>BOLETO</v>
      </c>
      <c r="D445" t="str">
        <f>"10775348"</f>
        <v>10775348</v>
      </c>
      <c r="E445" t="str">
        <f>""</f>
        <v/>
      </c>
      <c r="F445" t="str">
        <f t="shared" si="151"/>
        <v>COM</v>
      </c>
      <c r="G445" t="str">
        <f>"UNIODONTO REGIONAL COOPERATIVA ODONTOLOGICA LTDA. (20024)"</f>
        <v>UNIODONTO REGIONAL COOPERATIVA ODONTOLOGICA LTDA. (20024)</v>
      </c>
      <c r="H445" t="str">
        <f>"UNIODONTO REGIONAL "</f>
        <v xml:space="preserve">UNIODONTO REGIONAL </v>
      </c>
      <c r="I445" t="str">
        <f>("10/01/2026")</f>
        <v>10/01/2026</v>
      </c>
      <c r="J445" t="str">
        <f>("16/12/2025")</f>
        <v>16/12/2025</v>
      </c>
      <c r="K445" t="str">
        <f>("12/01/2026")</f>
        <v>12/01/2026</v>
      </c>
      <c r="L445">
        <v>1567.78</v>
      </c>
      <c r="M445">
        <v>1567.78</v>
      </c>
      <c r="N445">
        <v>192</v>
      </c>
      <c r="O445" t="str">
        <f>"PLANOS E SEGUROS"</f>
        <v>PLANOS E SEGUROS</v>
      </c>
      <c r="P445">
        <v>1567.78</v>
      </c>
      <c r="S445" t="str">
        <f>"CAIXA - COOPERATIVA (120)"</f>
        <v>CAIXA - COOPERATIVA (120)</v>
      </c>
      <c r="T445">
        <v>4386</v>
      </c>
      <c r="U445">
        <v>3088</v>
      </c>
      <c r="V445" t="s">
        <v>56</v>
      </c>
    </row>
    <row r="446" spans="1:22">
      <c r="A446" t="str">
        <f t="shared" si="140"/>
        <v>12/01/2026</v>
      </c>
      <c r="B446" t="str">
        <f>"SAÍDA"</f>
        <v>SAÍDA</v>
      </c>
      <c r="C446" t="str">
        <f t="shared" si="157"/>
        <v>BOLETO</v>
      </c>
      <c r="D446" t="str">
        <f>"0000013463"</f>
        <v>0000013463</v>
      </c>
      <c r="E446" t="str">
        <f>""</f>
        <v/>
      </c>
      <c r="F446" t="str">
        <f t="shared" si="151"/>
        <v>COM</v>
      </c>
      <c r="G446" t="str">
        <f>"SOLIDES TECNOLOGIA SA (20114)"</f>
        <v>SOLIDES TECNOLOGIA SA (20114)</v>
      </c>
      <c r="H446" t="str">
        <f>"PLATAFORMA DE RECRUTAMENTO"</f>
        <v>PLATAFORMA DE RECRUTAMENTO</v>
      </c>
      <c r="I446" t="str">
        <f>("12/01/2026")</f>
        <v>12/01/2026</v>
      </c>
      <c r="J446" t="str">
        <f>("08/01/2026")</f>
        <v>08/01/2026</v>
      </c>
      <c r="K446" t="str">
        <f>("12/01/2026")</f>
        <v>12/01/2026</v>
      </c>
      <c r="L446">
        <v>125</v>
      </c>
      <c r="M446">
        <v>125</v>
      </c>
      <c r="N446">
        <v>104</v>
      </c>
      <c r="O446" t="str">
        <f>"SOFTWARE / LICENÇAS"</f>
        <v>SOFTWARE / LICENÇAS</v>
      </c>
      <c r="P446">
        <v>125</v>
      </c>
      <c r="S446" t="str">
        <f>"CAIXA - COOPERATIVA (120)"</f>
        <v>CAIXA - COOPERATIVA (120)</v>
      </c>
      <c r="T446">
        <v>4387</v>
      </c>
      <c r="U446">
        <v>3305</v>
      </c>
      <c r="V446" t="s">
        <v>56</v>
      </c>
    </row>
    <row r="447" spans="1:22">
      <c r="A447" t="str">
        <f t="shared" si="140"/>
        <v>12/01/2026</v>
      </c>
      <c r="B447" t="str">
        <f>"SAÍDA"</f>
        <v>SAÍDA</v>
      </c>
      <c r="C447" t="str">
        <f t="shared" si="157"/>
        <v>BOLETO</v>
      </c>
      <c r="D447" t="str">
        <f>"0000013463"</f>
        <v>0000013463</v>
      </c>
      <c r="E447" t="str">
        <f>""</f>
        <v/>
      </c>
      <c r="F447" t="str">
        <f t="shared" si="151"/>
        <v>COM</v>
      </c>
      <c r="G447" t="str">
        <f>"SOLIDES TECNOLOGIA SA (20114)"</f>
        <v>SOLIDES TECNOLOGIA SA (20114)</v>
      </c>
      <c r="H447" t="s">
        <v>144</v>
      </c>
      <c r="I447" t="str">
        <f>("12/01/2026")</f>
        <v>12/01/2026</v>
      </c>
      <c r="J447" t="str">
        <f>("08/01/2026")</f>
        <v>08/01/2026</v>
      </c>
      <c r="K447">
        <v>46034</v>
      </c>
      <c r="N447">
        <v>104</v>
      </c>
      <c r="O447" t="s">
        <v>145</v>
      </c>
      <c r="Q447">
        <v>125</v>
      </c>
      <c r="R447" t="str">
        <f>"SOLIDES TECNOLOGIA SA (20114)"</f>
        <v>SOLIDES TECNOLOGIA SA (20114)</v>
      </c>
      <c r="S447" t="s">
        <v>56</v>
      </c>
      <c r="T447">
        <v>4387</v>
      </c>
      <c r="U447">
        <v>3305</v>
      </c>
      <c r="V447" t="s">
        <v>56</v>
      </c>
    </row>
    <row r="448" spans="1:22">
      <c r="A448" t="str">
        <f t="shared" si="140"/>
        <v>12/01/2026</v>
      </c>
      <c r="B448" t="str">
        <f>"SAÍDA"</f>
        <v>SAÍDA</v>
      </c>
      <c r="C448" t="str">
        <f t="shared" si="157"/>
        <v>BOLETO</v>
      </c>
      <c r="D448" t="str">
        <f>"27124815000139"</f>
        <v>27124815000139</v>
      </c>
      <c r="E448" t="str">
        <f>"1"</f>
        <v>1</v>
      </c>
      <c r="F448" t="str">
        <f t="shared" si="151"/>
        <v>COM</v>
      </c>
      <c r="G448" t="str">
        <f>"MONGERAL AEGON SEGUROS E PREVIDENCIA SA (20063)"</f>
        <v>MONGERAL AEGON SEGUROS E PREVIDENCIA SA (20063)</v>
      </c>
      <c r="H448" t="str">
        <f>"SEGURO DE VIDA SOCIOS"</f>
        <v>SEGURO DE VIDA SOCIOS</v>
      </c>
      <c r="I448" t="str">
        <f>("12/01/2026")</f>
        <v>12/01/2026</v>
      </c>
      <c r="J448" t="str">
        <f>("30/12/2025")</f>
        <v>30/12/2025</v>
      </c>
      <c r="K448" t="str">
        <f>("12/01/2026")</f>
        <v>12/01/2026</v>
      </c>
      <c r="L448">
        <v>248.96</v>
      </c>
      <c r="M448">
        <v>248.96</v>
      </c>
      <c r="N448">
        <v>192</v>
      </c>
      <c r="O448" t="str">
        <f>"PLANOS E SEGUROS"</f>
        <v>PLANOS E SEGUROS</v>
      </c>
      <c r="P448">
        <v>248.96</v>
      </c>
      <c r="S448" t="str">
        <f>"CAIXA - COOPERATIVA (120)"</f>
        <v>CAIXA - COOPERATIVA (120)</v>
      </c>
      <c r="T448">
        <v>4388</v>
      </c>
      <c r="U448">
        <v>3339</v>
      </c>
      <c r="V448" t="s">
        <v>56</v>
      </c>
    </row>
    <row r="449" spans="1:22">
      <c r="A449" t="str">
        <f>("13/01/2026")</f>
        <v>13/01/2026</v>
      </c>
      <c r="B449" t="str">
        <f>"SAÍDA"</f>
        <v>SAÍDA</v>
      </c>
      <c r="C449" t="str">
        <f>"JUROS"</f>
        <v>JUROS</v>
      </c>
      <c r="D449" t="str">
        <f>""</f>
        <v/>
      </c>
      <c r="F449" t="str">
        <f>"CXA"</f>
        <v>CXA</v>
      </c>
      <c r="G449" t="str">
        <f>""</f>
        <v/>
      </c>
      <c r="H449" t="str">
        <f>"TARIFA SERV.COBR.TITULOS"</f>
        <v>TARIFA SERV.COBR.TITULOS</v>
      </c>
      <c r="I449" t="str">
        <f>("13/01/2026")</f>
        <v>13/01/2026</v>
      </c>
      <c r="J449" t="str">
        <f>("13/01/2026")</f>
        <v>13/01/2026</v>
      </c>
      <c r="K449" t="str">
        <f>("13/01/2026")</f>
        <v>13/01/2026</v>
      </c>
      <c r="L449">
        <v>13.9</v>
      </c>
      <c r="M449">
        <v>13.9</v>
      </c>
      <c r="N449">
        <v>401</v>
      </c>
      <c r="O449" t="str">
        <f>"IOF/JUROS/DESP.FINANCEIRA"</f>
        <v>IOF/JUROS/DESP.FINANCEIRA</v>
      </c>
      <c r="P449">
        <v>13.9</v>
      </c>
      <c r="S449" t="str">
        <f>"BANCO SICREDI (131)"</f>
        <v>BANCO SICREDI (131)</v>
      </c>
      <c r="T449">
        <v>4133</v>
      </c>
      <c r="U449">
        <v>0</v>
      </c>
      <c r="V449" t="s">
        <v>54</v>
      </c>
    </row>
    <row r="450" spans="1:22">
      <c r="A450" t="str">
        <f>("13/01/2026")</f>
        <v>13/01/2026</v>
      </c>
      <c r="B450" t="str">
        <f>"ENTRADA"</f>
        <v>ENTRADA</v>
      </c>
      <c r="C450" t="str">
        <f>"NFSE"</f>
        <v>NFSE</v>
      </c>
      <c r="D450" t="str">
        <f>"21"</f>
        <v>21</v>
      </c>
      <c r="E450" t="str">
        <f>"1"</f>
        <v>1</v>
      </c>
      <c r="F450" t="str">
        <f t="shared" ref="F450:F491" si="159">"COM"</f>
        <v>COM</v>
      </c>
      <c r="G450" t="str">
        <f>"DROGARIA MEDIC CENTER LTDA (10172)"</f>
        <v>DROGARIA MEDIC CENTER LTDA (10172)</v>
      </c>
      <c r="H450" t="str">
        <f>"Serv.Prest. 29/12/2025 a 04/01/2026 - RPS: 1950 - NFSe: 21"</f>
        <v>Serv.Prest. 29/12/2025 a 04/01/2026 - RPS: 1950 - NFSe: 21</v>
      </c>
      <c r="I450" t="str">
        <f>("12/01/2026")</f>
        <v>12/01/2026</v>
      </c>
      <c r="J450" t="str">
        <f>("06/01/2026")</f>
        <v>06/01/2026</v>
      </c>
      <c r="K450" t="str">
        <f>("13/01/2026")</f>
        <v>13/01/2026</v>
      </c>
      <c r="L450">
        <v>144</v>
      </c>
      <c r="M450">
        <v>144</v>
      </c>
      <c r="N450">
        <v>303</v>
      </c>
      <c r="O450" t="str">
        <f>"RECEITAS COM ENTREGAS"</f>
        <v>RECEITAS COM ENTREGAS</v>
      </c>
      <c r="P450">
        <v>144</v>
      </c>
      <c r="S450" t="str">
        <f>"RECEITAS COM ENTREGAS (303)"</f>
        <v>RECEITAS COM ENTREGAS (303)</v>
      </c>
      <c r="T450">
        <v>4150</v>
      </c>
      <c r="U450">
        <v>3260</v>
      </c>
      <c r="V450" t="s">
        <v>88</v>
      </c>
    </row>
    <row r="451" spans="1:22">
      <c r="A451" t="str">
        <f>("13/01/2026")</f>
        <v>13/01/2026</v>
      </c>
      <c r="B451" t="str">
        <f>"ENTRADA"</f>
        <v>ENTRADA</v>
      </c>
      <c r="C451" t="str">
        <f>"NFSE"</f>
        <v>NFSE</v>
      </c>
      <c r="D451" t="str">
        <f>"21"</f>
        <v>21</v>
      </c>
      <c r="E451" t="str">
        <f>"1"</f>
        <v>1</v>
      </c>
      <c r="F451" t="str">
        <f t="shared" si="159"/>
        <v>COM</v>
      </c>
      <c r="G451" t="str">
        <f>"DROGARIA MEDIC CENTER LTDA (10172)"</f>
        <v>DROGARIA MEDIC CENTER LTDA (10172)</v>
      </c>
      <c r="H451" t="s">
        <v>146</v>
      </c>
      <c r="I451" t="str">
        <f>("12/01/2026")</f>
        <v>12/01/2026</v>
      </c>
      <c r="J451" t="str">
        <f>("06/01/2026")</f>
        <v>06/01/2026</v>
      </c>
      <c r="K451">
        <v>46035</v>
      </c>
      <c r="N451">
        <v>303</v>
      </c>
      <c r="O451" t="s">
        <v>26</v>
      </c>
      <c r="Q451">
        <v>144</v>
      </c>
      <c r="R451" t="str">
        <f>"DROGARIA MEDIC CENTER LTDA (10172)"</f>
        <v>DROGARIA MEDIC CENTER LTDA (10172)</v>
      </c>
      <c r="S451" t="s">
        <v>27</v>
      </c>
      <c r="T451">
        <v>4150</v>
      </c>
      <c r="U451">
        <v>3260</v>
      </c>
      <c r="V451" t="s">
        <v>88</v>
      </c>
    </row>
    <row r="452" spans="1:22">
      <c r="A452" t="str">
        <f t="shared" ref="A452:A492" si="160">("14/01/2026")</f>
        <v>14/01/2026</v>
      </c>
      <c r="B452" t="str">
        <f>"SAÍDA"</f>
        <v>SAÍDA</v>
      </c>
      <c r="C452" t="str">
        <f>"PIX"</f>
        <v>PIX</v>
      </c>
      <c r="D452" t="str">
        <f>"1509251000"</f>
        <v>1509251000</v>
      </c>
      <c r="E452" t="str">
        <f>"5"</f>
        <v>5</v>
      </c>
      <c r="F452" t="str">
        <f t="shared" si="159"/>
        <v>COM</v>
      </c>
      <c r="G452" t="str">
        <f>"CONTA SIMPLES SOLUCOES DE PAGAMENTOS LTDA (20019)"</f>
        <v>CONTA SIMPLES SOLUCOES DE PAGAMENTOS LTDA (20019)</v>
      </c>
      <c r="H452" t="str">
        <f>"MARKETING REDES SOCIAIS - PIX- CHAVE ALEATORIA: 1d5b84cc-db31-469d-b8ee-076ced54c3e9"</f>
        <v>MARKETING REDES SOCIAIS - PIX- CHAVE ALEATORIA: 1d5b84cc-db31-469d-b8ee-076ced54c3e9</v>
      </c>
      <c r="I452" t="str">
        <f>("14/01/2026")</f>
        <v>14/01/2026</v>
      </c>
      <c r="J452" t="str">
        <f>("14/01/2026")</f>
        <v>14/01/2026</v>
      </c>
      <c r="K452" t="str">
        <f>("14/01/2026")</f>
        <v>14/01/2026</v>
      </c>
      <c r="L452">
        <v>1500</v>
      </c>
      <c r="M452">
        <v>1500</v>
      </c>
      <c r="N452">
        <v>127</v>
      </c>
      <c r="O452" t="str">
        <f>"PUBLICIDADE E PROPAGANDAS"</f>
        <v>PUBLICIDADE E PROPAGANDAS</v>
      </c>
      <c r="P452">
        <v>1500</v>
      </c>
      <c r="S452" t="str">
        <f>"BANCO CORA (102)"</f>
        <v>BANCO CORA (102)</v>
      </c>
      <c r="T452">
        <v>3924</v>
      </c>
      <c r="U452">
        <v>3196</v>
      </c>
      <c r="V452" t="s">
        <v>22</v>
      </c>
    </row>
    <row r="453" spans="1:22">
      <c r="A453" t="str">
        <f t="shared" si="160"/>
        <v>14/01/2026</v>
      </c>
      <c r="B453" t="str">
        <f>"SAÍDA"</f>
        <v>SAÍDA</v>
      </c>
      <c r="C453" t="str">
        <f>"PIX"</f>
        <v>PIX</v>
      </c>
      <c r="D453" t="str">
        <f>"1509251000"</f>
        <v>1509251000</v>
      </c>
      <c r="E453" t="str">
        <f>"5"</f>
        <v>5</v>
      </c>
      <c r="F453" t="str">
        <f t="shared" si="159"/>
        <v>COM</v>
      </c>
      <c r="G453" t="str">
        <f>"CONTA SIMPLES SOLUCOES DE PAGAMENTOS LTDA (20019)"</f>
        <v>CONTA SIMPLES SOLUCOES DE PAGAMENTOS LTDA (20019)</v>
      </c>
      <c r="H453" t="s">
        <v>83</v>
      </c>
      <c r="I453" t="str">
        <f>("14/01/2026")</f>
        <v>14/01/2026</v>
      </c>
      <c r="J453" t="str">
        <f>("14/01/2026")</f>
        <v>14/01/2026</v>
      </c>
      <c r="K453">
        <v>46036</v>
      </c>
      <c r="N453">
        <v>127</v>
      </c>
      <c r="O453" t="s">
        <v>84</v>
      </c>
      <c r="Q453">
        <v>1500</v>
      </c>
      <c r="R453" t="str">
        <f>"CONTA SIMPLES SOLUCOES DE PAGAMENTOS LTDA (20019)"</f>
        <v>CONTA SIMPLES SOLUCOES DE PAGAMENTOS LTDA (20019)</v>
      </c>
      <c r="S453" t="s">
        <v>22</v>
      </c>
      <c r="T453">
        <v>3924</v>
      </c>
      <c r="U453">
        <v>3196</v>
      </c>
      <c r="V453" t="s">
        <v>22</v>
      </c>
    </row>
    <row r="454" spans="1:22">
      <c r="A454" t="str">
        <f t="shared" si="160"/>
        <v>14/01/2026</v>
      </c>
      <c r="B454" t="str">
        <f t="shared" ref="B454:B491" si="161">"ENTRADA"</f>
        <v>ENTRADA</v>
      </c>
      <c r="C454" t="str">
        <f t="shared" ref="C454:C491" si="162">"NFSE"</f>
        <v>NFSE</v>
      </c>
      <c r="D454" t="str">
        <f>"56"</f>
        <v>56</v>
      </c>
      <c r="E454" t="str">
        <f t="shared" ref="E454:E491" si="163">"1"</f>
        <v>1</v>
      </c>
      <c r="F454" t="str">
        <f t="shared" si="159"/>
        <v>COM</v>
      </c>
      <c r="G454" t="str">
        <f>"DROGARIA MEDIC CENTER LTDA (10172)"</f>
        <v>DROGARIA MEDIC CENTER LTDA (10172)</v>
      </c>
      <c r="H454" t="str">
        <f>"Serv.Prest. 05/01/2026 a 11/01/2026 - RPS: 1982 - NFSe: 56"</f>
        <v>Serv.Prest. 05/01/2026 a 11/01/2026 - RPS: 1982 - NFSe: 56</v>
      </c>
      <c r="I454" t="str">
        <f t="shared" ref="I454:I485" si="164">("14/01/2026")</f>
        <v>14/01/2026</v>
      </c>
      <c r="J454" t="str">
        <f>("12/01/2026")</f>
        <v>12/01/2026</v>
      </c>
      <c r="K454" t="str">
        <f>("14/01/2026")</f>
        <v>14/01/2026</v>
      </c>
      <c r="L454">
        <v>171.9</v>
      </c>
      <c r="M454">
        <v>171.9</v>
      </c>
      <c r="N454">
        <v>303</v>
      </c>
      <c r="O454" t="str">
        <f>"RECEITAS COM ENTREGAS"</f>
        <v>RECEITAS COM ENTREGAS</v>
      </c>
      <c r="P454">
        <v>171.9</v>
      </c>
      <c r="S454" t="str">
        <f>"RECEITAS COM ENTREGAS (303)"</f>
        <v>RECEITAS COM ENTREGAS (303)</v>
      </c>
      <c r="T454">
        <v>4015</v>
      </c>
      <c r="U454">
        <v>3323</v>
      </c>
      <c r="V454" t="s">
        <v>88</v>
      </c>
    </row>
    <row r="455" spans="1:22">
      <c r="A455" t="str">
        <f t="shared" si="160"/>
        <v>14/01/2026</v>
      </c>
      <c r="B455" t="str">
        <f t="shared" si="161"/>
        <v>ENTRADA</v>
      </c>
      <c r="C455" t="str">
        <f t="shared" si="162"/>
        <v>NFSE</v>
      </c>
      <c r="D455" t="str">
        <f>"56"</f>
        <v>56</v>
      </c>
      <c r="E455" t="str">
        <f t="shared" si="163"/>
        <v>1</v>
      </c>
      <c r="F455" t="str">
        <f t="shared" si="159"/>
        <v>COM</v>
      </c>
      <c r="G455" t="str">
        <f>"DROGARIA MEDIC CENTER LTDA (10172)"</f>
        <v>DROGARIA MEDIC CENTER LTDA (10172)</v>
      </c>
      <c r="H455" t="s">
        <v>147</v>
      </c>
      <c r="I455" t="str">
        <f t="shared" si="164"/>
        <v>14/01/2026</v>
      </c>
      <c r="J455" t="str">
        <f>("12/01/2026")</f>
        <v>12/01/2026</v>
      </c>
      <c r="K455">
        <v>46036</v>
      </c>
      <c r="N455">
        <v>303</v>
      </c>
      <c r="O455" t="s">
        <v>26</v>
      </c>
      <c r="Q455">
        <v>171.9</v>
      </c>
      <c r="R455" t="str">
        <f>"DROGARIA MEDIC CENTER LTDA (10172)"</f>
        <v>DROGARIA MEDIC CENTER LTDA (10172)</v>
      </c>
      <c r="S455" t="s">
        <v>27</v>
      </c>
      <c r="T455">
        <v>4015</v>
      </c>
      <c r="U455">
        <v>3323</v>
      </c>
      <c r="V455" t="s">
        <v>88</v>
      </c>
    </row>
    <row r="456" spans="1:22">
      <c r="A456" t="str">
        <f t="shared" si="160"/>
        <v>14/01/2026</v>
      </c>
      <c r="B456" t="str">
        <f t="shared" si="161"/>
        <v>ENTRADA</v>
      </c>
      <c r="C456" t="str">
        <f t="shared" si="162"/>
        <v>NFSE</v>
      </c>
      <c r="D456" t="str">
        <f>"58"</f>
        <v>58</v>
      </c>
      <c r="E456" t="str">
        <f t="shared" si="163"/>
        <v>1</v>
      </c>
      <c r="F456" t="str">
        <f t="shared" si="159"/>
        <v>COM</v>
      </c>
      <c r="G456" t="str">
        <f>"DROGARIA MORENO LTDA (10171)"</f>
        <v>DROGARIA MORENO LTDA (10171)</v>
      </c>
      <c r="H456" t="str">
        <f>"Serv.Prest. 05/01/2026 a 11/01/2026 - RPS: 1984 - NFSe: 58"</f>
        <v>Serv.Prest. 05/01/2026 a 11/01/2026 - RPS: 1984 - NFSe: 58</v>
      </c>
      <c r="I456" t="str">
        <f t="shared" si="164"/>
        <v>14/01/2026</v>
      </c>
      <c r="J456" t="str">
        <f>("12/01/2026")</f>
        <v>12/01/2026</v>
      </c>
      <c r="K456" t="str">
        <f>("14/01/2026")</f>
        <v>14/01/2026</v>
      </c>
      <c r="L456">
        <v>371.7</v>
      </c>
      <c r="M456">
        <v>371.7</v>
      </c>
      <c r="N456">
        <v>303</v>
      </c>
      <c r="O456" t="str">
        <f>"RECEITAS COM ENTREGAS"</f>
        <v>RECEITAS COM ENTREGAS</v>
      </c>
      <c r="P456">
        <v>371.7</v>
      </c>
      <c r="S456" t="str">
        <f>"RECEITAS COM ENTREGAS (303)"</f>
        <v>RECEITAS COM ENTREGAS (303)</v>
      </c>
      <c r="T456">
        <v>4016</v>
      </c>
      <c r="U456">
        <v>3325</v>
      </c>
      <c r="V456" t="s">
        <v>88</v>
      </c>
    </row>
    <row r="457" spans="1:22">
      <c r="A457" t="str">
        <f t="shared" si="160"/>
        <v>14/01/2026</v>
      </c>
      <c r="B457" t="str">
        <f t="shared" si="161"/>
        <v>ENTRADA</v>
      </c>
      <c r="C457" t="str">
        <f t="shared" si="162"/>
        <v>NFSE</v>
      </c>
      <c r="D457" t="str">
        <f>"58"</f>
        <v>58</v>
      </c>
      <c r="E457" t="str">
        <f t="shared" si="163"/>
        <v>1</v>
      </c>
      <c r="F457" t="str">
        <f t="shared" si="159"/>
        <v>COM</v>
      </c>
      <c r="G457" t="str">
        <f>"DROGARIA MORENO LTDA (10171)"</f>
        <v>DROGARIA MORENO LTDA (10171)</v>
      </c>
      <c r="H457" t="s">
        <v>148</v>
      </c>
      <c r="I457" t="str">
        <f t="shared" si="164"/>
        <v>14/01/2026</v>
      </c>
      <c r="J457" t="str">
        <f>("12/01/2026")</f>
        <v>12/01/2026</v>
      </c>
      <c r="K457">
        <v>46036</v>
      </c>
      <c r="N457">
        <v>303</v>
      </c>
      <c r="O457" t="s">
        <v>26</v>
      </c>
      <c r="Q457">
        <v>371.7</v>
      </c>
      <c r="R457" t="str">
        <f>"DROGARIA MORENO LTDA (10171)"</f>
        <v>DROGARIA MORENO LTDA (10171)</v>
      </c>
      <c r="S457" t="s">
        <v>27</v>
      </c>
      <c r="T457">
        <v>4016</v>
      </c>
      <c r="U457">
        <v>3325</v>
      </c>
      <c r="V457" t="s">
        <v>88</v>
      </c>
    </row>
    <row r="458" spans="1:22">
      <c r="A458" t="str">
        <f t="shared" si="160"/>
        <v>14/01/2026</v>
      </c>
      <c r="B458" t="str">
        <f t="shared" si="161"/>
        <v>ENTRADA</v>
      </c>
      <c r="C458" t="str">
        <f t="shared" si="162"/>
        <v>NFSE</v>
      </c>
      <c r="D458" t="str">
        <f t="shared" ref="D458:D474" si="165">"35"</f>
        <v>35</v>
      </c>
      <c r="E458" t="str">
        <f t="shared" si="163"/>
        <v>1</v>
      </c>
      <c r="F458" t="str">
        <f t="shared" si="159"/>
        <v>COM</v>
      </c>
      <c r="G458" t="str">
        <f t="shared" ref="G458:G474" si="166">"FARMÁCIA INDIANA LJ 30 (10127)"</f>
        <v>FARMÁCIA INDIANA LJ 30 (10127)</v>
      </c>
      <c r="H458" t="str">
        <f>"Serv.Prest. 26/12/2025 a 04/01/2026 - RPS: 1964 - NFSe: 35"</f>
        <v>Serv.Prest. 26/12/2025 a 04/01/2026 - RPS: 1964 - NFSe: 35</v>
      </c>
      <c r="I458" t="str">
        <f t="shared" si="164"/>
        <v>14/01/2026</v>
      </c>
      <c r="J458" t="str">
        <f t="shared" ref="J458:J485" si="167">("06/01/2026")</f>
        <v>06/01/2026</v>
      </c>
      <c r="K458" t="str">
        <f>("14/01/2026")</f>
        <v>14/01/2026</v>
      </c>
      <c r="L458">
        <v>3741.83</v>
      </c>
      <c r="M458">
        <v>3741.83</v>
      </c>
      <c r="N458">
        <v>303</v>
      </c>
      <c r="O458" t="str">
        <f>"RECEITAS COM ENTREGAS"</f>
        <v>RECEITAS COM ENTREGAS</v>
      </c>
      <c r="P458">
        <v>3741.83</v>
      </c>
      <c r="S458" t="str">
        <f>"RECEITAS COM ENTREGAS (303)"</f>
        <v>RECEITAS COM ENTREGAS (303)</v>
      </c>
      <c r="T458">
        <v>4114</v>
      </c>
      <c r="U458">
        <v>3274</v>
      </c>
      <c r="V458" t="s">
        <v>22</v>
      </c>
    </row>
    <row r="459" spans="1:22">
      <c r="A459" t="str">
        <f t="shared" si="160"/>
        <v>14/01/2026</v>
      </c>
      <c r="B459" t="str">
        <f t="shared" si="161"/>
        <v>ENTRADA</v>
      </c>
      <c r="C459" t="str">
        <f t="shared" si="162"/>
        <v>NFSE</v>
      </c>
      <c r="D459" t="str">
        <f t="shared" si="165"/>
        <v>35</v>
      </c>
      <c r="E459" t="str">
        <f t="shared" si="163"/>
        <v>1</v>
      </c>
      <c r="F459" t="str">
        <f t="shared" si="159"/>
        <v>COM</v>
      </c>
      <c r="G459" t="str">
        <f t="shared" si="166"/>
        <v>FARMÁCIA INDIANA LJ 30 (10127)</v>
      </c>
      <c r="H459" t="s">
        <v>149</v>
      </c>
      <c r="I459" t="str">
        <f t="shared" si="164"/>
        <v>14/01/2026</v>
      </c>
      <c r="J459" t="str">
        <f t="shared" si="167"/>
        <v>06/01/2026</v>
      </c>
      <c r="K459">
        <v>46036</v>
      </c>
      <c r="N459">
        <v>303</v>
      </c>
      <c r="O459" t="s">
        <v>26</v>
      </c>
      <c r="Q459">
        <v>391.38</v>
      </c>
      <c r="R459" t="str">
        <f>"FARMÁCIA INDIANA LJ 34 (10014)"</f>
        <v>FARMÁCIA INDIANA LJ 34 (10014)</v>
      </c>
      <c r="S459" t="s">
        <v>27</v>
      </c>
      <c r="T459">
        <v>4114</v>
      </c>
      <c r="U459">
        <v>3274</v>
      </c>
      <c r="V459" t="s">
        <v>22</v>
      </c>
    </row>
    <row r="460" spans="1:22">
      <c r="A460" t="str">
        <f t="shared" si="160"/>
        <v>14/01/2026</v>
      </c>
      <c r="B460" t="str">
        <f t="shared" si="161"/>
        <v>ENTRADA</v>
      </c>
      <c r="C460" t="str">
        <f t="shared" si="162"/>
        <v>NFSE</v>
      </c>
      <c r="D460" t="str">
        <f t="shared" si="165"/>
        <v>35</v>
      </c>
      <c r="E460" t="str">
        <f t="shared" si="163"/>
        <v>1</v>
      </c>
      <c r="F460" t="str">
        <f t="shared" si="159"/>
        <v>COM</v>
      </c>
      <c r="G460" t="str">
        <f t="shared" si="166"/>
        <v>FARMÁCIA INDIANA LJ 30 (10127)</v>
      </c>
      <c r="H460" t="s">
        <v>149</v>
      </c>
      <c r="I460" t="str">
        <f t="shared" si="164"/>
        <v>14/01/2026</v>
      </c>
      <c r="J460" t="str">
        <f t="shared" si="167"/>
        <v>06/01/2026</v>
      </c>
      <c r="K460">
        <v>46036</v>
      </c>
      <c r="N460">
        <v>303</v>
      </c>
      <c r="O460" t="s">
        <v>26</v>
      </c>
      <c r="Q460">
        <v>168.01</v>
      </c>
      <c r="R460" t="str">
        <f>"FARMÁCIA INDIANA LJ 35 (10015)"</f>
        <v>FARMÁCIA INDIANA LJ 35 (10015)</v>
      </c>
      <c r="S460" t="s">
        <v>27</v>
      </c>
      <c r="T460">
        <v>4114</v>
      </c>
      <c r="U460">
        <v>3274</v>
      </c>
      <c r="V460" t="s">
        <v>22</v>
      </c>
    </row>
    <row r="461" spans="1:22">
      <c r="A461" t="str">
        <f t="shared" si="160"/>
        <v>14/01/2026</v>
      </c>
      <c r="B461" t="str">
        <f t="shared" si="161"/>
        <v>ENTRADA</v>
      </c>
      <c r="C461" t="str">
        <f t="shared" si="162"/>
        <v>NFSE</v>
      </c>
      <c r="D461" t="str">
        <f t="shared" si="165"/>
        <v>35</v>
      </c>
      <c r="E461" t="str">
        <f t="shared" si="163"/>
        <v>1</v>
      </c>
      <c r="F461" t="str">
        <f t="shared" si="159"/>
        <v>COM</v>
      </c>
      <c r="G461" t="str">
        <f t="shared" si="166"/>
        <v>FARMÁCIA INDIANA LJ 30 (10127)</v>
      </c>
      <c r="H461" t="s">
        <v>149</v>
      </c>
      <c r="I461" t="str">
        <f t="shared" si="164"/>
        <v>14/01/2026</v>
      </c>
      <c r="J461" t="str">
        <f t="shared" si="167"/>
        <v>06/01/2026</v>
      </c>
      <c r="K461">
        <v>46036</v>
      </c>
      <c r="N461">
        <v>303</v>
      </c>
      <c r="O461" t="s">
        <v>26</v>
      </c>
      <c r="Q461">
        <v>296.35000000000002</v>
      </c>
      <c r="R461" t="str">
        <f>"FARMÁCIA INDIANA LJ 48 (10018)"</f>
        <v>FARMÁCIA INDIANA LJ 48 (10018)</v>
      </c>
      <c r="S461" t="s">
        <v>27</v>
      </c>
      <c r="T461">
        <v>4114</v>
      </c>
      <c r="U461">
        <v>3274</v>
      </c>
      <c r="V461" t="s">
        <v>22</v>
      </c>
    </row>
    <row r="462" spans="1:22">
      <c r="A462" t="str">
        <f t="shared" si="160"/>
        <v>14/01/2026</v>
      </c>
      <c r="B462" t="str">
        <f t="shared" si="161"/>
        <v>ENTRADA</v>
      </c>
      <c r="C462" t="str">
        <f t="shared" si="162"/>
        <v>NFSE</v>
      </c>
      <c r="D462" t="str">
        <f t="shared" si="165"/>
        <v>35</v>
      </c>
      <c r="E462" t="str">
        <f t="shared" si="163"/>
        <v>1</v>
      </c>
      <c r="F462" t="str">
        <f t="shared" si="159"/>
        <v>COM</v>
      </c>
      <c r="G462" t="str">
        <f t="shared" si="166"/>
        <v>FARMÁCIA INDIANA LJ 30 (10127)</v>
      </c>
      <c r="H462" t="s">
        <v>149</v>
      </c>
      <c r="I462" t="str">
        <f t="shared" si="164"/>
        <v>14/01/2026</v>
      </c>
      <c r="J462" t="str">
        <f t="shared" si="167"/>
        <v>06/01/2026</v>
      </c>
      <c r="K462">
        <v>46036</v>
      </c>
      <c r="N462">
        <v>303</v>
      </c>
      <c r="O462" t="s">
        <v>26</v>
      </c>
      <c r="Q462">
        <v>348.74</v>
      </c>
      <c r="R462" t="str">
        <f>"FARMÁCIA INDIANA LJ 65 (10030)"</f>
        <v>FARMÁCIA INDIANA LJ 65 (10030)</v>
      </c>
      <c r="S462" t="s">
        <v>27</v>
      </c>
      <c r="T462">
        <v>4114</v>
      </c>
      <c r="U462">
        <v>3274</v>
      </c>
      <c r="V462" t="s">
        <v>22</v>
      </c>
    </row>
    <row r="463" spans="1:22">
      <c r="A463" t="str">
        <f t="shared" si="160"/>
        <v>14/01/2026</v>
      </c>
      <c r="B463" t="str">
        <f t="shared" si="161"/>
        <v>ENTRADA</v>
      </c>
      <c r="C463" t="str">
        <f t="shared" si="162"/>
        <v>NFSE</v>
      </c>
      <c r="D463" t="str">
        <f t="shared" si="165"/>
        <v>35</v>
      </c>
      <c r="E463" t="str">
        <f t="shared" si="163"/>
        <v>1</v>
      </c>
      <c r="F463" t="str">
        <f t="shared" si="159"/>
        <v>COM</v>
      </c>
      <c r="G463" t="str">
        <f t="shared" si="166"/>
        <v>FARMÁCIA INDIANA LJ 30 (10127)</v>
      </c>
      <c r="H463" t="s">
        <v>149</v>
      </c>
      <c r="I463" t="str">
        <f t="shared" si="164"/>
        <v>14/01/2026</v>
      </c>
      <c r="J463" t="str">
        <f t="shared" si="167"/>
        <v>06/01/2026</v>
      </c>
      <c r="K463">
        <v>46036</v>
      </c>
      <c r="N463">
        <v>303</v>
      </c>
      <c r="O463" t="s">
        <v>26</v>
      </c>
      <c r="Q463">
        <v>85.69</v>
      </c>
      <c r="R463" t="str">
        <f>"FARMÁCIA INDIANA LJ 77 (10034)"</f>
        <v>FARMÁCIA INDIANA LJ 77 (10034)</v>
      </c>
      <c r="S463" t="s">
        <v>27</v>
      </c>
      <c r="T463">
        <v>4114</v>
      </c>
      <c r="U463">
        <v>3274</v>
      </c>
      <c r="V463" t="s">
        <v>22</v>
      </c>
    </row>
    <row r="464" spans="1:22">
      <c r="A464" t="str">
        <f t="shared" si="160"/>
        <v>14/01/2026</v>
      </c>
      <c r="B464" t="str">
        <f t="shared" si="161"/>
        <v>ENTRADA</v>
      </c>
      <c r="C464" t="str">
        <f t="shared" si="162"/>
        <v>NFSE</v>
      </c>
      <c r="D464" t="str">
        <f t="shared" si="165"/>
        <v>35</v>
      </c>
      <c r="E464" t="str">
        <f t="shared" si="163"/>
        <v>1</v>
      </c>
      <c r="F464" t="str">
        <f t="shared" si="159"/>
        <v>COM</v>
      </c>
      <c r="G464" t="str">
        <f t="shared" si="166"/>
        <v>FARMÁCIA INDIANA LJ 30 (10127)</v>
      </c>
      <c r="H464" t="s">
        <v>149</v>
      </c>
      <c r="I464" t="str">
        <f t="shared" si="164"/>
        <v>14/01/2026</v>
      </c>
      <c r="J464" t="str">
        <f t="shared" si="167"/>
        <v>06/01/2026</v>
      </c>
      <c r="K464">
        <v>46036</v>
      </c>
      <c r="N464">
        <v>303</v>
      </c>
      <c r="O464" t="s">
        <v>26</v>
      </c>
      <c r="Q464">
        <v>796.64</v>
      </c>
      <c r="R464" t="str">
        <f>"FARMÁCIA INDIANA LJ 91 (10037)"</f>
        <v>FARMÁCIA INDIANA LJ 91 (10037)</v>
      </c>
      <c r="S464" t="s">
        <v>27</v>
      </c>
      <c r="T464">
        <v>4114</v>
      </c>
      <c r="U464">
        <v>3274</v>
      </c>
      <c r="V464" t="s">
        <v>22</v>
      </c>
    </row>
    <row r="465" spans="1:22">
      <c r="A465" t="str">
        <f t="shared" si="160"/>
        <v>14/01/2026</v>
      </c>
      <c r="B465" t="str">
        <f t="shared" si="161"/>
        <v>ENTRADA</v>
      </c>
      <c r="C465" t="str">
        <f t="shared" si="162"/>
        <v>NFSE</v>
      </c>
      <c r="D465" t="str">
        <f t="shared" si="165"/>
        <v>35</v>
      </c>
      <c r="E465" t="str">
        <f t="shared" si="163"/>
        <v>1</v>
      </c>
      <c r="F465" t="str">
        <f t="shared" si="159"/>
        <v>COM</v>
      </c>
      <c r="G465" t="str">
        <f t="shared" si="166"/>
        <v>FARMÁCIA INDIANA LJ 30 (10127)</v>
      </c>
      <c r="H465" t="s">
        <v>149</v>
      </c>
      <c r="I465" t="str">
        <f t="shared" si="164"/>
        <v>14/01/2026</v>
      </c>
      <c r="J465" t="str">
        <f t="shared" si="167"/>
        <v>06/01/2026</v>
      </c>
      <c r="K465">
        <v>46036</v>
      </c>
      <c r="N465">
        <v>303</v>
      </c>
      <c r="O465" t="s">
        <v>26</v>
      </c>
      <c r="Q465">
        <v>334.15</v>
      </c>
      <c r="R465" t="str">
        <f>"FARMÁCIA INDIANA LJ 95 (10039)"</f>
        <v>FARMÁCIA INDIANA LJ 95 (10039)</v>
      </c>
      <c r="S465" t="s">
        <v>27</v>
      </c>
      <c r="T465">
        <v>4114</v>
      </c>
      <c r="U465">
        <v>3274</v>
      </c>
      <c r="V465" t="s">
        <v>22</v>
      </c>
    </row>
    <row r="466" spans="1:22">
      <c r="A466" t="str">
        <f t="shared" si="160"/>
        <v>14/01/2026</v>
      </c>
      <c r="B466" t="str">
        <f t="shared" si="161"/>
        <v>ENTRADA</v>
      </c>
      <c r="C466" t="str">
        <f t="shared" si="162"/>
        <v>NFSE</v>
      </c>
      <c r="D466" t="str">
        <f t="shared" si="165"/>
        <v>35</v>
      </c>
      <c r="E466" t="str">
        <f t="shared" si="163"/>
        <v>1</v>
      </c>
      <c r="F466" t="str">
        <f t="shared" si="159"/>
        <v>COM</v>
      </c>
      <c r="G466" t="str">
        <f t="shared" si="166"/>
        <v>FARMÁCIA INDIANA LJ 30 (10127)</v>
      </c>
      <c r="H466" t="s">
        <v>149</v>
      </c>
      <c r="I466" t="str">
        <f t="shared" si="164"/>
        <v>14/01/2026</v>
      </c>
      <c r="J466" t="str">
        <f t="shared" si="167"/>
        <v>06/01/2026</v>
      </c>
      <c r="K466">
        <v>46036</v>
      </c>
      <c r="N466">
        <v>303</v>
      </c>
      <c r="O466" t="s">
        <v>26</v>
      </c>
      <c r="Q466">
        <v>146.31</v>
      </c>
      <c r="R466" t="str">
        <f>"FARMÁCIA INDIANA LJ 145 (10068)"</f>
        <v>FARMÁCIA INDIANA LJ 145 (10068)</v>
      </c>
      <c r="S466" t="s">
        <v>27</v>
      </c>
      <c r="T466">
        <v>4114</v>
      </c>
      <c r="U466">
        <v>3274</v>
      </c>
      <c r="V466" t="s">
        <v>22</v>
      </c>
    </row>
    <row r="467" spans="1:22">
      <c r="A467" t="str">
        <f t="shared" si="160"/>
        <v>14/01/2026</v>
      </c>
      <c r="B467" t="str">
        <f t="shared" si="161"/>
        <v>ENTRADA</v>
      </c>
      <c r="C467" t="str">
        <f t="shared" si="162"/>
        <v>NFSE</v>
      </c>
      <c r="D467" t="str">
        <f t="shared" si="165"/>
        <v>35</v>
      </c>
      <c r="E467" t="str">
        <f t="shared" si="163"/>
        <v>1</v>
      </c>
      <c r="F467" t="str">
        <f t="shared" si="159"/>
        <v>COM</v>
      </c>
      <c r="G467" t="str">
        <f t="shared" si="166"/>
        <v>FARMÁCIA INDIANA LJ 30 (10127)</v>
      </c>
      <c r="H467" t="s">
        <v>149</v>
      </c>
      <c r="I467" t="str">
        <f t="shared" si="164"/>
        <v>14/01/2026</v>
      </c>
      <c r="J467" t="str">
        <f t="shared" si="167"/>
        <v>06/01/2026</v>
      </c>
      <c r="K467">
        <v>46036</v>
      </c>
      <c r="N467">
        <v>303</v>
      </c>
      <c r="O467" t="s">
        <v>26</v>
      </c>
      <c r="Q467">
        <v>142.56</v>
      </c>
      <c r="R467" t="str">
        <f>"FARMÁCIA INDIANA LJ 169 (10073)"</f>
        <v>FARMÁCIA INDIANA LJ 169 (10073)</v>
      </c>
      <c r="S467" t="s">
        <v>27</v>
      </c>
      <c r="T467">
        <v>4114</v>
      </c>
      <c r="U467">
        <v>3274</v>
      </c>
      <c r="V467" t="s">
        <v>22</v>
      </c>
    </row>
    <row r="468" spans="1:22">
      <c r="A468" t="str">
        <f t="shared" si="160"/>
        <v>14/01/2026</v>
      </c>
      <c r="B468" t="str">
        <f t="shared" si="161"/>
        <v>ENTRADA</v>
      </c>
      <c r="C468" t="str">
        <f t="shared" si="162"/>
        <v>NFSE</v>
      </c>
      <c r="D468" t="str">
        <f t="shared" si="165"/>
        <v>35</v>
      </c>
      <c r="E468" t="str">
        <f t="shared" si="163"/>
        <v>1</v>
      </c>
      <c r="F468" t="str">
        <f t="shared" si="159"/>
        <v>COM</v>
      </c>
      <c r="G468" t="str">
        <f t="shared" si="166"/>
        <v>FARMÁCIA INDIANA LJ 30 (10127)</v>
      </c>
      <c r="H468" t="s">
        <v>149</v>
      </c>
      <c r="I468" t="str">
        <f t="shared" si="164"/>
        <v>14/01/2026</v>
      </c>
      <c r="J468" t="str">
        <f t="shared" si="167"/>
        <v>06/01/2026</v>
      </c>
      <c r="K468">
        <v>46036</v>
      </c>
      <c r="N468">
        <v>303</v>
      </c>
      <c r="O468" t="s">
        <v>26</v>
      </c>
      <c r="Q468">
        <v>174.37</v>
      </c>
      <c r="R468" t="str">
        <f>"FARMÁCIA INDIANA LJ 173 (10075)"</f>
        <v>FARMÁCIA INDIANA LJ 173 (10075)</v>
      </c>
      <c r="S468" t="s">
        <v>27</v>
      </c>
      <c r="T468">
        <v>4114</v>
      </c>
      <c r="U468">
        <v>3274</v>
      </c>
      <c r="V468" t="s">
        <v>22</v>
      </c>
    </row>
    <row r="469" spans="1:22">
      <c r="A469" t="str">
        <f t="shared" si="160"/>
        <v>14/01/2026</v>
      </c>
      <c r="B469" t="str">
        <f t="shared" si="161"/>
        <v>ENTRADA</v>
      </c>
      <c r="C469" t="str">
        <f t="shared" si="162"/>
        <v>NFSE</v>
      </c>
      <c r="D469" t="str">
        <f t="shared" si="165"/>
        <v>35</v>
      </c>
      <c r="E469" t="str">
        <f t="shared" si="163"/>
        <v>1</v>
      </c>
      <c r="F469" t="str">
        <f t="shared" si="159"/>
        <v>COM</v>
      </c>
      <c r="G469" t="str">
        <f t="shared" si="166"/>
        <v>FARMÁCIA INDIANA LJ 30 (10127)</v>
      </c>
      <c r="H469" t="s">
        <v>149</v>
      </c>
      <c r="I469" t="str">
        <f t="shared" si="164"/>
        <v>14/01/2026</v>
      </c>
      <c r="J469" t="str">
        <f t="shared" si="167"/>
        <v>06/01/2026</v>
      </c>
      <c r="K469">
        <v>46036</v>
      </c>
      <c r="N469">
        <v>303</v>
      </c>
      <c r="O469" t="s">
        <v>26</v>
      </c>
      <c r="Q469">
        <v>120.11</v>
      </c>
      <c r="R469" t="str">
        <f>"FARMÁCIA INDIANA LJ 213 (10090)"</f>
        <v>FARMÁCIA INDIANA LJ 213 (10090)</v>
      </c>
      <c r="S469" t="s">
        <v>27</v>
      </c>
      <c r="T469">
        <v>4114</v>
      </c>
      <c r="U469">
        <v>3274</v>
      </c>
      <c r="V469" t="s">
        <v>22</v>
      </c>
    </row>
    <row r="470" spans="1:22">
      <c r="A470" t="str">
        <f t="shared" si="160"/>
        <v>14/01/2026</v>
      </c>
      <c r="B470" t="str">
        <f t="shared" si="161"/>
        <v>ENTRADA</v>
      </c>
      <c r="C470" t="str">
        <f t="shared" si="162"/>
        <v>NFSE</v>
      </c>
      <c r="D470" t="str">
        <f t="shared" si="165"/>
        <v>35</v>
      </c>
      <c r="E470" t="str">
        <f t="shared" si="163"/>
        <v>1</v>
      </c>
      <c r="F470" t="str">
        <f t="shared" si="159"/>
        <v>COM</v>
      </c>
      <c r="G470" t="str">
        <f t="shared" si="166"/>
        <v>FARMÁCIA INDIANA LJ 30 (10127)</v>
      </c>
      <c r="H470" t="s">
        <v>149</v>
      </c>
      <c r="I470" t="str">
        <f t="shared" si="164"/>
        <v>14/01/2026</v>
      </c>
      <c r="J470" t="str">
        <f t="shared" si="167"/>
        <v>06/01/2026</v>
      </c>
      <c r="K470">
        <v>46036</v>
      </c>
      <c r="N470">
        <v>303</v>
      </c>
      <c r="O470" t="s">
        <v>26</v>
      </c>
      <c r="Q470">
        <v>135.83000000000001</v>
      </c>
      <c r="R470" t="str">
        <f>"FARMÁCIA INDIANA LJ 200 (10155)"</f>
        <v>FARMÁCIA INDIANA LJ 200 (10155)</v>
      </c>
      <c r="S470" t="s">
        <v>27</v>
      </c>
      <c r="T470">
        <v>4114</v>
      </c>
      <c r="U470">
        <v>3274</v>
      </c>
      <c r="V470" t="s">
        <v>22</v>
      </c>
    </row>
    <row r="471" spans="1:22">
      <c r="A471" t="str">
        <f t="shared" si="160"/>
        <v>14/01/2026</v>
      </c>
      <c r="B471" t="str">
        <f t="shared" si="161"/>
        <v>ENTRADA</v>
      </c>
      <c r="C471" t="str">
        <f t="shared" si="162"/>
        <v>NFSE</v>
      </c>
      <c r="D471" t="str">
        <f t="shared" si="165"/>
        <v>35</v>
      </c>
      <c r="E471" t="str">
        <f t="shared" si="163"/>
        <v>1</v>
      </c>
      <c r="F471" t="str">
        <f t="shared" si="159"/>
        <v>COM</v>
      </c>
      <c r="G471" t="str">
        <f t="shared" si="166"/>
        <v>FARMÁCIA INDIANA LJ 30 (10127)</v>
      </c>
      <c r="H471" t="s">
        <v>149</v>
      </c>
      <c r="I471" t="str">
        <f t="shared" si="164"/>
        <v>14/01/2026</v>
      </c>
      <c r="J471" t="str">
        <f t="shared" si="167"/>
        <v>06/01/2026</v>
      </c>
      <c r="K471">
        <v>46036</v>
      </c>
      <c r="N471">
        <v>303</v>
      </c>
      <c r="O471" t="s">
        <v>26</v>
      </c>
      <c r="Q471">
        <v>247.71</v>
      </c>
      <c r="R471" t="str">
        <f>"FARMÁCIA INDIANA LJ 33 (10187)"</f>
        <v>FARMÁCIA INDIANA LJ 33 (10187)</v>
      </c>
      <c r="S471" t="s">
        <v>27</v>
      </c>
      <c r="T471">
        <v>4114</v>
      </c>
      <c r="U471">
        <v>3274</v>
      </c>
      <c r="V471" t="s">
        <v>22</v>
      </c>
    </row>
    <row r="472" spans="1:22">
      <c r="A472" t="str">
        <f t="shared" si="160"/>
        <v>14/01/2026</v>
      </c>
      <c r="B472" t="str">
        <f t="shared" si="161"/>
        <v>ENTRADA</v>
      </c>
      <c r="C472" t="str">
        <f t="shared" si="162"/>
        <v>NFSE</v>
      </c>
      <c r="D472" t="str">
        <f t="shared" si="165"/>
        <v>35</v>
      </c>
      <c r="E472" t="str">
        <f t="shared" si="163"/>
        <v>1</v>
      </c>
      <c r="F472" t="str">
        <f t="shared" si="159"/>
        <v>COM</v>
      </c>
      <c r="G472" t="str">
        <f t="shared" si="166"/>
        <v>FARMÁCIA INDIANA LJ 30 (10127)</v>
      </c>
      <c r="H472" t="s">
        <v>149</v>
      </c>
      <c r="I472" t="str">
        <f t="shared" si="164"/>
        <v>14/01/2026</v>
      </c>
      <c r="J472" t="str">
        <f t="shared" si="167"/>
        <v>06/01/2026</v>
      </c>
      <c r="K472">
        <v>46036</v>
      </c>
      <c r="N472">
        <v>303</v>
      </c>
      <c r="O472" t="s">
        <v>26</v>
      </c>
      <c r="Q472">
        <v>99.91</v>
      </c>
      <c r="R472" t="str">
        <f>"FARMÁCIA INDIANA LJ 283 (10268)"</f>
        <v>FARMÁCIA INDIANA LJ 283 (10268)</v>
      </c>
      <c r="S472" t="s">
        <v>27</v>
      </c>
      <c r="T472">
        <v>4114</v>
      </c>
      <c r="U472">
        <v>3274</v>
      </c>
      <c r="V472" t="s">
        <v>22</v>
      </c>
    </row>
    <row r="473" spans="1:22">
      <c r="A473" t="str">
        <f t="shared" si="160"/>
        <v>14/01/2026</v>
      </c>
      <c r="B473" t="str">
        <f t="shared" si="161"/>
        <v>ENTRADA</v>
      </c>
      <c r="C473" t="str">
        <f t="shared" si="162"/>
        <v>NFSE</v>
      </c>
      <c r="D473" t="str">
        <f t="shared" si="165"/>
        <v>35</v>
      </c>
      <c r="E473" t="str">
        <f t="shared" si="163"/>
        <v>1</v>
      </c>
      <c r="F473" t="str">
        <f t="shared" si="159"/>
        <v>COM</v>
      </c>
      <c r="G473" t="str">
        <f t="shared" si="166"/>
        <v>FARMÁCIA INDIANA LJ 30 (10127)</v>
      </c>
      <c r="H473" t="s">
        <v>149</v>
      </c>
      <c r="I473" t="str">
        <f t="shared" si="164"/>
        <v>14/01/2026</v>
      </c>
      <c r="J473" t="str">
        <f t="shared" si="167"/>
        <v>06/01/2026</v>
      </c>
      <c r="K473">
        <v>46036</v>
      </c>
      <c r="N473">
        <v>303</v>
      </c>
      <c r="O473" t="s">
        <v>26</v>
      </c>
      <c r="Q473">
        <v>139.94</v>
      </c>
      <c r="R473" t="str">
        <f>"FARMÁCIA INDIANA LJ 155 (10273)"</f>
        <v>FARMÁCIA INDIANA LJ 155 (10273)</v>
      </c>
      <c r="S473" t="s">
        <v>27</v>
      </c>
      <c r="T473">
        <v>4114</v>
      </c>
      <c r="U473">
        <v>3274</v>
      </c>
      <c r="V473" t="s">
        <v>22</v>
      </c>
    </row>
    <row r="474" spans="1:22">
      <c r="A474" t="str">
        <f t="shared" si="160"/>
        <v>14/01/2026</v>
      </c>
      <c r="B474" t="str">
        <f t="shared" si="161"/>
        <v>ENTRADA</v>
      </c>
      <c r="C474" t="str">
        <f t="shared" si="162"/>
        <v>NFSE</v>
      </c>
      <c r="D474" t="str">
        <f t="shared" si="165"/>
        <v>35</v>
      </c>
      <c r="E474" t="str">
        <f t="shared" si="163"/>
        <v>1</v>
      </c>
      <c r="F474" t="str">
        <f t="shared" si="159"/>
        <v>COM</v>
      </c>
      <c r="G474" t="str">
        <f t="shared" si="166"/>
        <v>FARMÁCIA INDIANA LJ 30 (10127)</v>
      </c>
      <c r="H474" t="s">
        <v>149</v>
      </c>
      <c r="I474" t="str">
        <f t="shared" si="164"/>
        <v>14/01/2026</v>
      </c>
      <c r="J474" t="str">
        <f t="shared" si="167"/>
        <v>06/01/2026</v>
      </c>
      <c r="K474">
        <v>46036</v>
      </c>
      <c r="N474">
        <v>303</v>
      </c>
      <c r="O474" t="s">
        <v>26</v>
      </c>
      <c r="Q474">
        <v>114.13</v>
      </c>
      <c r="R474" t="str">
        <f>"FARMÁCIA INDIANA LJ 158 (10275)"</f>
        <v>FARMÁCIA INDIANA LJ 158 (10275)</v>
      </c>
      <c r="S474" t="s">
        <v>27</v>
      </c>
      <c r="T474">
        <v>4114</v>
      </c>
      <c r="U474">
        <v>3274</v>
      </c>
      <c r="V474" t="s">
        <v>22</v>
      </c>
    </row>
    <row r="475" spans="1:22">
      <c r="A475" t="str">
        <f t="shared" si="160"/>
        <v>14/01/2026</v>
      </c>
      <c r="B475" t="str">
        <f t="shared" si="161"/>
        <v>ENTRADA</v>
      </c>
      <c r="C475" t="str">
        <f t="shared" si="162"/>
        <v>NFSE</v>
      </c>
      <c r="D475" t="str">
        <f t="shared" ref="D475:D485" si="168">"38"</f>
        <v>38</v>
      </c>
      <c r="E475" t="str">
        <f t="shared" si="163"/>
        <v>1</v>
      </c>
      <c r="F475" t="str">
        <f t="shared" si="159"/>
        <v>COM</v>
      </c>
      <c r="G475" t="str">
        <f t="shared" ref="G475:G485" si="169">"FARMÁCIA INDIANA LJ 85 (10128)"</f>
        <v>FARMÁCIA INDIANA LJ 85 (10128)</v>
      </c>
      <c r="H475" t="str">
        <f>"Serv.Prest. 26/12/2025 a 04/01/2026 - RPS: 1968 - NFSe: 38"</f>
        <v>Serv.Prest. 26/12/2025 a 04/01/2026 - RPS: 1968 - NFSe: 38</v>
      </c>
      <c r="I475" t="str">
        <f t="shared" si="164"/>
        <v>14/01/2026</v>
      </c>
      <c r="J475" t="str">
        <f t="shared" si="167"/>
        <v>06/01/2026</v>
      </c>
      <c r="K475" t="str">
        <f>("14/01/2026")</f>
        <v>14/01/2026</v>
      </c>
      <c r="L475">
        <v>1205.8399999999999</v>
      </c>
      <c r="M475">
        <v>1205.8399999999999</v>
      </c>
      <c r="N475">
        <v>303</v>
      </c>
      <c r="O475" t="str">
        <f>"RECEITAS COM ENTREGAS"</f>
        <v>RECEITAS COM ENTREGAS</v>
      </c>
      <c r="P475">
        <v>1205.8399999999999</v>
      </c>
      <c r="S475" t="str">
        <f>"RECEITAS COM ENTREGAS (303)"</f>
        <v>RECEITAS COM ENTREGAS (303)</v>
      </c>
      <c r="T475">
        <v>4115</v>
      </c>
      <c r="U475">
        <v>3278</v>
      </c>
      <c r="V475" t="s">
        <v>22</v>
      </c>
    </row>
    <row r="476" spans="1:22">
      <c r="A476" t="str">
        <f t="shared" si="160"/>
        <v>14/01/2026</v>
      </c>
      <c r="B476" t="str">
        <f t="shared" si="161"/>
        <v>ENTRADA</v>
      </c>
      <c r="C476" t="str">
        <f t="shared" si="162"/>
        <v>NFSE</v>
      </c>
      <c r="D476" t="str">
        <f t="shared" si="168"/>
        <v>38</v>
      </c>
      <c r="E476" t="str">
        <f t="shared" si="163"/>
        <v>1</v>
      </c>
      <c r="F476" t="str">
        <f t="shared" si="159"/>
        <v>COM</v>
      </c>
      <c r="G476" t="str">
        <f t="shared" si="169"/>
        <v>FARMÁCIA INDIANA LJ 85 (10128)</v>
      </c>
      <c r="H476" t="s">
        <v>150</v>
      </c>
      <c r="I476" t="str">
        <f t="shared" si="164"/>
        <v>14/01/2026</v>
      </c>
      <c r="J476" t="str">
        <f t="shared" si="167"/>
        <v>06/01/2026</v>
      </c>
      <c r="K476">
        <v>46036</v>
      </c>
      <c r="N476">
        <v>303</v>
      </c>
      <c r="O476" t="s">
        <v>26</v>
      </c>
      <c r="Q476">
        <v>245.51</v>
      </c>
      <c r="R476" t="str">
        <f>"FARMÁCIA INDIANA LJ 119 (10053)"</f>
        <v>FARMÁCIA INDIANA LJ 119 (10053)</v>
      </c>
      <c r="S476" t="s">
        <v>27</v>
      </c>
      <c r="T476">
        <v>4115</v>
      </c>
      <c r="U476">
        <v>3278</v>
      </c>
      <c r="V476" t="s">
        <v>22</v>
      </c>
    </row>
    <row r="477" spans="1:22">
      <c r="A477" t="str">
        <f t="shared" si="160"/>
        <v>14/01/2026</v>
      </c>
      <c r="B477" t="str">
        <f t="shared" si="161"/>
        <v>ENTRADA</v>
      </c>
      <c r="C477" t="str">
        <f t="shared" si="162"/>
        <v>NFSE</v>
      </c>
      <c r="D477" t="str">
        <f t="shared" si="168"/>
        <v>38</v>
      </c>
      <c r="E477" t="str">
        <f t="shared" si="163"/>
        <v>1</v>
      </c>
      <c r="F477" t="str">
        <f t="shared" si="159"/>
        <v>COM</v>
      </c>
      <c r="G477" t="str">
        <f t="shared" si="169"/>
        <v>FARMÁCIA INDIANA LJ 85 (10128)</v>
      </c>
      <c r="H477" t="s">
        <v>150</v>
      </c>
      <c r="I477" t="str">
        <f t="shared" si="164"/>
        <v>14/01/2026</v>
      </c>
      <c r="J477" t="str">
        <f t="shared" si="167"/>
        <v>06/01/2026</v>
      </c>
      <c r="K477">
        <v>46036</v>
      </c>
      <c r="N477">
        <v>303</v>
      </c>
      <c r="O477" t="s">
        <v>26</v>
      </c>
      <c r="Q477">
        <v>118.41</v>
      </c>
      <c r="R477" t="str">
        <f>"FARMÁCIA INDIANA LJ 163 (10072)"</f>
        <v>FARMÁCIA INDIANA LJ 163 (10072)</v>
      </c>
      <c r="S477" t="s">
        <v>27</v>
      </c>
      <c r="T477">
        <v>4115</v>
      </c>
      <c r="U477">
        <v>3278</v>
      </c>
      <c r="V477" t="s">
        <v>22</v>
      </c>
    </row>
    <row r="478" spans="1:22">
      <c r="A478" t="str">
        <f t="shared" si="160"/>
        <v>14/01/2026</v>
      </c>
      <c r="B478" t="str">
        <f t="shared" si="161"/>
        <v>ENTRADA</v>
      </c>
      <c r="C478" t="str">
        <f t="shared" si="162"/>
        <v>NFSE</v>
      </c>
      <c r="D478" t="str">
        <f t="shared" si="168"/>
        <v>38</v>
      </c>
      <c r="E478" t="str">
        <f t="shared" si="163"/>
        <v>1</v>
      </c>
      <c r="F478" t="str">
        <f t="shared" si="159"/>
        <v>COM</v>
      </c>
      <c r="G478" t="str">
        <f t="shared" si="169"/>
        <v>FARMÁCIA INDIANA LJ 85 (10128)</v>
      </c>
      <c r="H478" t="s">
        <v>150</v>
      </c>
      <c r="I478" t="str">
        <f t="shared" si="164"/>
        <v>14/01/2026</v>
      </c>
      <c r="J478" t="str">
        <f t="shared" si="167"/>
        <v>06/01/2026</v>
      </c>
      <c r="K478">
        <v>46036</v>
      </c>
      <c r="N478">
        <v>303</v>
      </c>
      <c r="O478" t="s">
        <v>26</v>
      </c>
      <c r="Q478">
        <v>204.63</v>
      </c>
      <c r="R478" t="str">
        <f>"FARMÁCIA INDIANA LJ 181 (10078)"</f>
        <v>FARMÁCIA INDIANA LJ 181 (10078)</v>
      </c>
      <c r="S478" t="s">
        <v>27</v>
      </c>
      <c r="T478">
        <v>4115</v>
      </c>
      <c r="U478">
        <v>3278</v>
      </c>
      <c r="V478" t="s">
        <v>22</v>
      </c>
    </row>
    <row r="479" spans="1:22">
      <c r="A479" t="str">
        <f t="shared" si="160"/>
        <v>14/01/2026</v>
      </c>
      <c r="B479" t="str">
        <f t="shared" si="161"/>
        <v>ENTRADA</v>
      </c>
      <c r="C479" t="str">
        <f t="shared" si="162"/>
        <v>NFSE</v>
      </c>
      <c r="D479" t="str">
        <f t="shared" si="168"/>
        <v>38</v>
      </c>
      <c r="E479" t="str">
        <f t="shared" si="163"/>
        <v>1</v>
      </c>
      <c r="F479" t="str">
        <f t="shared" si="159"/>
        <v>COM</v>
      </c>
      <c r="G479" t="str">
        <f t="shared" si="169"/>
        <v>FARMÁCIA INDIANA LJ 85 (10128)</v>
      </c>
      <c r="H479" t="s">
        <v>150</v>
      </c>
      <c r="I479" t="str">
        <f t="shared" si="164"/>
        <v>14/01/2026</v>
      </c>
      <c r="J479" t="str">
        <f t="shared" si="167"/>
        <v>06/01/2026</v>
      </c>
      <c r="K479">
        <v>46036</v>
      </c>
      <c r="N479">
        <v>303</v>
      </c>
      <c r="O479" t="s">
        <v>26</v>
      </c>
      <c r="Q479">
        <v>107.8</v>
      </c>
      <c r="R479" t="str">
        <f>"FARMÁCIA INDIANA LJ 221 (10093)"</f>
        <v>FARMÁCIA INDIANA LJ 221 (10093)</v>
      </c>
      <c r="S479" t="s">
        <v>27</v>
      </c>
      <c r="T479">
        <v>4115</v>
      </c>
      <c r="U479">
        <v>3278</v>
      </c>
      <c r="V479" t="s">
        <v>22</v>
      </c>
    </row>
    <row r="480" spans="1:22">
      <c r="A480" t="str">
        <f t="shared" si="160"/>
        <v>14/01/2026</v>
      </c>
      <c r="B480" t="str">
        <f t="shared" si="161"/>
        <v>ENTRADA</v>
      </c>
      <c r="C480" t="str">
        <f t="shared" si="162"/>
        <v>NFSE</v>
      </c>
      <c r="D480" t="str">
        <f t="shared" si="168"/>
        <v>38</v>
      </c>
      <c r="E480" t="str">
        <f t="shared" si="163"/>
        <v>1</v>
      </c>
      <c r="F480" t="str">
        <f t="shared" si="159"/>
        <v>COM</v>
      </c>
      <c r="G480" t="str">
        <f t="shared" si="169"/>
        <v>FARMÁCIA INDIANA LJ 85 (10128)</v>
      </c>
      <c r="H480" t="s">
        <v>150</v>
      </c>
      <c r="I480" t="str">
        <f t="shared" si="164"/>
        <v>14/01/2026</v>
      </c>
      <c r="J480" t="str">
        <f t="shared" si="167"/>
        <v>06/01/2026</v>
      </c>
      <c r="K480">
        <v>46036</v>
      </c>
      <c r="N480">
        <v>303</v>
      </c>
      <c r="O480" t="s">
        <v>26</v>
      </c>
      <c r="Q480">
        <v>146.75</v>
      </c>
      <c r="R480" t="str">
        <f>"FARMÁCIA INDIANA LJ 243 (10142)"</f>
        <v>FARMÁCIA INDIANA LJ 243 (10142)</v>
      </c>
      <c r="S480" t="s">
        <v>27</v>
      </c>
      <c r="T480">
        <v>4115</v>
      </c>
      <c r="U480">
        <v>3278</v>
      </c>
      <c r="V480" t="s">
        <v>22</v>
      </c>
    </row>
    <row r="481" spans="1:22">
      <c r="A481" t="str">
        <f t="shared" si="160"/>
        <v>14/01/2026</v>
      </c>
      <c r="B481" t="str">
        <f t="shared" si="161"/>
        <v>ENTRADA</v>
      </c>
      <c r="C481" t="str">
        <f t="shared" si="162"/>
        <v>NFSE</v>
      </c>
      <c r="D481" t="str">
        <f t="shared" si="168"/>
        <v>38</v>
      </c>
      <c r="E481" t="str">
        <f t="shared" si="163"/>
        <v>1</v>
      </c>
      <c r="F481" t="str">
        <f t="shared" si="159"/>
        <v>COM</v>
      </c>
      <c r="G481" t="str">
        <f t="shared" si="169"/>
        <v>FARMÁCIA INDIANA LJ 85 (10128)</v>
      </c>
      <c r="H481" t="s">
        <v>150</v>
      </c>
      <c r="I481" t="str">
        <f t="shared" si="164"/>
        <v>14/01/2026</v>
      </c>
      <c r="J481" t="str">
        <f t="shared" si="167"/>
        <v>06/01/2026</v>
      </c>
      <c r="K481">
        <v>46036</v>
      </c>
      <c r="N481">
        <v>303</v>
      </c>
      <c r="O481" t="s">
        <v>26</v>
      </c>
      <c r="Q481">
        <v>57.4</v>
      </c>
      <c r="R481" t="str">
        <f>"FARMÁCIA INDIANA LJ 211 (10168)"</f>
        <v>FARMÁCIA INDIANA LJ 211 (10168)</v>
      </c>
      <c r="S481" t="s">
        <v>27</v>
      </c>
      <c r="T481">
        <v>4115</v>
      </c>
      <c r="U481">
        <v>3278</v>
      </c>
      <c r="V481" t="s">
        <v>22</v>
      </c>
    </row>
    <row r="482" spans="1:22">
      <c r="A482" t="str">
        <f t="shared" si="160"/>
        <v>14/01/2026</v>
      </c>
      <c r="B482" t="str">
        <f t="shared" si="161"/>
        <v>ENTRADA</v>
      </c>
      <c r="C482" t="str">
        <f t="shared" si="162"/>
        <v>NFSE</v>
      </c>
      <c r="D482" t="str">
        <f t="shared" si="168"/>
        <v>38</v>
      </c>
      <c r="E482" t="str">
        <f t="shared" si="163"/>
        <v>1</v>
      </c>
      <c r="F482" t="str">
        <f t="shared" si="159"/>
        <v>COM</v>
      </c>
      <c r="G482" t="str">
        <f t="shared" si="169"/>
        <v>FARMÁCIA INDIANA LJ 85 (10128)</v>
      </c>
      <c r="H482" t="s">
        <v>150</v>
      </c>
      <c r="I482" t="str">
        <f t="shared" si="164"/>
        <v>14/01/2026</v>
      </c>
      <c r="J482" t="str">
        <f t="shared" si="167"/>
        <v>06/01/2026</v>
      </c>
      <c r="K482">
        <v>46036</v>
      </c>
      <c r="N482">
        <v>303</v>
      </c>
      <c r="O482" t="s">
        <v>26</v>
      </c>
      <c r="Q482">
        <v>57.4</v>
      </c>
      <c r="R482" t="str">
        <f>"FARMÁCIA INDIANA LJ 236 (10169)"</f>
        <v>FARMÁCIA INDIANA LJ 236 (10169)</v>
      </c>
      <c r="S482" t="s">
        <v>27</v>
      </c>
      <c r="T482">
        <v>4115</v>
      </c>
      <c r="U482">
        <v>3278</v>
      </c>
      <c r="V482" t="s">
        <v>22</v>
      </c>
    </row>
    <row r="483" spans="1:22">
      <c r="A483" t="str">
        <f t="shared" si="160"/>
        <v>14/01/2026</v>
      </c>
      <c r="B483" t="str">
        <f t="shared" si="161"/>
        <v>ENTRADA</v>
      </c>
      <c r="C483" t="str">
        <f t="shared" si="162"/>
        <v>NFSE</v>
      </c>
      <c r="D483" t="str">
        <f t="shared" si="168"/>
        <v>38</v>
      </c>
      <c r="E483" t="str">
        <f t="shared" si="163"/>
        <v>1</v>
      </c>
      <c r="F483" t="str">
        <f t="shared" si="159"/>
        <v>COM</v>
      </c>
      <c r="G483" t="str">
        <f t="shared" si="169"/>
        <v>FARMÁCIA INDIANA LJ 85 (10128)</v>
      </c>
      <c r="H483" t="s">
        <v>150</v>
      </c>
      <c r="I483" t="str">
        <f t="shared" si="164"/>
        <v>14/01/2026</v>
      </c>
      <c r="J483" t="str">
        <f t="shared" si="167"/>
        <v>06/01/2026</v>
      </c>
      <c r="K483">
        <v>46036</v>
      </c>
      <c r="N483">
        <v>303</v>
      </c>
      <c r="O483" t="s">
        <v>26</v>
      </c>
      <c r="Q483">
        <v>114.8</v>
      </c>
      <c r="R483" t="str">
        <f>"FARMÁCIA INDIANA LJ 188 (10176)"</f>
        <v>FARMÁCIA INDIANA LJ 188 (10176)</v>
      </c>
      <c r="S483" t="s">
        <v>27</v>
      </c>
      <c r="T483">
        <v>4115</v>
      </c>
      <c r="U483">
        <v>3278</v>
      </c>
      <c r="V483" t="s">
        <v>22</v>
      </c>
    </row>
    <row r="484" spans="1:22">
      <c r="A484" t="str">
        <f t="shared" si="160"/>
        <v>14/01/2026</v>
      </c>
      <c r="B484" t="str">
        <f t="shared" si="161"/>
        <v>ENTRADA</v>
      </c>
      <c r="C484" t="str">
        <f t="shared" si="162"/>
        <v>NFSE</v>
      </c>
      <c r="D484" t="str">
        <f t="shared" si="168"/>
        <v>38</v>
      </c>
      <c r="E484" t="str">
        <f t="shared" si="163"/>
        <v>1</v>
      </c>
      <c r="F484" t="str">
        <f t="shared" si="159"/>
        <v>COM</v>
      </c>
      <c r="G484" t="str">
        <f t="shared" si="169"/>
        <v>FARMÁCIA INDIANA LJ 85 (10128)</v>
      </c>
      <c r="H484" t="s">
        <v>150</v>
      </c>
      <c r="I484" t="str">
        <f t="shared" si="164"/>
        <v>14/01/2026</v>
      </c>
      <c r="J484" t="str">
        <f t="shared" si="167"/>
        <v>06/01/2026</v>
      </c>
      <c r="K484">
        <v>46036</v>
      </c>
      <c r="N484">
        <v>303</v>
      </c>
      <c r="O484" t="s">
        <v>26</v>
      </c>
      <c r="Q484">
        <v>135.05000000000001</v>
      </c>
      <c r="R484" t="str">
        <f>"FARMÁCIA INDIANA LJ 273 (10188)"</f>
        <v>FARMÁCIA INDIANA LJ 273 (10188)</v>
      </c>
      <c r="S484" t="s">
        <v>27</v>
      </c>
      <c r="T484">
        <v>4115</v>
      </c>
      <c r="U484">
        <v>3278</v>
      </c>
      <c r="V484" t="s">
        <v>22</v>
      </c>
    </row>
    <row r="485" spans="1:22">
      <c r="A485" t="str">
        <f t="shared" si="160"/>
        <v>14/01/2026</v>
      </c>
      <c r="B485" t="str">
        <f t="shared" si="161"/>
        <v>ENTRADA</v>
      </c>
      <c r="C485" t="str">
        <f t="shared" si="162"/>
        <v>NFSE</v>
      </c>
      <c r="D485" t="str">
        <f t="shared" si="168"/>
        <v>38</v>
      </c>
      <c r="E485" t="str">
        <f t="shared" si="163"/>
        <v>1</v>
      </c>
      <c r="F485" t="str">
        <f t="shared" si="159"/>
        <v>COM</v>
      </c>
      <c r="G485" t="str">
        <f t="shared" si="169"/>
        <v>FARMÁCIA INDIANA LJ 85 (10128)</v>
      </c>
      <c r="H485" t="s">
        <v>150</v>
      </c>
      <c r="I485" t="str">
        <f t="shared" si="164"/>
        <v>14/01/2026</v>
      </c>
      <c r="J485" t="str">
        <f t="shared" si="167"/>
        <v>06/01/2026</v>
      </c>
      <c r="K485">
        <v>46036</v>
      </c>
      <c r="N485">
        <v>303</v>
      </c>
      <c r="O485" t="s">
        <v>26</v>
      </c>
      <c r="Q485">
        <v>18.09</v>
      </c>
      <c r="R485" t="str">
        <f>"FARMÁCIA INDIANA LJ 235 (10190)"</f>
        <v>FARMÁCIA INDIANA LJ 235 (10190)</v>
      </c>
      <c r="S485" t="s">
        <v>27</v>
      </c>
      <c r="T485">
        <v>4115</v>
      </c>
      <c r="U485">
        <v>3278</v>
      </c>
      <c r="V485" t="s">
        <v>22</v>
      </c>
    </row>
    <row r="486" spans="1:22">
      <c r="A486" t="str">
        <f t="shared" si="160"/>
        <v>14/01/2026</v>
      </c>
      <c r="B486" t="str">
        <f t="shared" si="161"/>
        <v>ENTRADA</v>
      </c>
      <c r="C486" t="str">
        <f t="shared" si="162"/>
        <v>NFSE</v>
      </c>
      <c r="D486" t="str">
        <f t="shared" ref="D486:D491" si="170">"4155"</f>
        <v>4155</v>
      </c>
      <c r="E486" t="str">
        <f t="shared" si="163"/>
        <v>1</v>
      </c>
      <c r="F486" t="str">
        <f t="shared" si="159"/>
        <v>COM</v>
      </c>
      <c r="G486" t="str">
        <f t="shared" ref="G486:G491" si="171">"PAGMENOS - LJ 608 (10135)"</f>
        <v>PAGMENOS - LJ 608 (10135)</v>
      </c>
      <c r="H486" t="str">
        <f>"Serv.Prest. 22/12/2025 a 28/12/2025 - RPS: 1917 - NFSe: 4155"</f>
        <v>Serv.Prest. 22/12/2025 a 28/12/2025 - RPS: 1917 - NFSe: 4155</v>
      </c>
      <c r="I486" t="str">
        <f t="shared" ref="I486:I491" si="172">("08/01/2026")</f>
        <v>08/01/2026</v>
      </c>
      <c r="J486" t="str">
        <f t="shared" ref="J486:J491" si="173">("29/12/2025")</f>
        <v>29/12/2025</v>
      </c>
      <c r="K486" t="str">
        <f>("14/01/2026")</f>
        <v>14/01/2026</v>
      </c>
      <c r="L486">
        <v>946.98</v>
      </c>
      <c r="M486">
        <v>946.98</v>
      </c>
      <c r="N486">
        <v>303</v>
      </c>
      <c r="O486" t="str">
        <f>"RECEITAS COM ENTREGAS"</f>
        <v>RECEITAS COM ENTREGAS</v>
      </c>
      <c r="P486">
        <v>946.98</v>
      </c>
      <c r="S486" t="str">
        <f>"RECEITAS COM ENTREGAS (303)"</f>
        <v>RECEITAS COM ENTREGAS (303)</v>
      </c>
      <c r="T486">
        <v>4122</v>
      </c>
      <c r="U486">
        <v>3175</v>
      </c>
      <c r="V486" t="s">
        <v>22</v>
      </c>
    </row>
    <row r="487" spans="1:22">
      <c r="A487" t="str">
        <f t="shared" si="160"/>
        <v>14/01/2026</v>
      </c>
      <c r="B487" t="str">
        <f t="shared" si="161"/>
        <v>ENTRADA</v>
      </c>
      <c r="C487" t="str">
        <f t="shared" si="162"/>
        <v>NFSE</v>
      </c>
      <c r="D487" t="str">
        <f t="shared" si="170"/>
        <v>4155</v>
      </c>
      <c r="E487" t="str">
        <f t="shared" si="163"/>
        <v>1</v>
      </c>
      <c r="F487" t="str">
        <f t="shared" si="159"/>
        <v>COM</v>
      </c>
      <c r="G487" t="str">
        <f t="shared" si="171"/>
        <v>PAGMENOS - LJ 608 (10135)</v>
      </c>
      <c r="H487" t="s">
        <v>151</v>
      </c>
      <c r="I487" t="str">
        <f t="shared" si="172"/>
        <v>08/01/2026</v>
      </c>
      <c r="J487" t="str">
        <f t="shared" si="173"/>
        <v>29/12/2025</v>
      </c>
      <c r="K487">
        <v>46036</v>
      </c>
      <c r="N487">
        <v>303</v>
      </c>
      <c r="O487" t="s">
        <v>26</v>
      </c>
      <c r="Q487">
        <v>220.27</v>
      </c>
      <c r="R487" t="str">
        <f>"PAGMENOS - LJ 608 (10135)"</f>
        <v>PAGMENOS - LJ 608 (10135)</v>
      </c>
      <c r="S487" t="s">
        <v>27</v>
      </c>
      <c r="T487">
        <v>4122</v>
      </c>
      <c r="U487">
        <v>3175</v>
      </c>
      <c r="V487" t="s">
        <v>22</v>
      </c>
    </row>
    <row r="488" spans="1:22">
      <c r="A488" t="str">
        <f t="shared" si="160"/>
        <v>14/01/2026</v>
      </c>
      <c r="B488" t="str">
        <f t="shared" si="161"/>
        <v>ENTRADA</v>
      </c>
      <c r="C488" t="str">
        <f t="shared" si="162"/>
        <v>NFSE</v>
      </c>
      <c r="D488" t="str">
        <f t="shared" si="170"/>
        <v>4155</v>
      </c>
      <c r="E488" t="str">
        <f t="shared" si="163"/>
        <v>1</v>
      </c>
      <c r="F488" t="str">
        <f t="shared" si="159"/>
        <v>COM</v>
      </c>
      <c r="G488" t="str">
        <f t="shared" si="171"/>
        <v>PAGMENOS - LJ 608 (10135)</v>
      </c>
      <c r="H488" t="s">
        <v>151</v>
      </c>
      <c r="I488" t="str">
        <f t="shared" si="172"/>
        <v>08/01/2026</v>
      </c>
      <c r="J488" t="str">
        <f t="shared" si="173"/>
        <v>29/12/2025</v>
      </c>
      <c r="K488">
        <v>46036</v>
      </c>
      <c r="N488">
        <v>303</v>
      </c>
      <c r="O488" t="s">
        <v>26</v>
      </c>
      <c r="Q488">
        <v>330.4</v>
      </c>
      <c r="R488" t="str">
        <f>"PAGMENOS - LJ 657 (10136)"</f>
        <v>PAGMENOS - LJ 657 (10136)</v>
      </c>
      <c r="S488" t="s">
        <v>27</v>
      </c>
      <c r="T488">
        <v>4122</v>
      </c>
      <c r="U488">
        <v>3175</v>
      </c>
      <c r="V488" t="s">
        <v>22</v>
      </c>
    </row>
    <row r="489" spans="1:22">
      <c r="A489" t="str">
        <f t="shared" si="160"/>
        <v>14/01/2026</v>
      </c>
      <c r="B489" t="str">
        <f t="shared" si="161"/>
        <v>ENTRADA</v>
      </c>
      <c r="C489" t="str">
        <f t="shared" si="162"/>
        <v>NFSE</v>
      </c>
      <c r="D489" t="str">
        <f t="shared" si="170"/>
        <v>4155</v>
      </c>
      <c r="E489" t="str">
        <f t="shared" si="163"/>
        <v>1</v>
      </c>
      <c r="F489" t="str">
        <f t="shared" si="159"/>
        <v>COM</v>
      </c>
      <c r="G489" t="str">
        <f t="shared" si="171"/>
        <v>PAGMENOS - LJ 608 (10135)</v>
      </c>
      <c r="H489" t="s">
        <v>151</v>
      </c>
      <c r="I489" t="str">
        <f t="shared" si="172"/>
        <v>08/01/2026</v>
      </c>
      <c r="J489" t="str">
        <f t="shared" si="173"/>
        <v>29/12/2025</v>
      </c>
      <c r="K489">
        <v>46036</v>
      </c>
      <c r="N489">
        <v>303</v>
      </c>
      <c r="O489" t="s">
        <v>26</v>
      </c>
      <c r="Q489">
        <v>24.43</v>
      </c>
      <c r="R489" t="str">
        <f>"PAGMENOS - LJ 326 (10264)"</f>
        <v>PAGMENOS - LJ 326 (10264)</v>
      </c>
      <c r="S489" t="s">
        <v>27</v>
      </c>
      <c r="T489">
        <v>4122</v>
      </c>
      <c r="U489">
        <v>3175</v>
      </c>
      <c r="V489" t="s">
        <v>22</v>
      </c>
    </row>
    <row r="490" spans="1:22">
      <c r="A490" t="str">
        <f t="shared" si="160"/>
        <v>14/01/2026</v>
      </c>
      <c r="B490" t="str">
        <f t="shared" si="161"/>
        <v>ENTRADA</v>
      </c>
      <c r="C490" t="str">
        <f t="shared" si="162"/>
        <v>NFSE</v>
      </c>
      <c r="D490" t="str">
        <f t="shared" si="170"/>
        <v>4155</v>
      </c>
      <c r="E490" t="str">
        <f t="shared" si="163"/>
        <v>1</v>
      </c>
      <c r="F490" t="str">
        <f t="shared" si="159"/>
        <v>COM</v>
      </c>
      <c r="G490" t="str">
        <f t="shared" si="171"/>
        <v>PAGMENOS - LJ 608 (10135)</v>
      </c>
      <c r="H490" t="s">
        <v>151</v>
      </c>
      <c r="I490" t="str">
        <f t="shared" si="172"/>
        <v>08/01/2026</v>
      </c>
      <c r="J490" t="str">
        <f t="shared" si="173"/>
        <v>29/12/2025</v>
      </c>
      <c r="K490">
        <v>46036</v>
      </c>
      <c r="N490">
        <v>303</v>
      </c>
      <c r="O490" t="s">
        <v>26</v>
      </c>
      <c r="Q490">
        <v>166.76</v>
      </c>
      <c r="R490" t="str">
        <f>"PAGMENOS - LJ 431 (10265)"</f>
        <v>PAGMENOS - LJ 431 (10265)</v>
      </c>
      <c r="S490" t="s">
        <v>27</v>
      </c>
      <c r="T490">
        <v>4122</v>
      </c>
      <c r="U490">
        <v>3175</v>
      </c>
      <c r="V490" t="s">
        <v>22</v>
      </c>
    </row>
    <row r="491" spans="1:22">
      <c r="A491" t="str">
        <f t="shared" si="160"/>
        <v>14/01/2026</v>
      </c>
      <c r="B491" t="str">
        <f t="shared" si="161"/>
        <v>ENTRADA</v>
      </c>
      <c r="C491" t="str">
        <f t="shared" si="162"/>
        <v>NFSE</v>
      </c>
      <c r="D491" t="str">
        <f t="shared" si="170"/>
        <v>4155</v>
      </c>
      <c r="E491" t="str">
        <f t="shared" si="163"/>
        <v>1</v>
      </c>
      <c r="F491" t="str">
        <f t="shared" si="159"/>
        <v>COM</v>
      </c>
      <c r="G491" t="str">
        <f t="shared" si="171"/>
        <v>PAGMENOS - LJ 608 (10135)</v>
      </c>
      <c r="H491" t="s">
        <v>151</v>
      </c>
      <c r="I491" t="str">
        <f t="shared" si="172"/>
        <v>08/01/2026</v>
      </c>
      <c r="J491" t="str">
        <f t="shared" si="173"/>
        <v>29/12/2025</v>
      </c>
      <c r="K491">
        <v>46036</v>
      </c>
      <c r="N491">
        <v>303</v>
      </c>
      <c r="O491" t="s">
        <v>26</v>
      </c>
      <c r="Q491">
        <v>205.12</v>
      </c>
      <c r="R491" t="str">
        <f>"PAGMENOS - LJ 768 (10266)"</f>
        <v>PAGMENOS - LJ 768 (10266)</v>
      </c>
      <c r="S491" t="s">
        <v>27</v>
      </c>
      <c r="T491">
        <v>4122</v>
      </c>
      <c r="U491">
        <v>3175</v>
      </c>
      <c r="V491" t="s">
        <v>22</v>
      </c>
    </row>
    <row r="492" spans="1:22">
      <c r="A492" t="str">
        <f t="shared" si="160"/>
        <v>14/01/2026</v>
      </c>
      <c r="B492" t="str">
        <f t="shared" ref="B492:B497" si="174">"SAÍDA"</f>
        <v>SAÍDA</v>
      </c>
      <c r="C492" t="str">
        <f>""</f>
        <v/>
      </c>
      <c r="D492" t="str">
        <f>""</f>
        <v/>
      </c>
      <c r="F492" t="str">
        <f>"CXA"</f>
        <v>CXA</v>
      </c>
      <c r="G492" t="str">
        <f>""</f>
        <v/>
      </c>
      <c r="H492" t="str">
        <f>"COMPRA DE NOTEBOOK"</f>
        <v>COMPRA DE NOTEBOOK</v>
      </c>
      <c r="I492" t="str">
        <f>("14/01/2026")</f>
        <v>14/01/2026</v>
      </c>
      <c r="J492" t="str">
        <f>("14/01/2026")</f>
        <v>14/01/2026</v>
      </c>
      <c r="K492" t="str">
        <f>("14/01/2026")</f>
        <v>14/01/2026</v>
      </c>
      <c r="L492">
        <v>2474.1</v>
      </c>
      <c r="M492">
        <v>2474.1</v>
      </c>
      <c r="N492">
        <v>130</v>
      </c>
      <c r="O492" t="str">
        <f>"EQUIPAMENTOS DE INFORMATICA"</f>
        <v>EQUIPAMENTOS DE INFORMATICA</v>
      </c>
      <c r="P492">
        <v>2474.1</v>
      </c>
      <c r="S492" t="str">
        <f>"BANCO CORA (102)"</f>
        <v>BANCO CORA (102)</v>
      </c>
      <c r="T492">
        <v>4182</v>
      </c>
      <c r="U492">
        <v>0</v>
      </c>
      <c r="V492" t="s">
        <v>152</v>
      </c>
    </row>
    <row r="493" spans="1:22">
      <c r="A493" t="str">
        <f t="shared" ref="A493:A524" si="175">("15/01/2026")</f>
        <v>15/01/2026</v>
      </c>
      <c r="B493" t="str">
        <f t="shared" si="174"/>
        <v>SAÍDA</v>
      </c>
      <c r="C493" t="str">
        <f>"PIX"</f>
        <v>PIX</v>
      </c>
      <c r="D493" t="str">
        <f>"958"</f>
        <v>958</v>
      </c>
      <c r="E493" t="str">
        <f>""</f>
        <v/>
      </c>
      <c r="F493" t="str">
        <f t="shared" ref="F493:F524" si="176">"COM"</f>
        <v>COM</v>
      </c>
      <c r="G493" t="str">
        <f>"GRPRO TECNOLOGIA INTEGRADA E ASSESSORIA EM NEGOCIO LTDA (20129)"</f>
        <v>GRPRO TECNOLOGIA INTEGRADA E ASSESSORIA EM NEGOCIO LTDA (20129)</v>
      </c>
      <c r="H493" t="str">
        <f>"PLATAFORMA GRPRO JANEIRO/2026 CHAVE PIX: : CNPJ 52.907.497/0001-20"</f>
        <v>PLATAFORMA GRPRO JANEIRO/2026 CHAVE PIX: : CNPJ 52.907.497/0001-20</v>
      </c>
      <c r="I493" t="str">
        <f>("15/01/2026")</f>
        <v>15/01/2026</v>
      </c>
      <c r="J493" t="str">
        <f>("05/01/2026")</f>
        <v>05/01/2026</v>
      </c>
      <c r="K493" t="str">
        <f>("15/01/2026")</f>
        <v>15/01/2026</v>
      </c>
      <c r="L493">
        <v>2627</v>
      </c>
      <c r="M493">
        <v>2627</v>
      </c>
      <c r="N493">
        <v>104</v>
      </c>
      <c r="O493" t="str">
        <f>"SOFTWARE / LICENÇAS"</f>
        <v>SOFTWARE / LICENÇAS</v>
      </c>
      <c r="P493">
        <v>2627</v>
      </c>
      <c r="S493" t="str">
        <f>"BANCO CORA (102)"</f>
        <v>BANCO CORA (102)</v>
      </c>
      <c r="T493">
        <v>3925</v>
      </c>
      <c r="U493">
        <v>3379</v>
      </c>
      <c r="V493" t="s">
        <v>22</v>
      </c>
    </row>
    <row r="494" spans="1:22">
      <c r="A494" t="str">
        <f t="shared" si="175"/>
        <v>15/01/2026</v>
      </c>
      <c r="B494" t="str">
        <f t="shared" si="174"/>
        <v>SAÍDA</v>
      </c>
      <c r="C494" t="str">
        <f>"PIX"</f>
        <v>PIX</v>
      </c>
      <c r="D494" t="str">
        <f>"958"</f>
        <v>958</v>
      </c>
      <c r="E494" t="str">
        <f>""</f>
        <v/>
      </c>
      <c r="F494" t="str">
        <f t="shared" si="176"/>
        <v>COM</v>
      </c>
      <c r="G494" t="str">
        <f>"GRPRO TECNOLOGIA INTEGRADA E ASSESSORIA EM NEGOCIO LTDA (20129)"</f>
        <v>GRPRO TECNOLOGIA INTEGRADA E ASSESSORIA EM NEGOCIO LTDA (20129)</v>
      </c>
      <c r="H494" t="s">
        <v>153</v>
      </c>
      <c r="I494" t="str">
        <f>("15/01/2026")</f>
        <v>15/01/2026</v>
      </c>
      <c r="J494" t="str">
        <f>("05/01/2026")</f>
        <v>05/01/2026</v>
      </c>
      <c r="K494">
        <v>46037</v>
      </c>
      <c r="N494">
        <v>104</v>
      </c>
      <c r="O494" t="s">
        <v>145</v>
      </c>
      <c r="Q494">
        <v>2627</v>
      </c>
      <c r="R494" t="str">
        <f>"GRPRO TECNOLOGIA INTEGRADA E ASSESSORIA EM NEGOCIO LTDA (20129)"</f>
        <v>GRPRO TECNOLOGIA INTEGRADA E ASSESSORIA EM NEGOCIO LTDA (20129)</v>
      </c>
      <c r="S494" t="s">
        <v>22</v>
      </c>
      <c r="T494">
        <v>3925</v>
      </c>
      <c r="U494">
        <v>3379</v>
      </c>
      <c r="V494" t="s">
        <v>22</v>
      </c>
    </row>
    <row r="495" spans="1:22">
      <c r="A495" t="str">
        <f t="shared" si="175"/>
        <v>15/01/2026</v>
      </c>
      <c r="B495" t="str">
        <f t="shared" si="174"/>
        <v>SAÍDA</v>
      </c>
      <c r="C495" t="str">
        <f>"PIX"</f>
        <v>PIX</v>
      </c>
      <c r="D495" t="str">
        <f>"1012"</f>
        <v>1012</v>
      </c>
      <c r="E495" t="str">
        <f t="shared" ref="E495:E526" si="177">"1"</f>
        <v>1</v>
      </c>
      <c r="F495" t="str">
        <f t="shared" si="176"/>
        <v>COM</v>
      </c>
      <c r="G495" t="str">
        <f>"GRPRO TECNOLOGIA INTEGRADA E ASSESSORIA EM NEGOCIO LTDA (20129)"</f>
        <v>GRPRO TECNOLOGIA INTEGRADA E ASSESSORIA EM NEGOCIO LTDA (20129)</v>
      </c>
      <c r="H495" t="str">
        <f>"PLATAFORMA GRPRO WHIZ TECNOLOGIA JANEIRO/2026 CHAVE PIX: CNPJ 52.913.488/0001-41"</f>
        <v>PLATAFORMA GRPRO WHIZ TECNOLOGIA JANEIRO/2026 CHAVE PIX: CNPJ 52.913.488/0001-41</v>
      </c>
      <c r="I495" t="str">
        <f>("15/01/2026")</f>
        <v>15/01/2026</v>
      </c>
      <c r="J495" t="str">
        <f>("05/01/2026")</f>
        <v>05/01/2026</v>
      </c>
      <c r="K495" t="str">
        <f>("15/01/2026")</f>
        <v>15/01/2026</v>
      </c>
      <c r="L495">
        <v>642</v>
      </c>
      <c r="M495">
        <v>642</v>
      </c>
      <c r="N495">
        <v>104</v>
      </c>
      <c r="O495" t="str">
        <f>"SOFTWARE / LICENÇAS"</f>
        <v>SOFTWARE / LICENÇAS</v>
      </c>
      <c r="P495">
        <v>642</v>
      </c>
      <c r="S495" t="str">
        <f>"BANCO CORA (102)"</f>
        <v>BANCO CORA (102)</v>
      </c>
      <c r="T495">
        <v>3926</v>
      </c>
      <c r="U495">
        <v>3380</v>
      </c>
      <c r="V495" t="s">
        <v>22</v>
      </c>
    </row>
    <row r="496" spans="1:22">
      <c r="A496" t="str">
        <f t="shared" si="175"/>
        <v>15/01/2026</v>
      </c>
      <c r="B496" t="str">
        <f t="shared" si="174"/>
        <v>SAÍDA</v>
      </c>
      <c r="C496" t="str">
        <f>"PIX"</f>
        <v>PIX</v>
      </c>
      <c r="D496" t="str">
        <f>"1012"</f>
        <v>1012</v>
      </c>
      <c r="E496" t="str">
        <f t="shared" si="177"/>
        <v>1</v>
      </c>
      <c r="F496" t="str">
        <f t="shared" si="176"/>
        <v>COM</v>
      </c>
      <c r="G496" t="str">
        <f>"GRPRO TECNOLOGIA INTEGRADA E ASSESSORIA EM NEGOCIO LTDA (20129)"</f>
        <v>GRPRO TECNOLOGIA INTEGRADA E ASSESSORIA EM NEGOCIO LTDA (20129)</v>
      </c>
      <c r="H496" t="s">
        <v>154</v>
      </c>
      <c r="I496" t="str">
        <f>("15/01/2026")</f>
        <v>15/01/2026</v>
      </c>
      <c r="J496" t="str">
        <f>("05/01/2026")</f>
        <v>05/01/2026</v>
      </c>
      <c r="K496">
        <v>46037</v>
      </c>
      <c r="N496">
        <v>104</v>
      </c>
      <c r="O496" t="s">
        <v>145</v>
      </c>
      <c r="Q496">
        <v>642</v>
      </c>
      <c r="R496" t="str">
        <f>"GRPRO TECNOLOGIA INTEGRADA E ASSESSORIA EM NEGOCIO LTDA (20129)"</f>
        <v>GRPRO TECNOLOGIA INTEGRADA E ASSESSORIA EM NEGOCIO LTDA (20129)</v>
      </c>
      <c r="S496" t="s">
        <v>22</v>
      </c>
      <c r="T496">
        <v>3926</v>
      </c>
      <c r="U496">
        <v>3380</v>
      </c>
      <c r="V496" t="s">
        <v>22</v>
      </c>
    </row>
    <row r="497" spans="1:22">
      <c r="A497" t="str">
        <f t="shared" si="175"/>
        <v>15/01/2026</v>
      </c>
      <c r="B497" t="str">
        <f t="shared" si="174"/>
        <v>SAÍDA</v>
      </c>
      <c r="C497" t="str">
        <f>"PIX"</f>
        <v>PIX</v>
      </c>
      <c r="D497" t="str">
        <f>"903"</f>
        <v>903</v>
      </c>
      <c r="E497" t="str">
        <f t="shared" si="177"/>
        <v>1</v>
      </c>
      <c r="F497" t="str">
        <f t="shared" si="176"/>
        <v>COM</v>
      </c>
      <c r="G497" t="str">
        <f>"GRPRO TECNOLOGIA INTEGRADA E ASSESSORIA EM NEGOCIO LTDA (20129)"</f>
        <v>GRPRO TECNOLOGIA INTEGRADA E ASSESSORIA EM NEGOCIO LTDA (20129)</v>
      </c>
      <c r="H497" t="str">
        <f>"PLATAFORMA GRPRO TREINAMENTO DEZEMBRO/2025 CHAVE PIX: CNPJ  52.907.497/0001-20"</f>
        <v>PLATAFORMA GRPRO TREINAMENTO DEZEMBRO/2025 CHAVE PIX: CNPJ  52.907.497/0001-20</v>
      </c>
      <c r="I497" t="str">
        <f>("15/01/2026")</f>
        <v>15/01/2026</v>
      </c>
      <c r="J497" t="str">
        <f>("02/12/2025")</f>
        <v>02/12/2025</v>
      </c>
      <c r="K497" t="str">
        <f>("15/01/2026")</f>
        <v>15/01/2026</v>
      </c>
      <c r="L497">
        <v>570</v>
      </c>
      <c r="M497">
        <v>570</v>
      </c>
      <c r="N497">
        <v>104</v>
      </c>
      <c r="O497" t="str">
        <f>"SOFTWARE / LICENÇAS"</f>
        <v>SOFTWARE / LICENÇAS</v>
      </c>
      <c r="P497">
        <v>570</v>
      </c>
      <c r="S497" t="str">
        <f>"BANCO CORA (102)"</f>
        <v>BANCO CORA (102)</v>
      </c>
      <c r="T497">
        <v>3927</v>
      </c>
      <c r="U497">
        <v>3381</v>
      </c>
      <c r="V497" t="s">
        <v>22</v>
      </c>
    </row>
    <row r="498" spans="1:22">
      <c r="A498" t="str">
        <f t="shared" si="175"/>
        <v>15/01/2026</v>
      </c>
      <c r="B498" t="str">
        <f t="shared" ref="B498:B529" si="178">"ENTRADA"</f>
        <v>ENTRADA</v>
      </c>
      <c r="C498" t="str">
        <f t="shared" ref="C498:C529" si="179">"NFSE"</f>
        <v>NFSE</v>
      </c>
      <c r="D498" t="str">
        <f>"40"</f>
        <v>40</v>
      </c>
      <c r="E498" t="str">
        <f t="shared" si="177"/>
        <v>1</v>
      </c>
      <c r="F498" t="str">
        <f t="shared" si="176"/>
        <v>COM</v>
      </c>
      <c r="G498" t="str">
        <f>"AC FARMA - CID.ALTA (10166)"</f>
        <v>AC FARMA - CID.ALTA (10166)</v>
      </c>
      <c r="H498" t="str">
        <f>"Serv.Prest. 29/12/2025 a 04/01/2026 - RPS: 1970 - NFSe: 40"</f>
        <v>Serv.Prest. 29/12/2025 a 04/01/2026 - RPS: 1970 - NFSe: 40</v>
      </c>
      <c r="I498" t="str">
        <f t="shared" ref="I498:I529" si="180">("14/01/2026")</f>
        <v>14/01/2026</v>
      </c>
      <c r="J498" t="str">
        <f t="shared" ref="J498:J503" si="181">("06/01/2026")</f>
        <v>06/01/2026</v>
      </c>
      <c r="K498" t="str">
        <f>("15/01/2026")</f>
        <v>15/01/2026</v>
      </c>
      <c r="L498">
        <v>776.97</v>
      </c>
      <c r="M498">
        <v>776.97</v>
      </c>
      <c r="N498">
        <v>303</v>
      </c>
      <c r="O498" t="str">
        <f>"RECEITAS COM ENTREGAS"</f>
        <v>RECEITAS COM ENTREGAS</v>
      </c>
      <c r="P498">
        <v>776.97</v>
      </c>
      <c r="S498" t="str">
        <f>"RECEITAS COM ENTREGAS (303)"</f>
        <v>RECEITAS COM ENTREGAS (303)</v>
      </c>
      <c r="T498">
        <v>3979</v>
      </c>
      <c r="U498">
        <v>3280</v>
      </c>
      <c r="V498" t="s">
        <v>88</v>
      </c>
    </row>
    <row r="499" spans="1:22">
      <c r="A499" t="str">
        <f t="shared" si="175"/>
        <v>15/01/2026</v>
      </c>
      <c r="B499" t="str">
        <f t="shared" si="178"/>
        <v>ENTRADA</v>
      </c>
      <c r="C499" t="str">
        <f t="shared" si="179"/>
        <v>NFSE</v>
      </c>
      <c r="D499" t="str">
        <f>"40"</f>
        <v>40</v>
      </c>
      <c r="E499" t="str">
        <f t="shared" si="177"/>
        <v>1</v>
      </c>
      <c r="F499" t="str">
        <f t="shared" si="176"/>
        <v>COM</v>
      </c>
      <c r="G499" t="str">
        <f>"AC FARMA - CID.ALTA (10166)"</f>
        <v>AC FARMA - CID.ALTA (10166)</v>
      </c>
      <c r="H499" t="s">
        <v>155</v>
      </c>
      <c r="I499" t="str">
        <f t="shared" si="180"/>
        <v>14/01/2026</v>
      </c>
      <c r="J499" t="str">
        <f t="shared" si="181"/>
        <v>06/01/2026</v>
      </c>
      <c r="K499">
        <v>46037</v>
      </c>
      <c r="N499">
        <v>303</v>
      </c>
      <c r="O499" t="s">
        <v>26</v>
      </c>
      <c r="Q499">
        <v>776.97</v>
      </c>
      <c r="R499" t="str">
        <f>"AC FARMA - CID.ALTA (10166)"</f>
        <v>AC FARMA - CID.ALTA (10166)</v>
      </c>
      <c r="S499" t="s">
        <v>27</v>
      </c>
      <c r="T499">
        <v>3979</v>
      </c>
      <c r="U499">
        <v>3280</v>
      </c>
      <c r="V499" t="s">
        <v>88</v>
      </c>
    </row>
    <row r="500" spans="1:22">
      <c r="A500" t="str">
        <f t="shared" si="175"/>
        <v>15/01/2026</v>
      </c>
      <c r="B500" t="str">
        <f t="shared" si="178"/>
        <v>ENTRADA</v>
      </c>
      <c r="C500" t="str">
        <f t="shared" si="179"/>
        <v>NFSE</v>
      </c>
      <c r="D500" t="str">
        <f>"41"</f>
        <v>41</v>
      </c>
      <c r="E500" t="str">
        <f t="shared" si="177"/>
        <v>1</v>
      </c>
      <c r="F500" t="str">
        <f t="shared" si="176"/>
        <v>COM</v>
      </c>
      <c r="G500" t="str">
        <f>"AC FARMA - FLEMINFARMA (10160)"</f>
        <v>AC FARMA - FLEMINFARMA (10160)</v>
      </c>
      <c r="H500" t="str">
        <f>"Serv.Prest. 29/12/2025 a 04/01/2026 - RPS: 1971 - NFSe: 41"</f>
        <v>Serv.Prest. 29/12/2025 a 04/01/2026 - RPS: 1971 - NFSe: 41</v>
      </c>
      <c r="I500" t="str">
        <f t="shared" si="180"/>
        <v>14/01/2026</v>
      </c>
      <c r="J500" t="str">
        <f t="shared" si="181"/>
        <v>06/01/2026</v>
      </c>
      <c r="K500" t="str">
        <f>("15/01/2026")</f>
        <v>15/01/2026</v>
      </c>
      <c r="L500">
        <v>91.67</v>
      </c>
      <c r="M500">
        <v>91.67</v>
      </c>
      <c r="N500">
        <v>303</v>
      </c>
      <c r="O500" t="str">
        <f>"RECEITAS COM ENTREGAS"</f>
        <v>RECEITAS COM ENTREGAS</v>
      </c>
      <c r="P500">
        <v>91.67</v>
      </c>
      <c r="S500" t="str">
        <f>"RECEITAS COM ENTREGAS (303)"</f>
        <v>RECEITAS COM ENTREGAS (303)</v>
      </c>
      <c r="T500">
        <v>3980</v>
      </c>
      <c r="U500">
        <v>3281</v>
      </c>
      <c r="V500" t="s">
        <v>88</v>
      </c>
    </row>
    <row r="501" spans="1:22">
      <c r="A501" t="str">
        <f t="shared" si="175"/>
        <v>15/01/2026</v>
      </c>
      <c r="B501" t="str">
        <f t="shared" si="178"/>
        <v>ENTRADA</v>
      </c>
      <c r="C501" t="str">
        <f t="shared" si="179"/>
        <v>NFSE</v>
      </c>
      <c r="D501" t="str">
        <f>"41"</f>
        <v>41</v>
      </c>
      <c r="E501" t="str">
        <f t="shared" si="177"/>
        <v>1</v>
      </c>
      <c r="F501" t="str">
        <f t="shared" si="176"/>
        <v>COM</v>
      </c>
      <c r="G501" t="str">
        <f>"AC FARMA - FLEMINFARMA (10160)"</f>
        <v>AC FARMA - FLEMINFARMA (10160)</v>
      </c>
      <c r="H501" t="s">
        <v>156</v>
      </c>
      <c r="I501" t="str">
        <f t="shared" si="180"/>
        <v>14/01/2026</v>
      </c>
      <c r="J501" t="str">
        <f t="shared" si="181"/>
        <v>06/01/2026</v>
      </c>
      <c r="K501">
        <v>46037</v>
      </c>
      <c r="N501">
        <v>303</v>
      </c>
      <c r="O501" t="s">
        <v>26</v>
      </c>
      <c r="Q501">
        <v>91.67</v>
      </c>
      <c r="R501" t="str">
        <f>"AC FARMA -  FLEMINFARMA (10159)"</f>
        <v>AC FARMA -  FLEMINFARMA (10159)</v>
      </c>
      <c r="S501" t="s">
        <v>27</v>
      </c>
      <c r="T501">
        <v>3980</v>
      </c>
      <c r="U501">
        <v>3281</v>
      </c>
      <c r="V501" t="s">
        <v>88</v>
      </c>
    </row>
    <row r="502" spans="1:22">
      <c r="A502" t="str">
        <f t="shared" si="175"/>
        <v>15/01/2026</v>
      </c>
      <c r="B502" t="str">
        <f t="shared" si="178"/>
        <v>ENTRADA</v>
      </c>
      <c r="C502" t="str">
        <f t="shared" si="179"/>
        <v>NFSE</v>
      </c>
      <c r="D502" t="str">
        <f>"42"</f>
        <v>42</v>
      </c>
      <c r="E502" t="str">
        <f t="shared" si="177"/>
        <v>1</v>
      </c>
      <c r="F502" t="str">
        <f t="shared" si="176"/>
        <v>COM</v>
      </c>
      <c r="G502" t="str">
        <f>"AC FARMA - FLEMINFARMA 5 (10183)"</f>
        <v>AC FARMA - FLEMINFARMA 5 (10183)</v>
      </c>
      <c r="H502" t="str">
        <f>"Serv.Prest. 29/12/2025 a 04/01/2026 - RPS: 1972 - NFSe: 42"</f>
        <v>Serv.Prest. 29/12/2025 a 04/01/2026 - RPS: 1972 - NFSe: 42</v>
      </c>
      <c r="I502" t="str">
        <f t="shared" si="180"/>
        <v>14/01/2026</v>
      </c>
      <c r="J502" t="str">
        <f t="shared" si="181"/>
        <v>06/01/2026</v>
      </c>
      <c r="K502" t="str">
        <f>("15/01/2026")</f>
        <v>15/01/2026</v>
      </c>
      <c r="L502">
        <v>59.66</v>
      </c>
      <c r="M502">
        <v>59.66</v>
      </c>
      <c r="N502">
        <v>303</v>
      </c>
      <c r="O502" t="str">
        <f>"RECEITAS COM ENTREGAS"</f>
        <v>RECEITAS COM ENTREGAS</v>
      </c>
      <c r="P502">
        <v>59.66</v>
      </c>
      <c r="S502" t="str">
        <f>"RECEITAS COM ENTREGAS (303)"</f>
        <v>RECEITAS COM ENTREGAS (303)</v>
      </c>
      <c r="T502">
        <v>3981</v>
      </c>
      <c r="U502">
        <v>3282</v>
      </c>
      <c r="V502" t="s">
        <v>88</v>
      </c>
    </row>
    <row r="503" spans="1:22">
      <c r="A503" t="str">
        <f t="shared" si="175"/>
        <v>15/01/2026</v>
      </c>
      <c r="B503" t="str">
        <f t="shared" si="178"/>
        <v>ENTRADA</v>
      </c>
      <c r="C503" t="str">
        <f t="shared" si="179"/>
        <v>NFSE</v>
      </c>
      <c r="D503" t="str">
        <f>"42"</f>
        <v>42</v>
      </c>
      <c r="E503" t="str">
        <f t="shared" si="177"/>
        <v>1</v>
      </c>
      <c r="F503" t="str">
        <f t="shared" si="176"/>
        <v>COM</v>
      </c>
      <c r="G503" t="str">
        <f>"AC FARMA - FLEMINFARMA 5 (10183)"</f>
        <v>AC FARMA - FLEMINFARMA 5 (10183)</v>
      </c>
      <c r="H503" t="s">
        <v>157</v>
      </c>
      <c r="I503" t="str">
        <f t="shared" si="180"/>
        <v>14/01/2026</v>
      </c>
      <c r="J503" t="str">
        <f t="shared" si="181"/>
        <v>06/01/2026</v>
      </c>
      <c r="K503">
        <v>46037</v>
      </c>
      <c r="N503">
        <v>303</v>
      </c>
      <c r="O503" t="s">
        <v>26</v>
      </c>
      <c r="Q503">
        <v>59.66</v>
      </c>
      <c r="R503" t="str">
        <f>"AC FARMA - FLEMINFARMA 5 (10183)"</f>
        <v>AC FARMA - FLEMINFARMA 5 (10183)</v>
      </c>
      <c r="S503" t="s">
        <v>27</v>
      </c>
      <c r="T503">
        <v>3981</v>
      </c>
      <c r="U503">
        <v>3282</v>
      </c>
      <c r="V503" t="s">
        <v>88</v>
      </c>
    </row>
    <row r="504" spans="1:22">
      <c r="A504" t="str">
        <f t="shared" si="175"/>
        <v>15/01/2026</v>
      </c>
      <c r="B504" t="str">
        <f t="shared" si="178"/>
        <v>ENTRADA</v>
      </c>
      <c r="C504" t="str">
        <f t="shared" si="179"/>
        <v>NFSE</v>
      </c>
      <c r="D504" t="str">
        <f>"51"</f>
        <v>51</v>
      </c>
      <c r="E504" t="str">
        <f t="shared" si="177"/>
        <v>1</v>
      </c>
      <c r="F504" t="str">
        <f t="shared" si="176"/>
        <v>COM</v>
      </c>
      <c r="G504" t="str">
        <f>"LBL FARMACIA LTDA (10189)"</f>
        <v>LBL FARMACIA LTDA (10189)</v>
      </c>
      <c r="H504" t="str">
        <f>"Serv.Prest. 05/01/2026 a 11/01/2026 - RPS: 1977 - NFSe: 51"</f>
        <v>Serv.Prest. 05/01/2026 a 11/01/2026 - RPS: 1977 - NFSe: 51</v>
      </c>
      <c r="I504" t="str">
        <f t="shared" si="180"/>
        <v>14/01/2026</v>
      </c>
      <c r="J504" t="str">
        <f t="shared" ref="J504:J535" si="182">("12/01/2026")</f>
        <v>12/01/2026</v>
      </c>
      <c r="K504" t="str">
        <f>("15/01/2026")</f>
        <v>15/01/2026</v>
      </c>
      <c r="L504">
        <v>150.15</v>
      </c>
      <c r="M504">
        <v>150.15</v>
      </c>
      <c r="N504">
        <v>303</v>
      </c>
      <c r="O504" t="str">
        <f>"RECEITAS COM ENTREGAS"</f>
        <v>RECEITAS COM ENTREGAS</v>
      </c>
      <c r="P504">
        <v>150.15</v>
      </c>
      <c r="S504" t="str">
        <f>"RECEITAS COM ENTREGAS (303)"</f>
        <v>RECEITAS COM ENTREGAS (303)</v>
      </c>
      <c r="T504">
        <v>3982</v>
      </c>
      <c r="U504">
        <v>3318</v>
      </c>
      <c r="V504" t="s">
        <v>88</v>
      </c>
    </row>
    <row r="505" spans="1:22">
      <c r="A505" t="str">
        <f t="shared" si="175"/>
        <v>15/01/2026</v>
      </c>
      <c r="B505" t="str">
        <f t="shared" si="178"/>
        <v>ENTRADA</v>
      </c>
      <c r="C505" t="str">
        <f t="shared" si="179"/>
        <v>NFSE</v>
      </c>
      <c r="D505" t="str">
        <f>"51"</f>
        <v>51</v>
      </c>
      <c r="E505" t="str">
        <f t="shared" si="177"/>
        <v>1</v>
      </c>
      <c r="F505" t="str">
        <f t="shared" si="176"/>
        <v>COM</v>
      </c>
      <c r="G505" t="str">
        <f>"LBL FARMACIA LTDA (10189)"</f>
        <v>LBL FARMACIA LTDA (10189)</v>
      </c>
      <c r="H505" t="s">
        <v>158</v>
      </c>
      <c r="I505" t="str">
        <f t="shared" si="180"/>
        <v>14/01/2026</v>
      </c>
      <c r="J505" t="str">
        <f t="shared" si="182"/>
        <v>12/01/2026</v>
      </c>
      <c r="K505">
        <v>46037</v>
      </c>
      <c r="N505">
        <v>303</v>
      </c>
      <c r="O505" t="s">
        <v>26</v>
      </c>
      <c r="Q505">
        <v>150.15</v>
      </c>
      <c r="R505" t="str">
        <f>"LBL FARMACIA LTDA (10189)"</f>
        <v>LBL FARMACIA LTDA (10189)</v>
      </c>
      <c r="S505" t="s">
        <v>27</v>
      </c>
      <c r="T505">
        <v>3982</v>
      </c>
      <c r="U505">
        <v>3318</v>
      </c>
      <c r="V505" t="s">
        <v>88</v>
      </c>
    </row>
    <row r="506" spans="1:22">
      <c r="A506" t="str">
        <f t="shared" si="175"/>
        <v>15/01/2026</v>
      </c>
      <c r="B506" t="str">
        <f t="shared" si="178"/>
        <v>ENTRADA</v>
      </c>
      <c r="C506" t="str">
        <f t="shared" si="179"/>
        <v>NFSE</v>
      </c>
      <c r="D506" t="str">
        <f>"52"</f>
        <v>52</v>
      </c>
      <c r="E506" t="str">
        <f t="shared" si="177"/>
        <v>1</v>
      </c>
      <c r="F506" t="str">
        <f t="shared" si="176"/>
        <v>COM</v>
      </c>
      <c r="G506" t="str">
        <f>"LBL FARMACIA LTDA FILIAL (10192)"</f>
        <v>LBL FARMACIA LTDA FILIAL (10192)</v>
      </c>
      <c r="H506" t="str">
        <f>"Serv.Prest. 05/01/2026 a 11/01/2026 - RPS: 1978 - NFSe: 52"</f>
        <v>Serv.Prest. 05/01/2026 a 11/01/2026 - RPS: 1978 - NFSe: 52</v>
      </c>
      <c r="I506" t="str">
        <f t="shared" si="180"/>
        <v>14/01/2026</v>
      </c>
      <c r="J506" t="str">
        <f t="shared" si="182"/>
        <v>12/01/2026</v>
      </c>
      <c r="K506" t="str">
        <f>("15/01/2026")</f>
        <v>15/01/2026</v>
      </c>
      <c r="L506">
        <v>323.39999999999998</v>
      </c>
      <c r="M506">
        <v>323.39999999999998</v>
      </c>
      <c r="N506">
        <v>303</v>
      </c>
      <c r="O506" t="str">
        <f>"RECEITAS COM ENTREGAS"</f>
        <v>RECEITAS COM ENTREGAS</v>
      </c>
      <c r="P506">
        <v>323.39999999999998</v>
      </c>
      <c r="S506" t="str">
        <f>"RECEITAS COM ENTREGAS (303)"</f>
        <v>RECEITAS COM ENTREGAS (303)</v>
      </c>
      <c r="T506">
        <v>3983</v>
      </c>
      <c r="U506">
        <v>3319</v>
      </c>
      <c r="V506" t="s">
        <v>88</v>
      </c>
    </row>
    <row r="507" spans="1:22">
      <c r="A507" t="str">
        <f t="shared" si="175"/>
        <v>15/01/2026</v>
      </c>
      <c r="B507" t="str">
        <f t="shared" si="178"/>
        <v>ENTRADA</v>
      </c>
      <c r="C507" t="str">
        <f t="shared" si="179"/>
        <v>NFSE</v>
      </c>
      <c r="D507" t="str">
        <f>"52"</f>
        <v>52</v>
      </c>
      <c r="E507" t="str">
        <f t="shared" si="177"/>
        <v>1</v>
      </c>
      <c r="F507" t="str">
        <f t="shared" si="176"/>
        <v>COM</v>
      </c>
      <c r="G507" t="str">
        <f>"LBL FARMACIA LTDA FILIAL (10192)"</f>
        <v>LBL FARMACIA LTDA FILIAL (10192)</v>
      </c>
      <c r="H507" t="s">
        <v>159</v>
      </c>
      <c r="I507" t="str">
        <f t="shared" si="180"/>
        <v>14/01/2026</v>
      </c>
      <c r="J507" t="str">
        <f t="shared" si="182"/>
        <v>12/01/2026</v>
      </c>
      <c r="K507">
        <v>46037</v>
      </c>
      <c r="N507">
        <v>303</v>
      </c>
      <c r="O507" t="s">
        <v>26</v>
      </c>
      <c r="Q507">
        <v>323.39999999999998</v>
      </c>
      <c r="R507" t="str">
        <f>"LBL FARMACIA LTDA FILIAL (10192)"</f>
        <v>LBL FARMACIA LTDA FILIAL (10192)</v>
      </c>
      <c r="S507" t="s">
        <v>27</v>
      </c>
      <c r="T507">
        <v>3983</v>
      </c>
      <c r="U507">
        <v>3319</v>
      </c>
      <c r="V507" t="s">
        <v>88</v>
      </c>
    </row>
    <row r="508" spans="1:22">
      <c r="A508" t="str">
        <f t="shared" si="175"/>
        <v>15/01/2026</v>
      </c>
      <c r="B508" t="str">
        <f t="shared" si="178"/>
        <v>ENTRADA</v>
      </c>
      <c r="C508" t="str">
        <f t="shared" si="179"/>
        <v>NFSE</v>
      </c>
      <c r="D508" t="str">
        <f>"53"</f>
        <v>53</v>
      </c>
      <c r="E508" t="str">
        <f t="shared" si="177"/>
        <v>1</v>
      </c>
      <c r="F508" t="str">
        <f t="shared" si="176"/>
        <v>COM</v>
      </c>
      <c r="G508" t="str">
        <f>"JAL FARMACIA E DROGARIA LJ 1 (10137)"</f>
        <v>JAL FARMACIA E DROGARIA LJ 1 (10137)</v>
      </c>
      <c r="H508" t="str">
        <f>"Serv.Prest. 05/01/2026 a 11/01/2026 - RPS: 1979 - NFSe: 53"</f>
        <v>Serv.Prest. 05/01/2026 a 11/01/2026 - RPS: 1979 - NFSe: 53</v>
      </c>
      <c r="I508" t="str">
        <f t="shared" si="180"/>
        <v>14/01/2026</v>
      </c>
      <c r="J508" t="str">
        <f t="shared" si="182"/>
        <v>12/01/2026</v>
      </c>
      <c r="K508" t="str">
        <f>("15/01/2026")</f>
        <v>15/01/2026</v>
      </c>
      <c r="L508">
        <v>481.5</v>
      </c>
      <c r="M508">
        <v>481.5</v>
      </c>
      <c r="N508">
        <v>303</v>
      </c>
      <c r="O508" t="str">
        <f>"RECEITAS COM ENTREGAS"</f>
        <v>RECEITAS COM ENTREGAS</v>
      </c>
      <c r="P508">
        <v>481.5</v>
      </c>
      <c r="S508" t="str">
        <f>"RECEITAS COM ENTREGAS (303)"</f>
        <v>RECEITAS COM ENTREGAS (303)</v>
      </c>
      <c r="T508">
        <v>3984</v>
      </c>
      <c r="U508">
        <v>3320</v>
      </c>
      <c r="V508" t="s">
        <v>88</v>
      </c>
    </row>
    <row r="509" spans="1:22">
      <c r="A509" t="str">
        <f t="shared" si="175"/>
        <v>15/01/2026</v>
      </c>
      <c r="B509" t="str">
        <f t="shared" si="178"/>
        <v>ENTRADA</v>
      </c>
      <c r="C509" t="str">
        <f t="shared" si="179"/>
        <v>NFSE</v>
      </c>
      <c r="D509" t="str">
        <f>"53"</f>
        <v>53</v>
      </c>
      <c r="E509" t="str">
        <f t="shared" si="177"/>
        <v>1</v>
      </c>
      <c r="F509" t="str">
        <f t="shared" si="176"/>
        <v>COM</v>
      </c>
      <c r="G509" t="str">
        <f>"JAL FARMACIA E DROGARIA LJ 1 (10137)"</f>
        <v>JAL FARMACIA E DROGARIA LJ 1 (10137)</v>
      </c>
      <c r="H509" t="s">
        <v>160</v>
      </c>
      <c r="I509" t="str">
        <f t="shared" si="180"/>
        <v>14/01/2026</v>
      </c>
      <c r="J509" t="str">
        <f t="shared" si="182"/>
        <v>12/01/2026</v>
      </c>
      <c r="K509">
        <v>46037</v>
      </c>
      <c r="N509">
        <v>303</v>
      </c>
      <c r="O509" t="s">
        <v>26</v>
      </c>
      <c r="Q509">
        <v>481.5</v>
      </c>
      <c r="R509" t="str">
        <f>"JAL FARMACIA E DROGARIA LJ 1 (10137)"</f>
        <v>JAL FARMACIA E DROGARIA LJ 1 (10137)</v>
      </c>
      <c r="S509" t="s">
        <v>27</v>
      </c>
      <c r="T509">
        <v>3984</v>
      </c>
      <c r="U509">
        <v>3320</v>
      </c>
      <c r="V509" t="s">
        <v>88</v>
      </c>
    </row>
    <row r="510" spans="1:22">
      <c r="A510" t="str">
        <f t="shared" si="175"/>
        <v>15/01/2026</v>
      </c>
      <c r="B510" t="str">
        <f t="shared" si="178"/>
        <v>ENTRADA</v>
      </c>
      <c r="C510" t="str">
        <f t="shared" si="179"/>
        <v>NFSE</v>
      </c>
      <c r="D510" t="str">
        <f>"54"</f>
        <v>54</v>
      </c>
      <c r="E510" t="str">
        <f t="shared" si="177"/>
        <v>1</v>
      </c>
      <c r="F510" t="str">
        <f t="shared" si="176"/>
        <v>COM</v>
      </c>
      <c r="G510" t="str">
        <f>"JAL FARMACIA E DROGARIA LJ 2 (10138)"</f>
        <v>JAL FARMACIA E DROGARIA LJ 2 (10138)</v>
      </c>
      <c r="H510" t="str">
        <f>"Serv.Prest. 05/01/2026 a 11/01/2026 - RPS: 1980 - NFSe: 54"</f>
        <v>Serv.Prest. 05/01/2026 a 11/01/2026 - RPS: 1980 - NFSe: 54</v>
      </c>
      <c r="I510" t="str">
        <f t="shared" si="180"/>
        <v>14/01/2026</v>
      </c>
      <c r="J510" t="str">
        <f t="shared" si="182"/>
        <v>12/01/2026</v>
      </c>
      <c r="K510" t="str">
        <f>("15/01/2026")</f>
        <v>15/01/2026</v>
      </c>
      <c r="L510">
        <v>246</v>
      </c>
      <c r="M510">
        <v>246</v>
      </c>
      <c r="N510">
        <v>303</v>
      </c>
      <c r="O510" t="str">
        <f>"RECEITAS COM ENTREGAS"</f>
        <v>RECEITAS COM ENTREGAS</v>
      </c>
      <c r="P510">
        <v>246</v>
      </c>
      <c r="S510" t="str">
        <f>"RECEITAS COM ENTREGAS (303)"</f>
        <v>RECEITAS COM ENTREGAS (303)</v>
      </c>
      <c r="T510">
        <v>3985</v>
      </c>
      <c r="U510">
        <v>3321</v>
      </c>
      <c r="V510" t="s">
        <v>88</v>
      </c>
    </row>
    <row r="511" spans="1:22">
      <c r="A511" t="str">
        <f t="shared" si="175"/>
        <v>15/01/2026</v>
      </c>
      <c r="B511" t="str">
        <f t="shared" si="178"/>
        <v>ENTRADA</v>
      </c>
      <c r="C511" t="str">
        <f t="shared" si="179"/>
        <v>NFSE</v>
      </c>
      <c r="D511" t="str">
        <f>"54"</f>
        <v>54</v>
      </c>
      <c r="E511" t="str">
        <f t="shared" si="177"/>
        <v>1</v>
      </c>
      <c r="F511" t="str">
        <f t="shared" si="176"/>
        <v>COM</v>
      </c>
      <c r="G511" t="str">
        <f>"JAL FARMACIA E DROGARIA LJ 2 (10138)"</f>
        <v>JAL FARMACIA E DROGARIA LJ 2 (10138)</v>
      </c>
      <c r="H511" t="s">
        <v>161</v>
      </c>
      <c r="I511" t="str">
        <f t="shared" si="180"/>
        <v>14/01/2026</v>
      </c>
      <c r="J511" t="str">
        <f t="shared" si="182"/>
        <v>12/01/2026</v>
      </c>
      <c r="K511">
        <v>46037</v>
      </c>
      <c r="N511">
        <v>303</v>
      </c>
      <c r="O511" t="s">
        <v>26</v>
      </c>
      <c r="Q511">
        <v>246</v>
      </c>
      <c r="R511" t="str">
        <f>"JAL FARMACIA E DROGARIA LJ 2 (10138)"</f>
        <v>JAL FARMACIA E DROGARIA LJ 2 (10138)</v>
      </c>
      <c r="S511" t="s">
        <v>27</v>
      </c>
      <c r="T511">
        <v>3985</v>
      </c>
      <c r="U511">
        <v>3321</v>
      </c>
      <c r="V511" t="s">
        <v>88</v>
      </c>
    </row>
    <row r="512" spans="1:22">
      <c r="A512" t="str">
        <f t="shared" si="175"/>
        <v>15/01/2026</v>
      </c>
      <c r="B512" t="str">
        <f t="shared" si="178"/>
        <v>ENTRADA</v>
      </c>
      <c r="C512" t="str">
        <f t="shared" si="179"/>
        <v>NFSE</v>
      </c>
      <c r="D512" t="str">
        <f>"59"</f>
        <v>59</v>
      </c>
      <c r="E512" t="str">
        <f t="shared" si="177"/>
        <v>1</v>
      </c>
      <c r="F512" t="str">
        <f t="shared" si="176"/>
        <v>COM</v>
      </c>
      <c r="G512" t="str">
        <f>"PENSE FARMA 31 (10205)"</f>
        <v>PENSE FARMA 31 (10205)</v>
      </c>
      <c r="H512" t="str">
        <f>"Serv.Prest. 05/01/2026 a 11/01/2026 - RPS: 1985 - NFSe: 59"</f>
        <v>Serv.Prest. 05/01/2026 a 11/01/2026 - RPS: 1985 - NFSe: 59</v>
      </c>
      <c r="I512" t="str">
        <f t="shared" si="180"/>
        <v>14/01/2026</v>
      </c>
      <c r="J512" t="str">
        <f t="shared" si="182"/>
        <v>12/01/2026</v>
      </c>
      <c r="K512" t="str">
        <f>("15/01/2026")</f>
        <v>15/01/2026</v>
      </c>
      <c r="L512">
        <v>540.16999999999996</v>
      </c>
      <c r="M512">
        <v>540.16999999999996</v>
      </c>
      <c r="N512">
        <v>303</v>
      </c>
      <c r="O512" t="str">
        <f>"RECEITAS COM ENTREGAS"</f>
        <v>RECEITAS COM ENTREGAS</v>
      </c>
      <c r="P512">
        <v>540.16999999999996</v>
      </c>
      <c r="S512" t="str">
        <f>"RECEITAS COM ENTREGAS (303)"</f>
        <v>RECEITAS COM ENTREGAS (303)</v>
      </c>
      <c r="T512">
        <v>3986</v>
      </c>
      <c r="U512">
        <v>3327</v>
      </c>
      <c r="V512" t="s">
        <v>88</v>
      </c>
    </row>
    <row r="513" spans="1:22">
      <c r="A513" t="str">
        <f t="shared" si="175"/>
        <v>15/01/2026</v>
      </c>
      <c r="B513" t="str">
        <f t="shared" si="178"/>
        <v>ENTRADA</v>
      </c>
      <c r="C513" t="str">
        <f t="shared" si="179"/>
        <v>NFSE</v>
      </c>
      <c r="D513" t="str">
        <f>"59"</f>
        <v>59</v>
      </c>
      <c r="E513" t="str">
        <f t="shared" si="177"/>
        <v>1</v>
      </c>
      <c r="F513" t="str">
        <f t="shared" si="176"/>
        <v>COM</v>
      </c>
      <c r="G513" t="str">
        <f>"PENSE FARMA 31 (10205)"</f>
        <v>PENSE FARMA 31 (10205)</v>
      </c>
      <c r="H513" t="s">
        <v>162</v>
      </c>
      <c r="I513" t="str">
        <f t="shared" si="180"/>
        <v>14/01/2026</v>
      </c>
      <c r="J513" t="str">
        <f t="shared" si="182"/>
        <v>12/01/2026</v>
      </c>
      <c r="K513">
        <v>46037</v>
      </c>
      <c r="N513">
        <v>303</v>
      </c>
      <c r="O513" t="s">
        <v>26</v>
      </c>
      <c r="Q513">
        <v>134.94</v>
      </c>
      <c r="R513" t="str">
        <f>"PENSE FARMA 31 (10205)"</f>
        <v>PENSE FARMA 31 (10205)</v>
      </c>
      <c r="S513" t="s">
        <v>27</v>
      </c>
      <c r="T513">
        <v>3986</v>
      </c>
      <c r="U513">
        <v>3327</v>
      </c>
      <c r="V513" t="s">
        <v>88</v>
      </c>
    </row>
    <row r="514" spans="1:22">
      <c r="A514" t="str">
        <f t="shared" si="175"/>
        <v>15/01/2026</v>
      </c>
      <c r="B514" t="str">
        <f t="shared" si="178"/>
        <v>ENTRADA</v>
      </c>
      <c r="C514" t="str">
        <f t="shared" si="179"/>
        <v>NFSE</v>
      </c>
      <c r="D514" t="str">
        <f>"59"</f>
        <v>59</v>
      </c>
      <c r="E514" t="str">
        <f t="shared" si="177"/>
        <v>1</v>
      </c>
      <c r="F514" t="str">
        <f t="shared" si="176"/>
        <v>COM</v>
      </c>
      <c r="G514" t="str">
        <f>"PENSE FARMA 31 (10205)"</f>
        <v>PENSE FARMA 31 (10205)</v>
      </c>
      <c r="H514" t="s">
        <v>162</v>
      </c>
      <c r="I514" t="str">
        <f t="shared" si="180"/>
        <v>14/01/2026</v>
      </c>
      <c r="J514" t="str">
        <f t="shared" si="182"/>
        <v>12/01/2026</v>
      </c>
      <c r="K514">
        <v>46037</v>
      </c>
      <c r="N514">
        <v>303</v>
      </c>
      <c r="O514" t="s">
        <v>26</v>
      </c>
      <c r="Q514">
        <v>134.93</v>
      </c>
      <c r="R514" t="str">
        <f>"PENSE FARMA 16 (10221)"</f>
        <v>PENSE FARMA 16 (10221)</v>
      </c>
      <c r="S514" t="s">
        <v>27</v>
      </c>
      <c r="T514">
        <v>3986</v>
      </c>
      <c r="U514">
        <v>3327</v>
      </c>
      <c r="V514" t="s">
        <v>88</v>
      </c>
    </row>
    <row r="515" spans="1:22">
      <c r="A515" t="str">
        <f t="shared" si="175"/>
        <v>15/01/2026</v>
      </c>
      <c r="B515" t="str">
        <f t="shared" si="178"/>
        <v>ENTRADA</v>
      </c>
      <c r="C515" t="str">
        <f t="shared" si="179"/>
        <v>NFSE</v>
      </c>
      <c r="D515" t="str">
        <f>"59"</f>
        <v>59</v>
      </c>
      <c r="E515" t="str">
        <f t="shared" si="177"/>
        <v>1</v>
      </c>
      <c r="F515" t="str">
        <f t="shared" si="176"/>
        <v>COM</v>
      </c>
      <c r="G515" t="str">
        <f>"PENSE FARMA 31 (10205)"</f>
        <v>PENSE FARMA 31 (10205)</v>
      </c>
      <c r="H515" t="s">
        <v>162</v>
      </c>
      <c r="I515" t="str">
        <f t="shared" si="180"/>
        <v>14/01/2026</v>
      </c>
      <c r="J515" t="str">
        <f t="shared" si="182"/>
        <v>12/01/2026</v>
      </c>
      <c r="K515">
        <v>46037</v>
      </c>
      <c r="N515">
        <v>303</v>
      </c>
      <c r="O515" t="s">
        <v>26</v>
      </c>
      <c r="Q515">
        <v>134.93</v>
      </c>
      <c r="R515" t="str">
        <f>"PENSE FARMA 17 (10222)"</f>
        <v>PENSE FARMA 17 (10222)</v>
      </c>
      <c r="S515" t="s">
        <v>27</v>
      </c>
      <c r="T515">
        <v>3986</v>
      </c>
      <c r="U515">
        <v>3327</v>
      </c>
      <c r="V515" t="s">
        <v>88</v>
      </c>
    </row>
    <row r="516" spans="1:22">
      <c r="A516" t="str">
        <f t="shared" si="175"/>
        <v>15/01/2026</v>
      </c>
      <c r="B516" t="str">
        <f t="shared" si="178"/>
        <v>ENTRADA</v>
      </c>
      <c r="C516" t="str">
        <f t="shared" si="179"/>
        <v>NFSE</v>
      </c>
      <c r="D516" t="str">
        <f>"59"</f>
        <v>59</v>
      </c>
      <c r="E516" t="str">
        <f t="shared" si="177"/>
        <v>1</v>
      </c>
      <c r="F516" t="str">
        <f t="shared" si="176"/>
        <v>COM</v>
      </c>
      <c r="G516" t="str">
        <f>"PENSE FARMA 31 (10205)"</f>
        <v>PENSE FARMA 31 (10205)</v>
      </c>
      <c r="H516" t="s">
        <v>162</v>
      </c>
      <c r="I516" t="str">
        <f t="shared" si="180"/>
        <v>14/01/2026</v>
      </c>
      <c r="J516" t="str">
        <f t="shared" si="182"/>
        <v>12/01/2026</v>
      </c>
      <c r="K516">
        <v>46037</v>
      </c>
      <c r="N516">
        <v>303</v>
      </c>
      <c r="O516" t="s">
        <v>26</v>
      </c>
      <c r="Q516">
        <v>135.37</v>
      </c>
      <c r="R516" t="str">
        <f>"PENSE FARMA 62 (10274)"</f>
        <v>PENSE FARMA 62 (10274)</v>
      </c>
      <c r="S516" t="s">
        <v>27</v>
      </c>
      <c r="T516">
        <v>3986</v>
      </c>
      <c r="U516">
        <v>3327</v>
      </c>
      <c r="V516" t="s">
        <v>88</v>
      </c>
    </row>
    <row r="517" spans="1:22">
      <c r="A517" t="str">
        <f t="shared" si="175"/>
        <v>15/01/2026</v>
      </c>
      <c r="B517" t="str">
        <f t="shared" si="178"/>
        <v>ENTRADA</v>
      </c>
      <c r="C517" t="str">
        <f t="shared" si="179"/>
        <v>NFSE</v>
      </c>
      <c r="D517" t="str">
        <f>"60"</f>
        <v>60</v>
      </c>
      <c r="E517" t="str">
        <f t="shared" si="177"/>
        <v>1</v>
      </c>
      <c r="F517" t="str">
        <f t="shared" si="176"/>
        <v>COM</v>
      </c>
      <c r="G517" t="str">
        <f>"PENSE FARMA 44 (10231)"</f>
        <v>PENSE FARMA 44 (10231)</v>
      </c>
      <c r="H517" t="str">
        <f>"Serv.Prest. 05/01/2026 a 11/01/2026 - RPS: 1986 - NFSe: 60"</f>
        <v>Serv.Prest. 05/01/2026 a 11/01/2026 - RPS: 1986 - NFSe: 60</v>
      </c>
      <c r="I517" t="str">
        <f t="shared" si="180"/>
        <v>14/01/2026</v>
      </c>
      <c r="J517" t="str">
        <f t="shared" si="182"/>
        <v>12/01/2026</v>
      </c>
      <c r="K517" t="str">
        <f>("15/01/2026")</f>
        <v>15/01/2026</v>
      </c>
      <c r="L517">
        <v>630.80999999999995</v>
      </c>
      <c r="M517">
        <v>630.80999999999995</v>
      </c>
      <c r="N517">
        <v>303</v>
      </c>
      <c r="O517" t="str">
        <f>"RECEITAS COM ENTREGAS"</f>
        <v>RECEITAS COM ENTREGAS</v>
      </c>
      <c r="P517">
        <v>630.80999999999995</v>
      </c>
      <c r="S517" t="str">
        <f>"RECEITAS COM ENTREGAS (303)"</f>
        <v>RECEITAS COM ENTREGAS (303)</v>
      </c>
      <c r="T517">
        <v>3987</v>
      </c>
      <c r="U517">
        <v>3328</v>
      </c>
      <c r="V517" t="s">
        <v>88</v>
      </c>
    </row>
    <row r="518" spans="1:22">
      <c r="A518" t="str">
        <f t="shared" si="175"/>
        <v>15/01/2026</v>
      </c>
      <c r="B518" t="str">
        <f t="shared" si="178"/>
        <v>ENTRADA</v>
      </c>
      <c r="C518" t="str">
        <f t="shared" si="179"/>
        <v>NFSE</v>
      </c>
      <c r="D518" t="str">
        <f>"60"</f>
        <v>60</v>
      </c>
      <c r="E518" t="str">
        <f t="shared" si="177"/>
        <v>1</v>
      </c>
      <c r="F518" t="str">
        <f t="shared" si="176"/>
        <v>COM</v>
      </c>
      <c r="G518" t="str">
        <f>"PENSE FARMA 44 (10231)"</f>
        <v>PENSE FARMA 44 (10231)</v>
      </c>
      <c r="H518" t="s">
        <v>163</v>
      </c>
      <c r="I518" t="str">
        <f t="shared" si="180"/>
        <v>14/01/2026</v>
      </c>
      <c r="J518" t="str">
        <f t="shared" si="182"/>
        <v>12/01/2026</v>
      </c>
      <c r="K518">
        <v>46037</v>
      </c>
      <c r="N518">
        <v>303</v>
      </c>
      <c r="O518" t="s">
        <v>26</v>
      </c>
      <c r="Q518">
        <v>314.89999999999998</v>
      </c>
      <c r="R518" t="str">
        <f>"PENSE FARMA 44 (10231)"</f>
        <v>PENSE FARMA 44 (10231)</v>
      </c>
      <c r="S518" t="s">
        <v>27</v>
      </c>
      <c r="T518">
        <v>3987</v>
      </c>
      <c r="U518">
        <v>3328</v>
      </c>
      <c r="V518" t="s">
        <v>88</v>
      </c>
    </row>
    <row r="519" spans="1:22">
      <c r="A519" t="str">
        <f t="shared" si="175"/>
        <v>15/01/2026</v>
      </c>
      <c r="B519" t="str">
        <f t="shared" si="178"/>
        <v>ENTRADA</v>
      </c>
      <c r="C519" t="str">
        <f t="shared" si="179"/>
        <v>NFSE</v>
      </c>
      <c r="D519" t="str">
        <f>"60"</f>
        <v>60</v>
      </c>
      <c r="E519" t="str">
        <f t="shared" si="177"/>
        <v>1</v>
      </c>
      <c r="F519" t="str">
        <f t="shared" si="176"/>
        <v>COM</v>
      </c>
      <c r="G519" t="str">
        <f>"PENSE FARMA 44 (10231)"</f>
        <v>PENSE FARMA 44 (10231)</v>
      </c>
      <c r="H519" t="s">
        <v>163</v>
      </c>
      <c r="I519" t="str">
        <f t="shared" si="180"/>
        <v>14/01/2026</v>
      </c>
      <c r="J519" t="str">
        <f t="shared" si="182"/>
        <v>12/01/2026</v>
      </c>
      <c r="K519">
        <v>46037</v>
      </c>
      <c r="N519">
        <v>303</v>
      </c>
      <c r="O519" t="s">
        <v>26</v>
      </c>
      <c r="Q519">
        <v>315.91000000000003</v>
      </c>
      <c r="R519" t="str">
        <f>"PENSE FARMA 48 (10233)"</f>
        <v>PENSE FARMA 48 (10233)</v>
      </c>
      <c r="S519" t="s">
        <v>27</v>
      </c>
      <c r="T519">
        <v>3987</v>
      </c>
      <c r="U519">
        <v>3328</v>
      </c>
      <c r="V519" t="s">
        <v>88</v>
      </c>
    </row>
    <row r="520" spans="1:22">
      <c r="A520" t="str">
        <f t="shared" si="175"/>
        <v>15/01/2026</v>
      </c>
      <c r="B520" t="str">
        <f t="shared" si="178"/>
        <v>ENTRADA</v>
      </c>
      <c r="C520" t="str">
        <f t="shared" si="179"/>
        <v>NFSE</v>
      </c>
      <c r="D520" t="str">
        <f>"61"</f>
        <v>61</v>
      </c>
      <c r="E520" t="str">
        <f t="shared" si="177"/>
        <v>1</v>
      </c>
      <c r="F520" t="str">
        <f t="shared" si="176"/>
        <v>COM</v>
      </c>
      <c r="G520" t="str">
        <f>"PENSE FARMA 19 (10223)"</f>
        <v>PENSE FARMA 19 (10223)</v>
      </c>
      <c r="H520" t="str">
        <f>"Serv.Prest. 05/01/2026 a 11/01/2026 - RPS: 1987 - NFSe: 61"</f>
        <v>Serv.Prest. 05/01/2026 a 11/01/2026 - RPS: 1987 - NFSe: 61</v>
      </c>
      <c r="I520" t="str">
        <f t="shared" si="180"/>
        <v>14/01/2026</v>
      </c>
      <c r="J520" t="str">
        <f t="shared" si="182"/>
        <v>12/01/2026</v>
      </c>
      <c r="K520" t="str">
        <f>("15/01/2026")</f>
        <v>15/01/2026</v>
      </c>
      <c r="L520">
        <v>507.65</v>
      </c>
      <c r="M520">
        <v>507.65</v>
      </c>
      <c r="N520">
        <v>303</v>
      </c>
      <c r="O520" t="str">
        <f>"RECEITAS COM ENTREGAS"</f>
        <v>RECEITAS COM ENTREGAS</v>
      </c>
      <c r="P520">
        <v>507.65</v>
      </c>
      <c r="S520" t="str">
        <f>"RECEITAS COM ENTREGAS (303)"</f>
        <v>RECEITAS COM ENTREGAS (303)</v>
      </c>
      <c r="T520">
        <v>3988</v>
      </c>
      <c r="U520">
        <v>3329</v>
      </c>
      <c r="V520" t="s">
        <v>88</v>
      </c>
    </row>
    <row r="521" spans="1:22">
      <c r="A521" t="str">
        <f t="shared" si="175"/>
        <v>15/01/2026</v>
      </c>
      <c r="B521" t="str">
        <f t="shared" si="178"/>
        <v>ENTRADA</v>
      </c>
      <c r="C521" t="str">
        <f t="shared" si="179"/>
        <v>NFSE</v>
      </c>
      <c r="D521" t="str">
        <f>"61"</f>
        <v>61</v>
      </c>
      <c r="E521" t="str">
        <f t="shared" si="177"/>
        <v>1</v>
      </c>
      <c r="F521" t="str">
        <f t="shared" si="176"/>
        <v>COM</v>
      </c>
      <c r="G521" t="str">
        <f>"PENSE FARMA 19 (10223)"</f>
        <v>PENSE FARMA 19 (10223)</v>
      </c>
      <c r="H521" t="s">
        <v>164</v>
      </c>
      <c r="I521" t="str">
        <f t="shared" si="180"/>
        <v>14/01/2026</v>
      </c>
      <c r="J521" t="str">
        <f t="shared" si="182"/>
        <v>12/01/2026</v>
      </c>
      <c r="K521">
        <v>46037</v>
      </c>
      <c r="N521">
        <v>303</v>
      </c>
      <c r="O521" t="s">
        <v>26</v>
      </c>
      <c r="Q521">
        <v>507.65</v>
      </c>
      <c r="R521" t="str">
        <f>"PENSE FARMA 19 (10223)"</f>
        <v>PENSE FARMA 19 (10223)</v>
      </c>
      <c r="S521" t="s">
        <v>27</v>
      </c>
      <c r="T521">
        <v>3988</v>
      </c>
      <c r="U521">
        <v>3329</v>
      </c>
      <c r="V521" t="s">
        <v>88</v>
      </c>
    </row>
    <row r="522" spans="1:22">
      <c r="A522" t="str">
        <f t="shared" si="175"/>
        <v>15/01/2026</v>
      </c>
      <c r="B522" t="str">
        <f t="shared" si="178"/>
        <v>ENTRADA</v>
      </c>
      <c r="C522" t="str">
        <f t="shared" si="179"/>
        <v>NFSE</v>
      </c>
      <c r="D522" t="str">
        <f>"62"</f>
        <v>62</v>
      </c>
      <c r="E522" t="str">
        <f t="shared" si="177"/>
        <v>1</v>
      </c>
      <c r="F522" t="str">
        <f t="shared" si="176"/>
        <v>COM</v>
      </c>
      <c r="G522" t="str">
        <f>"PENSE FARMA 49 (10234)"</f>
        <v>PENSE FARMA 49 (10234)</v>
      </c>
      <c r="H522" t="str">
        <f>"Serv.Prest. 05/01/2026 a 11/01/2026 - RPS: 1988 - NFSe: 62"</f>
        <v>Serv.Prest. 05/01/2026 a 11/01/2026 - RPS: 1988 - NFSe: 62</v>
      </c>
      <c r="I522" t="str">
        <f t="shared" si="180"/>
        <v>14/01/2026</v>
      </c>
      <c r="J522" t="str">
        <f t="shared" si="182"/>
        <v>12/01/2026</v>
      </c>
      <c r="K522" t="str">
        <f>("15/01/2026")</f>
        <v>15/01/2026</v>
      </c>
      <c r="L522">
        <v>213.43</v>
      </c>
      <c r="M522">
        <v>213.43</v>
      </c>
      <c r="N522">
        <v>303</v>
      </c>
      <c r="O522" t="str">
        <f>"RECEITAS COM ENTREGAS"</f>
        <v>RECEITAS COM ENTREGAS</v>
      </c>
      <c r="P522">
        <v>213.43</v>
      </c>
      <c r="S522" t="str">
        <f>"RECEITAS COM ENTREGAS (303)"</f>
        <v>RECEITAS COM ENTREGAS (303)</v>
      </c>
      <c r="T522">
        <v>3989</v>
      </c>
      <c r="U522">
        <v>3330</v>
      </c>
      <c r="V522" t="s">
        <v>88</v>
      </c>
    </row>
    <row r="523" spans="1:22">
      <c r="A523" t="str">
        <f t="shared" si="175"/>
        <v>15/01/2026</v>
      </c>
      <c r="B523" t="str">
        <f t="shared" si="178"/>
        <v>ENTRADA</v>
      </c>
      <c r="C523" t="str">
        <f t="shared" si="179"/>
        <v>NFSE</v>
      </c>
      <c r="D523" t="str">
        <f>"62"</f>
        <v>62</v>
      </c>
      <c r="E523" t="str">
        <f t="shared" si="177"/>
        <v>1</v>
      </c>
      <c r="F523" t="str">
        <f t="shared" si="176"/>
        <v>COM</v>
      </c>
      <c r="G523" t="str">
        <f>"PENSE FARMA 49 (10234)"</f>
        <v>PENSE FARMA 49 (10234)</v>
      </c>
      <c r="H523" t="s">
        <v>165</v>
      </c>
      <c r="I523" t="str">
        <f t="shared" si="180"/>
        <v>14/01/2026</v>
      </c>
      <c r="J523" t="str">
        <f t="shared" si="182"/>
        <v>12/01/2026</v>
      </c>
      <c r="K523">
        <v>46037</v>
      </c>
      <c r="N523">
        <v>303</v>
      </c>
      <c r="O523" t="s">
        <v>26</v>
      </c>
      <c r="Q523">
        <v>213.43</v>
      </c>
      <c r="R523" t="str">
        <f>"PENSE FARMA 49 (10234)"</f>
        <v>PENSE FARMA 49 (10234)</v>
      </c>
      <c r="S523" t="s">
        <v>27</v>
      </c>
      <c r="T523">
        <v>3989</v>
      </c>
      <c r="U523">
        <v>3330</v>
      </c>
      <c r="V523" t="s">
        <v>88</v>
      </c>
    </row>
    <row r="524" spans="1:22">
      <c r="A524" t="str">
        <f t="shared" si="175"/>
        <v>15/01/2026</v>
      </c>
      <c r="B524" t="str">
        <f t="shared" si="178"/>
        <v>ENTRADA</v>
      </c>
      <c r="C524" t="str">
        <f t="shared" si="179"/>
        <v>NFSE</v>
      </c>
      <c r="D524" t="str">
        <f>"63"</f>
        <v>63</v>
      </c>
      <c r="E524" t="str">
        <f t="shared" si="177"/>
        <v>1</v>
      </c>
      <c r="F524" t="str">
        <f t="shared" si="176"/>
        <v>COM</v>
      </c>
      <c r="G524" t="str">
        <f>"PENSE FARMA 39 (10228)"</f>
        <v>PENSE FARMA 39 (10228)</v>
      </c>
      <c r="H524" t="str">
        <f>"Serv.Prest. 05/01/2026 a 11/01/2026 - RPS: 1989 - NFSe: 63"</f>
        <v>Serv.Prest. 05/01/2026 a 11/01/2026 - RPS: 1989 - NFSe: 63</v>
      </c>
      <c r="I524" t="str">
        <f t="shared" si="180"/>
        <v>14/01/2026</v>
      </c>
      <c r="J524" t="str">
        <f t="shared" si="182"/>
        <v>12/01/2026</v>
      </c>
      <c r="K524" t="str">
        <f>("15/01/2026")</f>
        <v>15/01/2026</v>
      </c>
      <c r="L524">
        <v>599.98</v>
      </c>
      <c r="M524">
        <v>599.98</v>
      </c>
      <c r="N524">
        <v>303</v>
      </c>
      <c r="O524" t="str">
        <f>"RECEITAS COM ENTREGAS"</f>
        <v>RECEITAS COM ENTREGAS</v>
      </c>
      <c r="P524">
        <v>599.98</v>
      </c>
      <c r="S524" t="str">
        <f>"RECEITAS COM ENTREGAS (303)"</f>
        <v>RECEITAS COM ENTREGAS (303)</v>
      </c>
      <c r="T524">
        <v>3990</v>
      </c>
      <c r="U524">
        <v>3331</v>
      </c>
      <c r="V524" t="s">
        <v>88</v>
      </c>
    </row>
    <row r="525" spans="1:22">
      <c r="A525" t="str">
        <f t="shared" ref="A525:A556" si="183">("15/01/2026")</f>
        <v>15/01/2026</v>
      </c>
      <c r="B525" t="str">
        <f t="shared" si="178"/>
        <v>ENTRADA</v>
      </c>
      <c r="C525" t="str">
        <f t="shared" si="179"/>
        <v>NFSE</v>
      </c>
      <c r="D525" t="str">
        <f>"63"</f>
        <v>63</v>
      </c>
      <c r="E525" t="str">
        <f t="shared" si="177"/>
        <v>1</v>
      </c>
      <c r="F525" t="str">
        <f t="shared" ref="F525:F556" si="184">"COM"</f>
        <v>COM</v>
      </c>
      <c r="G525" t="str">
        <f>"PENSE FARMA 39 (10228)"</f>
        <v>PENSE FARMA 39 (10228)</v>
      </c>
      <c r="H525" t="s">
        <v>166</v>
      </c>
      <c r="I525" t="str">
        <f t="shared" si="180"/>
        <v>14/01/2026</v>
      </c>
      <c r="J525" t="str">
        <f t="shared" si="182"/>
        <v>12/01/2026</v>
      </c>
      <c r="K525">
        <v>46037</v>
      </c>
      <c r="N525">
        <v>303</v>
      </c>
      <c r="O525" t="s">
        <v>26</v>
      </c>
      <c r="Q525">
        <v>148.85</v>
      </c>
      <c r="R525" t="str">
        <f>"PENSE FARMA 02 (10199)"</f>
        <v>PENSE FARMA 02 (10199)</v>
      </c>
      <c r="S525" t="s">
        <v>27</v>
      </c>
      <c r="T525">
        <v>3990</v>
      </c>
      <c r="U525">
        <v>3331</v>
      </c>
      <c r="V525" t="s">
        <v>88</v>
      </c>
    </row>
    <row r="526" spans="1:22">
      <c r="A526" t="str">
        <f t="shared" si="183"/>
        <v>15/01/2026</v>
      </c>
      <c r="B526" t="str">
        <f t="shared" si="178"/>
        <v>ENTRADA</v>
      </c>
      <c r="C526" t="str">
        <f t="shared" si="179"/>
        <v>NFSE</v>
      </c>
      <c r="D526" t="str">
        <f>"63"</f>
        <v>63</v>
      </c>
      <c r="E526" t="str">
        <f t="shared" si="177"/>
        <v>1</v>
      </c>
      <c r="F526" t="str">
        <f t="shared" si="184"/>
        <v>COM</v>
      </c>
      <c r="G526" t="str">
        <f>"PENSE FARMA 39 (10228)"</f>
        <v>PENSE FARMA 39 (10228)</v>
      </c>
      <c r="H526" t="s">
        <v>166</v>
      </c>
      <c r="I526" t="str">
        <f t="shared" si="180"/>
        <v>14/01/2026</v>
      </c>
      <c r="J526" t="str">
        <f t="shared" si="182"/>
        <v>12/01/2026</v>
      </c>
      <c r="K526">
        <v>46037</v>
      </c>
      <c r="N526">
        <v>303</v>
      </c>
      <c r="O526" t="s">
        <v>26</v>
      </c>
      <c r="Q526">
        <v>148.86000000000001</v>
      </c>
      <c r="R526" t="str">
        <f>"PENSE FARMA 01 (10215)"</f>
        <v>PENSE FARMA 01 (10215)</v>
      </c>
      <c r="S526" t="s">
        <v>27</v>
      </c>
      <c r="T526">
        <v>3990</v>
      </c>
      <c r="U526">
        <v>3331</v>
      </c>
      <c r="V526" t="s">
        <v>88</v>
      </c>
    </row>
    <row r="527" spans="1:22">
      <c r="A527" t="str">
        <f t="shared" si="183"/>
        <v>15/01/2026</v>
      </c>
      <c r="B527" t="str">
        <f t="shared" si="178"/>
        <v>ENTRADA</v>
      </c>
      <c r="C527" t="str">
        <f t="shared" si="179"/>
        <v>NFSE</v>
      </c>
      <c r="D527" t="str">
        <f>"63"</f>
        <v>63</v>
      </c>
      <c r="E527" t="str">
        <f t="shared" ref="E527:E558" si="185">"1"</f>
        <v>1</v>
      </c>
      <c r="F527" t="str">
        <f t="shared" si="184"/>
        <v>COM</v>
      </c>
      <c r="G527" t="str">
        <f>"PENSE FARMA 39 (10228)"</f>
        <v>PENSE FARMA 39 (10228)</v>
      </c>
      <c r="H527" t="s">
        <v>166</v>
      </c>
      <c r="I527" t="str">
        <f t="shared" si="180"/>
        <v>14/01/2026</v>
      </c>
      <c r="J527" t="str">
        <f t="shared" si="182"/>
        <v>12/01/2026</v>
      </c>
      <c r="K527">
        <v>46037</v>
      </c>
      <c r="N527">
        <v>303</v>
      </c>
      <c r="O527" t="s">
        <v>26</v>
      </c>
      <c r="Q527">
        <v>148.86000000000001</v>
      </c>
      <c r="R527" t="str">
        <f>"PENSE FARMA 03 (10216)"</f>
        <v>PENSE FARMA 03 (10216)</v>
      </c>
      <c r="S527" t="s">
        <v>27</v>
      </c>
      <c r="T527">
        <v>3990</v>
      </c>
      <c r="U527">
        <v>3331</v>
      </c>
      <c r="V527" t="s">
        <v>88</v>
      </c>
    </row>
    <row r="528" spans="1:22">
      <c r="A528" t="str">
        <f t="shared" si="183"/>
        <v>15/01/2026</v>
      </c>
      <c r="B528" t="str">
        <f t="shared" si="178"/>
        <v>ENTRADA</v>
      </c>
      <c r="C528" t="str">
        <f t="shared" si="179"/>
        <v>NFSE</v>
      </c>
      <c r="D528" t="str">
        <f>"63"</f>
        <v>63</v>
      </c>
      <c r="E528" t="str">
        <f t="shared" si="185"/>
        <v>1</v>
      </c>
      <c r="F528" t="str">
        <f t="shared" si="184"/>
        <v>COM</v>
      </c>
      <c r="G528" t="str">
        <f>"PENSE FARMA 39 (10228)"</f>
        <v>PENSE FARMA 39 (10228)</v>
      </c>
      <c r="H528" t="s">
        <v>166</v>
      </c>
      <c r="I528" t="str">
        <f t="shared" si="180"/>
        <v>14/01/2026</v>
      </c>
      <c r="J528" t="str">
        <f t="shared" si="182"/>
        <v>12/01/2026</v>
      </c>
      <c r="K528">
        <v>46037</v>
      </c>
      <c r="N528">
        <v>303</v>
      </c>
      <c r="O528" t="s">
        <v>26</v>
      </c>
      <c r="Q528">
        <v>153.41</v>
      </c>
      <c r="R528" t="str">
        <f>"PENSE FARMA 39 (10228)"</f>
        <v>PENSE FARMA 39 (10228)</v>
      </c>
      <c r="S528" t="s">
        <v>27</v>
      </c>
      <c r="T528">
        <v>3990</v>
      </c>
      <c r="U528">
        <v>3331</v>
      </c>
      <c r="V528" t="s">
        <v>88</v>
      </c>
    </row>
    <row r="529" spans="1:22">
      <c r="A529" t="str">
        <f t="shared" si="183"/>
        <v>15/01/2026</v>
      </c>
      <c r="B529" t="str">
        <f t="shared" si="178"/>
        <v>ENTRADA</v>
      </c>
      <c r="C529" t="str">
        <f t="shared" si="179"/>
        <v>NFSE</v>
      </c>
      <c r="D529" t="str">
        <f>"64"</f>
        <v>64</v>
      </c>
      <c r="E529" t="str">
        <f t="shared" si="185"/>
        <v>1</v>
      </c>
      <c r="F529" t="str">
        <f t="shared" si="184"/>
        <v>COM</v>
      </c>
      <c r="G529" t="str">
        <f>"DROGARIA AGAPEAMA (10167)"</f>
        <v>DROGARIA AGAPEAMA (10167)</v>
      </c>
      <c r="H529" t="str">
        <f>"Serv.Prest. 05/01/2026 a 11/01/2026 - RPS: 1990 - NFSe: 64"</f>
        <v>Serv.Prest. 05/01/2026 a 11/01/2026 - RPS: 1990 - NFSe: 64</v>
      </c>
      <c r="I529" t="str">
        <f t="shared" si="180"/>
        <v>14/01/2026</v>
      </c>
      <c r="J529" t="str">
        <f t="shared" si="182"/>
        <v>12/01/2026</v>
      </c>
      <c r="K529" t="str">
        <f>("15/01/2026")</f>
        <v>15/01/2026</v>
      </c>
      <c r="L529">
        <v>399.2</v>
      </c>
      <c r="M529">
        <v>399.2</v>
      </c>
      <c r="N529">
        <v>303</v>
      </c>
      <c r="O529" t="str">
        <f>"RECEITAS COM ENTREGAS"</f>
        <v>RECEITAS COM ENTREGAS</v>
      </c>
      <c r="P529">
        <v>399.2</v>
      </c>
      <c r="S529" t="str">
        <f>"RECEITAS COM ENTREGAS (303)"</f>
        <v>RECEITAS COM ENTREGAS (303)</v>
      </c>
      <c r="T529">
        <v>3991</v>
      </c>
      <c r="U529">
        <v>3332</v>
      </c>
      <c r="V529" t="s">
        <v>88</v>
      </c>
    </row>
    <row r="530" spans="1:22">
      <c r="A530" t="str">
        <f t="shared" si="183"/>
        <v>15/01/2026</v>
      </c>
      <c r="B530" t="str">
        <f t="shared" ref="B530:B561" si="186">"ENTRADA"</f>
        <v>ENTRADA</v>
      </c>
      <c r="C530" t="str">
        <f t="shared" ref="C530:C561" si="187">"NFSE"</f>
        <v>NFSE</v>
      </c>
      <c r="D530" t="str">
        <f>"64"</f>
        <v>64</v>
      </c>
      <c r="E530" t="str">
        <f t="shared" si="185"/>
        <v>1</v>
      </c>
      <c r="F530" t="str">
        <f t="shared" si="184"/>
        <v>COM</v>
      </c>
      <c r="G530" t="str">
        <f>"DROGARIA AGAPEAMA (10167)"</f>
        <v>DROGARIA AGAPEAMA (10167)</v>
      </c>
      <c r="H530" t="s">
        <v>167</v>
      </c>
      <c r="I530" t="str">
        <f t="shared" ref="I530:I561" si="188">("14/01/2026")</f>
        <v>14/01/2026</v>
      </c>
      <c r="J530" t="str">
        <f t="shared" si="182"/>
        <v>12/01/2026</v>
      </c>
      <c r="K530">
        <v>46037</v>
      </c>
      <c r="N530">
        <v>303</v>
      </c>
      <c r="O530" t="s">
        <v>26</v>
      </c>
      <c r="Q530">
        <v>399.2</v>
      </c>
      <c r="R530" t="str">
        <f>"DROGARIA AGAPEAMA (10167)"</f>
        <v>DROGARIA AGAPEAMA (10167)</v>
      </c>
      <c r="S530" t="s">
        <v>27</v>
      </c>
      <c r="T530">
        <v>3991</v>
      </c>
      <c r="U530">
        <v>3332</v>
      </c>
      <c r="V530" t="s">
        <v>88</v>
      </c>
    </row>
    <row r="531" spans="1:22">
      <c r="A531" t="str">
        <f t="shared" si="183"/>
        <v>15/01/2026</v>
      </c>
      <c r="B531" t="str">
        <f t="shared" si="186"/>
        <v>ENTRADA</v>
      </c>
      <c r="C531" t="str">
        <f t="shared" si="187"/>
        <v>NFSE</v>
      </c>
      <c r="D531" t="str">
        <f>"65"</f>
        <v>65</v>
      </c>
      <c r="E531" t="str">
        <f t="shared" si="185"/>
        <v>1</v>
      </c>
      <c r="F531" t="str">
        <f t="shared" si="184"/>
        <v>COM</v>
      </c>
      <c r="G531" t="str">
        <f>"PENSE FARMA 47 (10232)"</f>
        <v>PENSE FARMA 47 (10232)</v>
      </c>
      <c r="H531" t="str">
        <f>"Serv.Prest. 05/01/2026 a 11/01/2026 - RPS: 1991 - NFSe: 65"</f>
        <v>Serv.Prest. 05/01/2026 a 11/01/2026 - RPS: 1991 - NFSe: 65</v>
      </c>
      <c r="I531" t="str">
        <f t="shared" si="188"/>
        <v>14/01/2026</v>
      </c>
      <c r="J531" t="str">
        <f t="shared" si="182"/>
        <v>12/01/2026</v>
      </c>
      <c r="K531" t="str">
        <f>("15/01/2026")</f>
        <v>15/01/2026</v>
      </c>
      <c r="L531">
        <v>320.23</v>
      </c>
      <c r="M531">
        <v>320.23</v>
      </c>
      <c r="N531">
        <v>303</v>
      </c>
      <c r="O531" t="str">
        <f>"RECEITAS COM ENTREGAS"</f>
        <v>RECEITAS COM ENTREGAS</v>
      </c>
      <c r="P531">
        <v>320.23</v>
      </c>
      <c r="S531" t="str">
        <f>"RECEITAS COM ENTREGAS (303)"</f>
        <v>RECEITAS COM ENTREGAS (303)</v>
      </c>
      <c r="T531">
        <v>3992</v>
      </c>
      <c r="U531">
        <v>3333</v>
      </c>
      <c r="V531" t="s">
        <v>88</v>
      </c>
    </row>
    <row r="532" spans="1:22">
      <c r="A532" t="str">
        <f t="shared" si="183"/>
        <v>15/01/2026</v>
      </c>
      <c r="B532" t="str">
        <f t="shared" si="186"/>
        <v>ENTRADA</v>
      </c>
      <c r="C532" t="str">
        <f t="shared" si="187"/>
        <v>NFSE</v>
      </c>
      <c r="D532" t="str">
        <f>"65"</f>
        <v>65</v>
      </c>
      <c r="E532" t="str">
        <f t="shared" si="185"/>
        <v>1</v>
      </c>
      <c r="F532" t="str">
        <f t="shared" si="184"/>
        <v>COM</v>
      </c>
      <c r="G532" t="str">
        <f>"PENSE FARMA 47 (10232)"</f>
        <v>PENSE FARMA 47 (10232)</v>
      </c>
      <c r="H532" t="s">
        <v>168</v>
      </c>
      <c r="I532" t="str">
        <f t="shared" si="188"/>
        <v>14/01/2026</v>
      </c>
      <c r="J532" t="str">
        <f t="shared" si="182"/>
        <v>12/01/2026</v>
      </c>
      <c r="K532">
        <v>46037</v>
      </c>
      <c r="N532">
        <v>303</v>
      </c>
      <c r="O532" t="s">
        <v>26</v>
      </c>
      <c r="Q532">
        <v>320.23</v>
      </c>
      <c r="R532" t="str">
        <f>"PENSE FARMA 47 (10232)"</f>
        <v>PENSE FARMA 47 (10232)</v>
      </c>
      <c r="S532" t="s">
        <v>27</v>
      </c>
      <c r="T532">
        <v>3992</v>
      </c>
      <c r="U532">
        <v>3333</v>
      </c>
      <c r="V532" t="s">
        <v>88</v>
      </c>
    </row>
    <row r="533" spans="1:22">
      <c r="A533" t="str">
        <f t="shared" si="183"/>
        <v>15/01/2026</v>
      </c>
      <c r="B533" t="str">
        <f t="shared" si="186"/>
        <v>ENTRADA</v>
      </c>
      <c r="C533" t="str">
        <f t="shared" si="187"/>
        <v>NFSE</v>
      </c>
      <c r="D533" t="str">
        <f>"66"</f>
        <v>66</v>
      </c>
      <c r="E533" t="str">
        <f t="shared" si="185"/>
        <v>1</v>
      </c>
      <c r="F533" t="str">
        <f t="shared" si="184"/>
        <v>COM</v>
      </c>
      <c r="G533" t="str">
        <f>"PENSE FARMA 25 (10224)"</f>
        <v>PENSE FARMA 25 (10224)</v>
      </c>
      <c r="H533" t="str">
        <f>"Serv.Prest. 05/01/2026 a 11/01/2026 - RPS: 1992 - NFSe: 66"</f>
        <v>Serv.Prest. 05/01/2026 a 11/01/2026 - RPS: 1992 - NFSe: 66</v>
      </c>
      <c r="I533" t="str">
        <f t="shared" si="188"/>
        <v>14/01/2026</v>
      </c>
      <c r="J533" t="str">
        <f t="shared" si="182"/>
        <v>12/01/2026</v>
      </c>
      <c r="K533" t="str">
        <f>("15/01/2026")</f>
        <v>15/01/2026</v>
      </c>
      <c r="L533">
        <v>320.5</v>
      </c>
      <c r="M533">
        <v>320.5</v>
      </c>
      <c r="N533">
        <v>303</v>
      </c>
      <c r="O533" t="str">
        <f>"RECEITAS COM ENTREGAS"</f>
        <v>RECEITAS COM ENTREGAS</v>
      </c>
      <c r="P533">
        <v>320.5</v>
      </c>
      <c r="S533" t="str">
        <f>"RECEITAS COM ENTREGAS (303)"</f>
        <v>RECEITAS COM ENTREGAS (303)</v>
      </c>
      <c r="T533">
        <v>3993</v>
      </c>
      <c r="U533">
        <v>3334</v>
      </c>
      <c r="V533" t="s">
        <v>88</v>
      </c>
    </row>
    <row r="534" spans="1:22">
      <c r="A534" t="str">
        <f t="shared" si="183"/>
        <v>15/01/2026</v>
      </c>
      <c r="B534" t="str">
        <f t="shared" si="186"/>
        <v>ENTRADA</v>
      </c>
      <c r="C534" t="str">
        <f t="shared" si="187"/>
        <v>NFSE</v>
      </c>
      <c r="D534" t="str">
        <f>"66"</f>
        <v>66</v>
      </c>
      <c r="E534" t="str">
        <f t="shared" si="185"/>
        <v>1</v>
      </c>
      <c r="F534" t="str">
        <f t="shared" si="184"/>
        <v>COM</v>
      </c>
      <c r="G534" t="str">
        <f>"PENSE FARMA 25 (10224)"</f>
        <v>PENSE FARMA 25 (10224)</v>
      </c>
      <c r="H534" t="s">
        <v>169</v>
      </c>
      <c r="I534" t="str">
        <f t="shared" si="188"/>
        <v>14/01/2026</v>
      </c>
      <c r="J534" t="str">
        <f t="shared" si="182"/>
        <v>12/01/2026</v>
      </c>
      <c r="K534">
        <v>46037</v>
      </c>
      <c r="N534">
        <v>303</v>
      </c>
      <c r="O534" t="s">
        <v>26</v>
      </c>
      <c r="Q534">
        <v>320.5</v>
      </c>
      <c r="R534" t="str">
        <f>"PENSE FARMA 25 (10224)"</f>
        <v>PENSE FARMA 25 (10224)</v>
      </c>
      <c r="S534" t="s">
        <v>27</v>
      </c>
      <c r="T534">
        <v>3993</v>
      </c>
      <c r="U534">
        <v>3334</v>
      </c>
      <c r="V534" t="s">
        <v>88</v>
      </c>
    </row>
    <row r="535" spans="1:22">
      <c r="A535" t="str">
        <f t="shared" si="183"/>
        <v>15/01/2026</v>
      </c>
      <c r="B535" t="str">
        <f t="shared" si="186"/>
        <v>ENTRADA</v>
      </c>
      <c r="C535" t="str">
        <f t="shared" si="187"/>
        <v>NFSE</v>
      </c>
      <c r="D535" t="str">
        <f>"67"</f>
        <v>67</v>
      </c>
      <c r="E535" t="str">
        <f t="shared" si="185"/>
        <v>1</v>
      </c>
      <c r="F535" t="str">
        <f t="shared" si="184"/>
        <v>COM</v>
      </c>
      <c r="G535" t="str">
        <f>"DROGARIA ANA VISCONDE DO RIO BRANCO (10182)"</f>
        <v>DROGARIA ANA VISCONDE DO RIO BRANCO (10182)</v>
      </c>
      <c r="H535" t="str">
        <f>"Serv.Prest. 05/01/2026 a 11/01/2026 - RPS: 1993 - NFSe: 67"</f>
        <v>Serv.Prest. 05/01/2026 a 11/01/2026 - RPS: 1993 - NFSe: 67</v>
      </c>
      <c r="I535" t="str">
        <f t="shared" si="188"/>
        <v>14/01/2026</v>
      </c>
      <c r="J535" t="str">
        <f t="shared" si="182"/>
        <v>12/01/2026</v>
      </c>
      <c r="K535" t="str">
        <f>("15/01/2026")</f>
        <v>15/01/2026</v>
      </c>
      <c r="L535">
        <v>792.45</v>
      </c>
      <c r="M535">
        <v>792.45</v>
      </c>
      <c r="N535">
        <v>303</v>
      </c>
      <c r="O535" t="str">
        <f>"RECEITAS COM ENTREGAS"</f>
        <v>RECEITAS COM ENTREGAS</v>
      </c>
      <c r="P535">
        <v>792.45</v>
      </c>
      <c r="S535" t="str">
        <f>"RECEITAS COM ENTREGAS (303)"</f>
        <v>RECEITAS COM ENTREGAS (303)</v>
      </c>
      <c r="T535">
        <v>3994</v>
      </c>
      <c r="U535">
        <v>3335</v>
      </c>
      <c r="V535" t="s">
        <v>88</v>
      </c>
    </row>
    <row r="536" spans="1:22">
      <c r="A536" t="str">
        <f t="shared" si="183"/>
        <v>15/01/2026</v>
      </c>
      <c r="B536" t="str">
        <f t="shared" si="186"/>
        <v>ENTRADA</v>
      </c>
      <c r="C536" t="str">
        <f t="shared" si="187"/>
        <v>NFSE</v>
      </c>
      <c r="D536" t="str">
        <f>"67"</f>
        <v>67</v>
      </c>
      <c r="E536" t="str">
        <f t="shared" si="185"/>
        <v>1</v>
      </c>
      <c r="F536" t="str">
        <f t="shared" si="184"/>
        <v>COM</v>
      </c>
      <c r="G536" t="str">
        <f>"DROGARIA ANA VISCONDE DO RIO BRANCO (10182)"</f>
        <v>DROGARIA ANA VISCONDE DO RIO BRANCO (10182)</v>
      </c>
      <c r="H536" t="s">
        <v>170</v>
      </c>
      <c r="I536" t="str">
        <f t="shared" si="188"/>
        <v>14/01/2026</v>
      </c>
      <c r="J536" t="str">
        <f t="shared" ref="J536:J567" si="189">("12/01/2026")</f>
        <v>12/01/2026</v>
      </c>
      <c r="K536">
        <v>46037</v>
      </c>
      <c r="N536">
        <v>303</v>
      </c>
      <c r="O536" t="s">
        <v>26</v>
      </c>
      <c r="Q536">
        <v>792.45</v>
      </c>
      <c r="R536" t="str">
        <f>"DROGARIA ANA VISCONDE DO RIO BRANCO (10182)"</f>
        <v>DROGARIA ANA VISCONDE DO RIO BRANCO (10182)</v>
      </c>
      <c r="S536" t="s">
        <v>27</v>
      </c>
      <c r="T536">
        <v>3994</v>
      </c>
      <c r="U536">
        <v>3335</v>
      </c>
      <c r="V536" t="s">
        <v>88</v>
      </c>
    </row>
    <row r="537" spans="1:22">
      <c r="A537" t="str">
        <f t="shared" si="183"/>
        <v>15/01/2026</v>
      </c>
      <c r="B537" t="str">
        <f t="shared" si="186"/>
        <v>ENTRADA</v>
      </c>
      <c r="C537" t="str">
        <f t="shared" si="187"/>
        <v>NFSE</v>
      </c>
      <c r="D537" t="str">
        <f>"68"</f>
        <v>68</v>
      </c>
      <c r="E537" t="str">
        <f t="shared" si="185"/>
        <v>1</v>
      </c>
      <c r="F537" t="str">
        <f t="shared" si="184"/>
        <v>COM</v>
      </c>
      <c r="G537" t="str">
        <f>"PENSE FARMA 35 (10227)"</f>
        <v>PENSE FARMA 35 (10227)</v>
      </c>
      <c r="H537" t="str">
        <f>"Serv.Prest. 05/01/2026 a 11/01/2026 - RPS: 1994 - NFSe: 68"</f>
        <v>Serv.Prest. 05/01/2026 a 11/01/2026 - RPS: 1994 - NFSe: 68</v>
      </c>
      <c r="I537" t="str">
        <f t="shared" si="188"/>
        <v>14/01/2026</v>
      </c>
      <c r="J537" t="str">
        <f t="shared" si="189"/>
        <v>12/01/2026</v>
      </c>
      <c r="K537" t="str">
        <f>("15/01/2026")</f>
        <v>15/01/2026</v>
      </c>
      <c r="L537">
        <v>171.45</v>
      </c>
      <c r="M537">
        <v>171.45</v>
      </c>
      <c r="N537">
        <v>303</v>
      </c>
      <c r="O537" t="str">
        <f>"RECEITAS COM ENTREGAS"</f>
        <v>RECEITAS COM ENTREGAS</v>
      </c>
      <c r="P537">
        <v>171.45</v>
      </c>
      <c r="S537" t="str">
        <f>"RECEITAS COM ENTREGAS (303)"</f>
        <v>RECEITAS COM ENTREGAS (303)</v>
      </c>
      <c r="T537">
        <v>3995</v>
      </c>
      <c r="U537">
        <v>3336</v>
      </c>
      <c r="V537" t="s">
        <v>88</v>
      </c>
    </row>
    <row r="538" spans="1:22">
      <c r="A538" t="str">
        <f t="shared" si="183"/>
        <v>15/01/2026</v>
      </c>
      <c r="B538" t="str">
        <f t="shared" si="186"/>
        <v>ENTRADA</v>
      </c>
      <c r="C538" t="str">
        <f t="shared" si="187"/>
        <v>NFSE</v>
      </c>
      <c r="D538" t="str">
        <f>"68"</f>
        <v>68</v>
      </c>
      <c r="E538" t="str">
        <f t="shared" si="185"/>
        <v>1</v>
      </c>
      <c r="F538" t="str">
        <f t="shared" si="184"/>
        <v>COM</v>
      </c>
      <c r="G538" t="str">
        <f>"PENSE FARMA 35 (10227)"</f>
        <v>PENSE FARMA 35 (10227)</v>
      </c>
      <c r="H538" t="s">
        <v>171</v>
      </c>
      <c r="I538" t="str">
        <f t="shared" si="188"/>
        <v>14/01/2026</v>
      </c>
      <c r="J538" t="str">
        <f t="shared" si="189"/>
        <v>12/01/2026</v>
      </c>
      <c r="K538">
        <v>46037</v>
      </c>
      <c r="N538">
        <v>303</v>
      </c>
      <c r="O538" t="s">
        <v>26</v>
      </c>
      <c r="Q538">
        <v>171.45</v>
      </c>
      <c r="R538" t="str">
        <f>"PENSE FARMA 35 (10227)"</f>
        <v>PENSE FARMA 35 (10227)</v>
      </c>
      <c r="S538" t="s">
        <v>27</v>
      </c>
      <c r="T538">
        <v>3995</v>
      </c>
      <c r="U538">
        <v>3336</v>
      </c>
      <c r="V538" t="s">
        <v>88</v>
      </c>
    </row>
    <row r="539" spans="1:22">
      <c r="A539" t="str">
        <f t="shared" si="183"/>
        <v>15/01/2026</v>
      </c>
      <c r="B539" t="str">
        <f t="shared" si="186"/>
        <v>ENTRADA</v>
      </c>
      <c r="C539" t="str">
        <f t="shared" si="187"/>
        <v>NFSE</v>
      </c>
      <c r="D539" t="str">
        <f>"69"</f>
        <v>69</v>
      </c>
      <c r="E539" t="str">
        <f t="shared" si="185"/>
        <v>1</v>
      </c>
      <c r="F539" t="str">
        <f t="shared" si="184"/>
        <v>COM</v>
      </c>
      <c r="G539" t="str">
        <f>"FRAN FARMA (10124)"</f>
        <v>FRAN FARMA (10124)</v>
      </c>
      <c r="H539" t="str">
        <f>"Serv.Prest. 05/01/2026 a 11/01/2026 - RPS: 1995 - NFSe: 69 - NFSe: 69"</f>
        <v>Serv.Prest. 05/01/2026 a 11/01/2026 - RPS: 1995 - NFSe: 69 - NFSe: 69</v>
      </c>
      <c r="I539" t="str">
        <f t="shared" si="188"/>
        <v>14/01/2026</v>
      </c>
      <c r="J539" t="str">
        <f t="shared" si="189"/>
        <v>12/01/2026</v>
      </c>
      <c r="K539" t="str">
        <f>("15/01/2026")</f>
        <v>15/01/2026</v>
      </c>
      <c r="L539">
        <v>160</v>
      </c>
      <c r="M539">
        <v>160</v>
      </c>
      <c r="N539">
        <v>303</v>
      </c>
      <c r="O539" t="str">
        <f>"RECEITAS COM ENTREGAS"</f>
        <v>RECEITAS COM ENTREGAS</v>
      </c>
      <c r="P539">
        <v>160</v>
      </c>
      <c r="S539" t="str">
        <f>"RECEITAS COM ENTREGAS (303)"</f>
        <v>RECEITAS COM ENTREGAS (303)</v>
      </c>
      <c r="T539">
        <v>3996</v>
      </c>
      <c r="U539">
        <v>3337</v>
      </c>
      <c r="V539" t="s">
        <v>88</v>
      </c>
    </row>
    <row r="540" spans="1:22">
      <c r="A540" t="str">
        <f t="shared" si="183"/>
        <v>15/01/2026</v>
      </c>
      <c r="B540" t="str">
        <f t="shared" si="186"/>
        <v>ENTRADA</v>
      </c>
      <c r="C540" t="str">
        <f t="shared" si="187"/>
        <v>NFSE</v>
      </c>
      <c r="D540" t="str">
        <f>"69"</f>
        <v>69</v>
      </c>
      <c r="E540" t="str">
        <f t="shared" si="185"/>
        <v>1</v>
      </c>
      <c r="F540" t="str">
        <f t="shared" si="184"/>
        <v>COM</v>
      </c>
      <c r="G540" t="str">
        <f>"FRAN FARMA (10124)"</f>
        <v>FRAN FARMA (10124)</v>
      </c>
      <c r="H540" t="s">
        <v>172</v>
      </c>
      <c r="I540" t="str">
        <f t="shared" si="188"/>
        <v>14/01/2026</v>
      </c>
      <c r="J540" t="str">
        <f t="shared" si="189"/>
        <v>12/01/2026</v>
      </c>
      <c r="K540">
        <v>46037</v>
      </c>
      <c r="N540">
        <v>303</v>
      </c>
      <c r="O540" t="s">
        <v>26</v>
      </c>
      <c r="Q540">
        <v>160</v>
      </c>
      <c r="R540" t="str">
        <f>"FRAN FARMA LJ 2 (10131)"</f>
        <v>FRAN FARMA LJ 2 (10131)</v>
      </c>
      <c r="S540" t="s">
        <v>27</v>
      </c>
      <c r="T540">
        <v>3996</v>
      </c>
      <c r="U540">
        <v>3337</v>
      </c>
      <c r="V540" t="s">
        <v>88</v>
      </c>
    </row>
    <row r="541" spans="1:22">
      <c r="A541" t="str">
        <f t="shared" si="183"/>
        <v>15/01/2026</v>
      </c>
      <c r="B541" t="str">
        <f t="shared" si="186"/>
        <v>ENTRADA</v>
      </c>
      <c r="C541" t="str">
        <f t="shared" si="187"/>
        <v>NFSE</v>
      </c>
      <c r="D541" t="str">
        <f t="shared" ref="D541:D546" si="190">"70"</f>
        <v>70</v>
      </c>
      <c r="E541" t="str">
        <f t="shared" si="185"/>
        <v>1</v>
      </c>
      <c r="F541" t="str">
        <f t="shared" si="184"/>
        <v>COM</v>
      </c>
      <c r="G541" t="str">
        <f t="shared" ref="G541:G546" si="191">"PENSE FARMA 08 (10217)"</f>
        <v>PENSE FARMA 08 (10217)</v>
      </c>
      <c r="H541" t="str">
        <f>"Serv.Prest. 05/01/2026 a 11/01/2026 - RPS: 1996 - NFSe: 70"</f>
        <v>Serv.Prest. 05/01/2026 a 11/01/2026 - RPS: 1996 - NFSe: 70</v>
      </c>
      <c r="I541" t="str">
        <f t="shared" si="188"/>
        <v>14/01/2026</v>
      </c>
      <c r="J541" t="str">
        <f t="shared" si="189"/>
        <v>12/01/2026</v>
      </c>
      <c r="K541" t="str">
        <f>("15/01/2026")</f>
        <v>15/01/2026</v>
      </c>
      <c r="L541">
        <v>589.5</v>
      </c>
      <c r="M541">
        <v>589.5</v>
      </c>
      <c r="N541">
        <v>303</v>
      </c>
      <c r="O541" t="str">
        <f>"RECEITAS COM ENTREGAS"</f>
        <v>RECEITAS COM ENTREGAS</v>
      </c>
      <c r="P541">
        <v>589.5</v>
      </c>
      <c r="S541" t="str">
        <f>"RECEITAS COM ENTREGAS (303)"</f>
        <v>RECEITAS COM ENTREGAS (303)</v>
      </c>
      <c r="T541">
        <v>3997</v>
      </c>
      <c r="U541">
        <v>3338</v>
      </c>
      <c r="V541" t="s">
        <v>88</v>
      </c>
    </row>
    <row r="542" spans="1:22">
      <c r="A542" t="str">
        <f t="shared" si="183"/>
        <v>15/01/2026</v>
      </c>
      <c r="B542" t="str">
        <f t="shared" si="186"/>
        <v>ENTRADA</v>
      </c>
      <c r="C542" t="str">
        <f t="shared" si="187"/>
        <v>NFSE</v>
      </c>
      <c r="D542" t="str">
        <f t="shared" si="190"/>
        <v>70</v>
      </c>
      <c r="E542" t="str">
        <f t="shared" si="185"/>
        <v>1</v>
      </c>
      <c r="F542" t="str">
        <f t="shared" si="184"/>
        <v>COM</v>
      </c>
      <c r="G542" t="str">
        <f t="shared" si="191"/>
        <v>PENSE FARMA 08 (10217)</v>
      </c>
      <c r="H542" t="s">
        <v>173</v>
      </c>
      <c r="I542" t="str">
        <f t="shared" si="188"/>
        <v>14/01/2026</v>
      </c>
      <c r="J542" t="str">
        <f t="shared" si="189"/>
        <v>12/01/2026</v>
      </c>
      <c r="K542">
        <v>46037</v>
      </c>
      <c r="N542">
        <v>303</v>
      </c>
      <c r="O542" t="s">
        <v>26</v>
      </c>
      <c r="Q542">
        <v>117.9</v>
      </c>
      <c r="R542" t="str">
        <f>"PENSE FARMA 08 (10217)"</f>
        <v>PENSE FARMA 08 (10217)</v>
      </c>
      <c r="S542" t="s">
        <v>27</v>
      </c>
      <c r="T542">
        <v>3997</v>
      </c>
      <c r="U542">
        <v>3338</v>
      </c>
      <c r="V542" t="s">
        <v>88</v>
      </c>
    </row>
    <row r="543" spans="1:22">
      <c r="A543" t="str">
        <f t="shared" si="183"/>
        <v>15/01/2026</v>
      </c>
      <c r="B543" t="str">
        <f t="shared" si="186"/>
        <v>ENTRADA</v>
      </c>
      <c r="C543" t="str">
        <f t="shared" si="187"/>
        <v>NFSE</v>
      </c>
      <c r="D543" t="str">
        <f t="shared" si="190"/>
        <v>70</v>
      </c>
      <c r="E543" t="str">
        <f t="shared" si="185"/>
        <v>1</v>
      </c>
      <c r="F543" t="str">
        <f t="shared" si="184"/>
        <v>COM</v>
      </c>
      <c r="G543" t="str">
        <f t="shared" si="191"/>
        <v>PENSE FARMA 08 (10217)</v>
      </c>
      <c r="H543" t="s">
        <v>173</v>
      </c>
      <c r="I543" t="str">
        <f t="shared" si="188"/>
        <v>14/01/2026</v>
      </c>
      <c r="J543" t="str">
        <f t="shared" si="189"/>
        <v>12/01/2026</v>
      </c>
      <c r="K543">
        <v>46037</v>
      </c>
      <c r="N543">
        <v>303</v>
      </c>
      <c r="O543" t="s">
        <v>26</v>
      </c>
      <c r="Q543">
        <v>117.9</v>
      </c>
      <c r="R543" t="str">
        <f>"PENSE FARMA 11 (10220)"</f>
        <v>PENSE FARMA 11 (10220)</v>
      </c>
      <c r="S543" t="s">
        <v>27</v>
      </c>
      <c r="T543">
        <v>3997</v>
      </c>
      <c r="U543">
        <v>3338</v>
      </c>
      <c r="V543" t="s">
        <v>88</v>
      </c>
    </row>
    <row r="544" spans="1:22">
      <c r="A544" t="str">
        <f t="shared" si="183"/>
        <v>15/01/2026</v>
      </c>
      <c r="B544" t="str">
        <f t="shared" si="186"/>
        <v>ENTRADA</v>
      </c>
      <c r="C544" t="str">
        <f t="shared" si="187"/>
        <v>NFSE</v>
      </c>
      <c r="D544" t="str">
        <f t="shared" si="190"/>
        <v>70</v>
      </c>
      <c r="E544" t="str">
        <f t="shared" si="185"/>
        <v>1</v>
      </c>
      <c r="F544" t="str">
        <f t="shared" si="184"/>
        <v>COM</v>
      </c>
      <c r="G544" t="str">
        <f t="shared" si="191"/>
        <v>PENSE FARMA 08 (10217)</v>
      </c>
      <c r="H544" t="s">
        <v>173</v>
      </c>
      <c r="I544" t="str">
        <f t="shared" si="188"/>
        <v>14/01/2026</v>
      </c>
      <c r="J544" t="str">
        <f t="shared" si="189"/>
        <v>12/01/2026</v>
      </c>
      <c r="K544">
        <v>46037</v>
      </c>
      <c r="N544">
        <v>303</v>
      </c>
      <c r="O544" t="s">
        <v>26</v>
      </c>
      <c r="Q544">
        <v>117.9</v>
      </c>
      <c r="R544" t="str">
        <f>"PENSE FARMA 41 (10229)"</f>
        <v>PENSE FARMA 41 (10229)</v>
      </c>
      <c r="S544" t="s">
        <v>27</v>
      </c>
      <c r="T544">
        <v>3997</v>
      </c>
      <c r="U544">
        <v>3338</v>
      </c>
      <c r="V544" t="s">
        <v>88</v>
      </c>
    </row>
    <row r="545" spans="1:22">
      <c r="A545" t="str">
        <f t="shared" si="183"/>
        <v>15/01/2026</v>
      </c>
      <c r="B545" t="str">
        <f t="shared" si="186"/>
        <v>ENTRADA</v>
      </c>
      <c r="C545" t="str">
        <f t="shared" si="187"/>
        <v>NFSE</v>
      </c>
      <c r="D545" t="str">
        <f t="shared" si="190"/>
        <v>70</v>
      </c>
      <c r="E545" t="str">
        <f t="shared" si="185"/>
        <v>1</v>
      </c>
      <c r="F545" t="str">
        <f t="shared" si="184"/>
        <v>COM</v>
      </c>
      <c r="G545" t="str">
        <f t="shared" si="191"/>
        <v>PENSE FARMA 08 (10217)</v>
      </c>
      <c r="H545" t="s">
        <v>173</v>
      </c>
      <c r="I545" t="str">
        <f t="shared" si="188"/>
        <v>14/01/2026</v>
      </c>
      <c r="J545" t="str">
        <f t="shared" si="189"/>
        <v>12/01/2026</v>
      </c>
      <c r="K545">
        <v>46037</v>
      </c>
      <c r="N545">
        <v>303</v>
      </c>
      <c r="O545" t="s">
        <v>26</v>
      </c>
      <c r="Q545">
        <v>117.9</v>
      </c>
      <c r="R545" t="str">
        <f>"PENSE FARMA 42 (10230)"</f>
        <v>PENSE FARMA 42 (10230)</v>
      </c>
      <c r="S545" t="s">
        <v>27</v>
      </c>
      <c r="T545">
        <v>3997</v>
      </c>
      <c r="U545">
        <v>3338</v>
      </c>
      <c r="V545" t="s">
        <v>88</v>
      </c>
    </row>
    <row r="546" spans="1:22">
      <c r="A546" t="str">
        <f t="shared" si="183"/>
        <v>15/01/2026</v>
      </c>
      <c r="B546" t="str">
        <f t="shared" si="186"/>
        <v>ENTRADA</v>
      </c>
      <c r="C546" t="str">
        <f t="shared" si="187"/>
        <v>NFSE</v>
      </c>
      <c r="D546" t="str">
        <f t="shared" si="190"/>
        <v>70</v>
      </c>
      <c r="E546" t="str">
        <f t="shared" si="185"/>
        <v>1</v>
      </c>
      <c r="F546" t="str">
        <f t="shared" si="184"/>
        <v>COM</v>
      </c>
      <c r="G546" t="str">
        <f t="shared" si="191"/>
        <v>PENSE FARMA 08 (10217)</v>
      </c>
      <c r="H546" t="s">
        <v>173</v>
      </c>
      <c r="I546" t="str">
        <f t="shared" si="188"/>
        <v>14/01/2026</v>
      </c>
      <c r="J546" t="str">
        <f t="shared" si="189"/>
        <v>12/01/2026</v>
      </c>
      <c r="K546">
        <v>46037</v>
      </c>
      <c r="N546">
        <v>303</v>
      </c>
      <c r="O546" t="s">
        <v>26</v>
      </c>
      <c r="Q546">
        <v>117.9</v>
      </c>
      <c r="R546" t="str">
        <f>"PENSE FARMA 52 (10236)"</f>
        <v>PENSE FARMA 52 (10236)</v>
      </c>
      <c r="S546" t="s">
        <v>27</v>
      </c>
      <c r="T546">
        <v>3997</v>
      </c>
      <c r="U546">
        <v>3338</v>
      </c>
      <c r="V546" t="s">
        <v>88</v>
      </c>
    </row>
    <row r="547" spans="1:22">
      <c r="A547" t="str">
        <f t="shared" si="183"/>
        <v>15/01/2026</v>
      </c>
      <c r="B547" t="str">
        <f t="shared" si="186"/>
        <v>ENTRADA</v>
      </c>
      <c r="C547" t="str">
        <f t="shared" si="187"/>
        <v>NFSE</v>
      </c>
      <c r="D547" t="str">
        <f>"71"</f>
        <v>71</v>
      </c>
      <c r="E547" t="str">
        <f t="shared" si="185"/>
        <v>1</v>
      </c>
      <c r="F547" t="str">
        <f t="shared" si="184"/>
        <v>COM</v>
      </c>
      <c r="G547" t="str">
        <f>"PENSE FARMA 09 (10218)"</f>
        <v>PENSE FARMA 09 (10218)</v>
      </c>
      <c r="H547" t="str">
        <f>"Serv.Prest. 05/01/2026 a 11/01/2026 - RPS: 1997 - NFSe: 71"</f>
        <v>Serv.Prest. 05/01/2026 a 11/01/2026 - RPS: 1997 - NFSe: 71</v>
      </c>
      <c r="I547" t="str">
        <f t="shared" si="188"/>
        <v>14/01/2026</v>
      </c>
      <c r="J547" t="str">
        <f t="shared" si="189"/>
        <v>12/01/2026</v>
      </c>
      <c r="K547" t="str">
        <f>("15/01/2026")</f>
        <v>15/01/2026</v>
      </c>
      <c r="L547">
        <v>336.54</v>
      </c>
      <c r="M547">
        <v>336.54</v>
      </c>
      <c r="N547">
        <v>303</v>
      </c>
      <c r="O547" t="str">
        <f>"RECEITAS COM ENTREGAS"</f>
        <v>RECEITAS COM ENTREGAS</v>
      </c>
      <c r="P547">
        <v>336.54</v>
      </c>
      <c r="S547" t="str">
        <f>"RECEITAS COM ENTREGAS (303)"</f>
        <v>RECEITAS COM ENTREGAS (303)</v>
      </c>
      <c r="T547">
        <v>3998</v>
      </c>
      <c r="U547">
        <v>3352</v>
      </c>
      <c r="V547" t="s">
        <v>88</v>
      </c>
    </row>
    <row r="548" spans="1:22">
      <c r="A548" t="str">
        <f t="shared" si="183"/>
        <v>15/01/2026</v>
      </c>
      <c r="B548" t="str">
        <f t="shared" si="186"/>
        <v>ENTRADA</v>
      </c>
      <c r="C548" t="str">
        <f t="shared" si="187"/>
        <v>NFSE</v>
      </c>
      <c r="D548" t="str">
        <f>"71"</f>
        <v>71</v>
      </c>
      <c r="E548" t="str">
        <f t="shared" si="185"/>
        <v>1</v>
      </c>
      <c r="F548" t="str">
        <f t="shared" si="184"/>
        <v>COM</v>
      </c>
      <c r="G548" t="str">
        <f>"PENSE FARMA 09 (10218)"</f>
        <v>PENSE FARMA 09 (10218)</v>
      </c>
      <c r="H548" t="s">
        <v>174</v>
      </c>
      <c r="I548" t="str">
        <f t="shared" si="188"/>
        <v>14/01/2026</v>
      </c>
      <c r="J548" t="str">
        <f t="shared" si="189"/>
        <v>12/01/2026</v>
      </c>
      <c r="K548">
        <v>46037</v>
      </c>
      <c r="N548">
        <v>303</v>
      </c>
      <c r="O548" t="s">
        <v>26</v>
      </c>
      <c r="Q548">
        <v>168.27</v>
      </c>
      <c r="R548" t="str">
        <f>"PENSE FARMA 09 (10218)"</f>
        <v>PENSE FARMA 09 (10218)</v>
      </c>
      <c r="S548" t="s">
        <v>27</v>
      </c>
      <c r="T548">
        <v>3998</v>
      </c>
      <c r="U548">
        <v>3352</v>
      </c>
      <c r="V548" t="s">
        <v>88</v>
      </c>
    </row>
    <row r="549" spans="1:22">
      <c r="A549" t="str">
        <f t="shared" si="183"/>
        <v>15/01/2026</v>
      </c>
      <c r="B549" t="str">
        <f t="shared" si="186"/>
        <v>ENTRADA</v>
      </c>
      <c r="C549" t="str">
        <f t="shared" si="187"/>
        <v>NFSE</v>
      </c>
      <c r="D549" t="str">
        <f>"71"</f>
        <v>71</v>
      </c>
      <c r="E549" t="str">
        <f t="shared" si="185"/>
        <v>1</v>
      </c>
      <c r="F549" t="str">
        <f t="shared" si="184"/>
        <v>COM</v>
      </c>
      <c r="G549" t="str">
        <f>"PENSE FARMA 09 (10218)"</f>
        <v>PENSE FARMA 09 (10218)</v>
      </c>
      <c r="H549" t="s">
        <v>174</v>
      </c>
      <c r="I549" t="str">
        <f t="shared" si="188"/>
        <v>14/01/2026</v>
      </c>
      <c r="J549" t="str">
        <f t="shared" si="189"/>
        <v>12/01/2026</v>
      </c>
      <c r="K549">
        <v>46037</v>
      </c>
      <c r="N549">
        <v>303</v>
      </c>
      <c r="O549" t="s">
        <v>26</v>
      </c>
      <c r="Q549">
        <v>168.27</v>
      </c>
      <c r="R549" t="str">
        <f>"PENSE FARMA 10 (10219)"</f>
        <v>PENSE FARMA 10 (10219)</v>
      </c>
      <c r="S549" t="s">
        <v>27</v>
      </c>
      <c r="T549">
        <v>3998</v>
      </c>
      <c r="U549">
        <v>3352</v>
      </c>
      <c r="V549" t="s">
        <v>88</v>
      </c>
    </row>
    <row r="550" spans="1:22">
      <c r="A550" t="str">
        <f t="shared" si="183"/>
        <v>15/01/2026</v>
      </c>
      <c r="B550" t="str">
        <f t="shared" si="186"/>
        <v>ENTRADA</v>
      </c>
      <c r="C550" t="str">
        <f t="shared" si="187"/>
        <v>NFSE</v>
      </c>
      <c r="D550" t="str">
        <f>"72"</f>
        <v>72</v>
      </c>
      <c r="E550" t="str">
        <f t="shared" si="185"/>
        <v>1</v>
      </c>
      <c r="F550" t="str">
        <f t="shared" si="184"/>
        <v>COM</v>
      </c>
      <c r="G550" t="str">
        <f>"PENSE FARMA 15 (10195)"</f>
        <v>PENSE FARMA 15 (10195)</v>
      </c>
      <c r="H550" t="str">
        <f>"Serv.Prest. 05/01/2026 a 11/01/2026 - RPS: 1998 - NFSe: 72"</f>
        <v>Serv.Prest. 05/01/2026 a 11/01/2026 - RPS: 1998 - NFSe: 72</v>
      </c>
      <c r="I550" t="str">
        <f t="shared" si="188"/>
        <v>14/01/2026</v>
      </c>
      <c r="J550" t="str">
        <f t="shared" si="189"/>
        <v>12/01/2026</v>
      </c>
      <c r="K550" t="str">
        <f>("15/01/2026")</f>
        <v>15/01/2026</v>
      </c>
      <c r="L550">
        <v>642</v>
      </c>
      <c r="M550">
        <v>642</v>
      </c>
      <c r="N550">
        <v>303</v>
      </c>
      <c r="O550" t="str">
        <f>"RECEITAS COM ENTREGAS"</f>
        <v>RECEITAS COM ENTREGAS</v>
      </c>
      <c r="P550">
        <v>642</v>
      </c>
      <c r="S550" t="str">
        <f>"RECEITAS COM ENTREGAS (303)"</f>
        <v>RECEITAS COM ENTREGAS (303)</v>
      </c>
      <c r="T550">
        <v>3999</v>
      </c>
      <c r="U550">
        <v>3353</v>
      </c>
      <c r="V550" t="s">
        <v>88</v>
      </c>
    </row>
    <row r="551" spans="1:22">
      <c r="A551" t="str">
        <f t="shared" si="183"/>
        <v>15/01/2026</v>
      </c>
      <c r="B551" t="str">
        <f t="shared" si="186"/>
        <v>ENTRADA</v>
      </c>
      <c r="C551" t="str">
        <f t="shared" si="187"/>
        <v>NFSE</v>
      </c>
      <c r="D551" t="str">
        <f>"72"</f>
        <v>72</v>
      </c>
      <c r="E551" t="str">
        <f t="shared" si="185"/>
        <v>1</v>
      </c>
      <c r="F551" t="str">
        <f t="shared" si="184"/>
        <v>COM</v>
      </c>
      <c r="G551" t="str">
        <f>"PENSE FARMA 15 (10195)"</f>
        <v>PENSE FARMA 15 (10195)</v>
      </c>
      <c r="H551" t="s">
        <v>175</v>
      </c>
      <c r="I551" t="str">
        <f t="shared" si="188"/>
        <v>14/01/2026</v>
      </c>
      <c r="J551" t="str">
        <f t="shared" si="189"/>
        <v>12/01/2026</v>
      </c>
      <c r="K551">
        <v>46037</v>
      </c>
      <c r="N551">
        <v>303</v>
      </c>
      <c r="O551" t="s">
        <v>26</v>
      </c>
      <c r="Q551">
        <v>160.5</v>
      </c>
      <c r="R551" t="str">
        <f>"PENSE FARMA 15 (10195)"</f>
        <v>PENSE FARMA 15 (10195)</v>
      </c>
      <c r="S551" t="s">
        <v>27</v>
      </c>
      <c r="T551">
        <v>3999</v>
      </c>
      <c r="U551">
        <v>3353</v>
      </c>
      <c r="V551" t="s">
        <v>88</v>
      </c>
    </row>
    <row r="552" spans="1:22">
      <c r="A552" t="str">
        <f t="shared" si="183"/>
        <v>15/01/2026</v>
      </c>
      <c r="B552" t="str">
        <f t="shared" si="186"/>
        <v>ENTRADA</v>
      </c>
      <c r="C552" t="str">
        <f t="shared" si="187"/>
        <v>NFSE</v>
      </c>
      <c r="D552" t="str">
        <f>"72"</f>
        <v>72</v>
      </c>
      <c r="E552" t="str">
        <f t="shared" si="185"/>
        <v>1</v>
      </c>
      <c r="F552" t="str">
        <f t="shared" si="184"/>
        <v>COM</v>
      </c>
      <c r="G552" t="str">
        <f>"PENSE FARMA 15 (10195)"</f>
        <v>PENSE FARMA 15 (10195)</v>
      </c>
      <c r="H552" t="s">
        <v>175</v>
      </c>
      <c r="I552" t="str">
        <f t="shared" si="188"/>
        <v>14/01/2026</v>
      </c>
      <c r="J552" t="str">
        <f t="shared" si="189"/>
        <v>12/01/2026</v>
      </c>
      <c r="K552">
        <v>46037</v>
      </c>
      <c r="N552">
        <v>303</v>
      </c>
      <c r="O552" t="s">
        <v>26</v>
      </c>
      <c r="Q552">
        <v>160.5</v>
      </c>
      <c r="R552" t="str">
        <f>"PENSE FARMA 26 (10196)"</f>
        <v>PENSE FARMA 26 (10196)</v>
      </c>
      <c r="S552" t="s">
        <v>27</v>
      </c>
      <c r="T552">
        <v>3999</v>
      </c>
      <c r="U552">
        <v>3353</v>
      </c>
      <c r="V552" t="s">
        <v>88</v>
      </c>
    </row>
    <row r="553" spans="1:22">
      <c r="A553" t="str">
        <f t="shared" si="183"/>
        <v>15/01/2026</v>
      </c>
      <c r="B553" t="str">
        <f t="shared" si="186"/>
        <v>ENTRADA</v>
      </c>
      <c r="C553" t="str">
        <f t="shared" si="187"/>
        <v>NFSE</v>
      </c>
      <c r="D553" t="str">
        <f>"72"</f>
        <v>72</v>
      </c>
      <c r="E553" t="str">
        <f t="shared" si="185"/>
        <v>1</v>
      </c>
      <c r="F553" t="str">
        <f t="shared" si="184"/>
        <v>COM</v>
      </c>
      <c r="G553" t="str">
        <f>"PENSE FARMA 15 (10195)"</f>
        <v>PENSE FARMA 15 (10195)</v>
      </c>
      <c r="H553" t="s">
        <v>175</v>
      </c>
      <c r="I553" t="str">
        <f t="shared" si="188"/>
        <v>14/01/2026</v>
      </c>
      <c r="J553" t="str">
        <f t="shared" si="189"/>
        <v>12/01/2026</v>
      </c>
      <c r="K553">
        <v>46037</v>
      </c>
      <c r="N553">
        <v>303</v>
      </c>
      <c r="O553" t="s">
        <v>26</v>
      </c>
      <c r="Q553">
        <v>160.5</v>
      </c>
      <c r="R553" t="str">
        <f>"PENSE FARMA 60 (10197)"</f>
        <v>PENSE FARMA 60 (10197)</v>
      </c>
      <c r="S553" t="s">
        <v>27</v>
      </c>
      <c r="T553">
        <v>3999</v>
      </c>
      <c r="U553">
        <v>3353</v>
      </c>
      <c r="V553" t="s">
        <v>88</v>
      </c>
    </row>
    <row r="554" spans="1:22">
      <c r="A554" t="str">
        <f t="shared" si="183"/>
        <v>15/01/2026</v>
      </c>
      <c r="B554" t="str">
        <f t="shared" si="186"/>
        <v>ENTRADA</v>
      </c>
      <c r="C554" t="str">
        <f t="shared" si="187"/>
        <v>NFSE</v>
      </c>
      <c r="D554" t="str">
        <f>"72"</f>
        <v>72</v>
      </c>
      <c r="E554" t="str">
        <f t="shared" si="185"/>
        <v>1</v>
      </c>
      <c r="F554" t="str">
        <f t="shared" si="184"/>
        <v>COM</v>
      </c>
      <c r="G554" t="str">
        <f>"PENSE FARMA 15 (10195)"</f>
        <v>PENSE FARMA 15 (10195)</v>
      </c>
      <c r="H554" t="s">
        <v>175</v>
      </c>
      <c r="I554" t="str">
        <f t="shared" si="188"/>
        <v>14/01/2026</v>
      </c>
      <c r="J554" t="str">
        <f t="shared" si="189"/>
        <v>12/01/2026</v>
      </c>
      <c r="K554">
        <v>46037</v>
      </c>
      <c r="N554">
        <v>303</v>
      </c>
      <c r="O554" t="s">
        <v>26</v>
      </c>
      <c r="Q554">
        <v>160.5</v>
      </c>
      <c r="R554" t="str">
        <f>"PENSE FARMA 61 (10243)"</f>
        <v>PENSE FARMA 61 (10243)</v>
      </c>
      <c r="S554" t="s">
        <v>27</v>
      </c>
      <c r="T554">
        <v>3999</v>
      </c>
      <c r="U554">
        <v>3353</v>
      </c>
      <c r="V554" t="s">
        <v>88</v>
      </c>
    </row>
    <row r="555" spans="1:22">
      <c r="A555" t="str">
        <f t="shared" si="183"/>
        <v>15/01/2026</v>
      </c>
      <c r="B555" t="str">
        <f t="shared" si="186"/>
        <v>ENTRADA</v>
      </c>
      <c r="C555" t="str">
        <f t="shared" si="187"/>
        <v>NFSE</v>
      </c>
      <c r="D555" t="str">
        <f>"73"</f>
        <v>73</v>
      </c>
      <c r="E555" t="str">
        <f t="shared" si="185"/>
        <v>1</v>
      </c>
      <c r="F555" t="str">
        <f t="shared" si="184"/>
        <v>COM</v>
      </c>
      <c r="G555" t="str">
        <f>"PENSE FARMA 46 (10194)"</f>
        <v>PENSE FARMA 46 (10194)</v>
      </c>
      <c r="H555" t="str">
        <f>"Serv.Prest. 05/01/2026 a 11/01/2026 - RPS: 1999 - NFSe: 73"</f>
        <v>Serv.Prest. 05/01/2026 a 11/01/2026 - RPS: 1999 - NFSe: 73</v>
      </c>
      <c r="I555" t="str">
        <f t="shared" si="188"/>
        <v>14/01/2026</v>
      </c>
      <c r="J555" t="str">
        <f t="shared" si="189"/>
        <v>12/01/2026</v>
      </c>
      <c r="K555" t="str">
        <f>("15/01/2026")</f>
        <v>15/01/2026</v>
      </c>
      <c r="L555">
        <v>342</v>
      </c>
      <c r="M555">
        <v>342</v>
      </c>
      <c r="N555">
        <v>303</v>
      </c>
      <c r="O555" t="str">
        <f>"RECEITAS COM ENTREGAS"</f>
        <v>RECEITAS COM ENTREGAS</v>
      </c>
      <c r="P555">
        <v>342</v>
      </c>
      <c r="S555" t="str">
        <f>"RECEITAS COM ENTREGAS (303)"</f>
        <v>RECEITAS COM ENTREGAS (303)</v>
      </c>
      <c r="T555">
        <v>4000</v>
      </c>
      <c r="U555">
        <v>3354</v>
      </c>
      <c r="V555" t="s">
        <v>88</v>
      </c>
    </row>
    <row r="556" spans="1:22">
      <c r="A556" t="str">
        <f t="shared" si="183"/>
        <v>15/01/2026</v>
      </c>
      <c r="B556" t="str">
        <f t="shared" si="186"/>
        <v>ENTRADA</v>
      </c>
      <c r="C556" t="str">
        <f t="shared" si="187"/>
        <v>NFSE</v>
      </c>
      <c r="D556" t="str">
        <f>"73"</f>
        <v>73</v>
      </c>
      <c r="E556" t="str">
        <f t="shared" si="185"/>
        <v>1</v>
      </c>
      <c r="F556" t="str">
        <f t="shared" si="184"/>
        <v>COM</v>
      </c>
      <c r="G556" t="str">
        <f>"PENSE FARMA 46 (10194)"</f>
        <v>PENSE FARMA 46 (10194)</v>
      </c>
      <c r="H556" t="s">
        <v>176</v>
      </c>
      <c r="I556" t="str">
        <f t="shared" si="188"/>
        <v>14/01/2026</v>
      </c>
      <c r="J556" t="str">
        <f t="shared" si="189"/>
        <v>12/01/2026</v>
      </c>
      <c r="K556">
        <v>46037</v>
      </c>
      <c r="N556">
        <v>303</v>
      </c>
      <c r="O556" t="s">
        <v>26</v>
      </c>
      <c r="Q556">
        <v>342</v>
      </c>
      <c r="R556" t="str">
        <f>"PENSE FARMA 46 (10194)"</f>
        <v>PENSE FARMA 46 (10194)</v>
      </c>
      <c r="S556" t="s">
        <v>27</v>
      </c>
      <c r="T556">
        <v>4000</v>
      </c>
      <c r="U556">
        <v>3354</v>
      </c>
      <c r="V556" t="s">
        <v>88</v>
      </c>
    </row>
    <row r="557" spans="1:22">
      <c r="A557" t="str">
        <f t="shared" ref="A557:A588" si="192">("15/01/2026")</f>
        <v>15/01/2026</v>
      </c>
      <c r="B557" t="str">
        <f t="shared" si="186"/>
        <v>ENTRADA</v>
      </c>
      <c r="C557" t="str">
        <f t="shared" si="187"/>
        <v>NFSE</v>
      </c>
      <c r="D557" t="str">
        <f t="shared" ref="D557:D563" si="193">"76"</f>
        <v>76</v>
      </c>
      <c r="E557" t="str">
        <f t="shared" si="185"/>
        <v>1</v>
      </c>
      <c r="F557" t="str">
        <f t="shared" ref="F557:F588" si="194">"COM"</f>
        <v>COM</v>
      </c>
      <c r="G557" t="str">
        <f t="shared" ref="G557:G563" si="195">"PENSE FARMA 36 (10206)"</f>
        <v>PENSE FARMA 36 (10206)</v>
      </c>
      <c r="H557" t="str">
        <f>"Serv.Prest. 05/01/2026 a 11/01/2026 - RPS: 2002 - NFSe: 76"</f>
        <v>Serv.Prest. 05/01/2026 a 11/01/2026 - RPS: 2002 - NFSe: 76</v>
      </c>
      <c r="I557" t="str">
        <f t="shared" si="188"/>
        <v>14/01/2026</v>
      </c>
      <c r="J557" t="str">
        <f t="shared" si="189"/>
        <v>12/01/2026</v>
      </c>
      <c r="K557" t="str">
        <f>("15/01/2026")</f>
        <v>15/01/2026</v>
      </c>
      <c r="L557">
        <v>894.35</v>
      </c>
      <c r="M557">
        <v>894.35</v>
      </c>
      <c r="N557">
        <v>303</v>
      </c>
      <c r="O557" t="str">
        <f>"RECEITAS COM ENTREGAS"</f>
        <v>RECEITAS COM ENTREGAS</v>
      </c>
      <c r="P557">
        <v>894.35</v>
      </c>
      <c r="S557" t="str">
        <f>"RECEITAS COM ENTREGAS (303)"</f>
        <v>RECEITAS COM ENTREGAS (303)</v>
      </c>
      <c r="T557">
        <v>4001</v>
      </c>
      <c r="U557">
        <v>3357</v>
      </c>
      <c r="V557" t="s">
        <v>88</v>
      </c>
    </row>
    <row r="558" spans="1:22">
      <c r="A558" t="str">
        <f t="shared" si="192"/>
        <v>15/01/2026</v>
      </c>
      <c r="B558" t="str">
        <f t="shared" si="186"/>
        <v>ENTRADA</v>
      </c>
      <c r="C558" t="str">
        <f t="shared" si="187"/>
        <v>NFSE</v>
      </c>
      <c r="D558" t="str">
        <f t="shared" si="193"/>
        <v>76</v>
      </c>
      <c r="E558" t="str">
        <f t="shared" si="185"/>
        <v>1</v>
      </c>
      <c r="F558" t="str">
        <f t="shared" si="194"/>
        <v>COM</v>
      </c>
      <c r="G558" t="str">
        <f t="shared" si="195"/>
        <v>PENSE FARMA 36 (10206)</v>
      </c>
      <c r="H558" t="s">
        <v>177</v>
      </c>
      <c r="I558" t="str">
        <f t="shared" si="188"/>
        <v>14/01/2026</v>
      </c>
      <c r="J558" t="str">
        <f t="shared" si="189"/>
        <v>12/01/2026</v>
      </c>
      <c r="K558">
        <v>46037</v>
      </c>
      <c r="N558">
        <v>303</v>
      </c>
      <c r="O558" t="s">
        <v>26</v>
      </c>
      <c r="Q558">
        <v>148.30000000000001</v>
      </c>
      <c r="R558" t="str">
        <f>"PENSE FARMA 20 (10203)"</f>
        <v>PENSE FARMA 20 (10203)</v>
      </c>
      <c r="S558" t="s">
        <v>27</v>
      </c>
      <c r="T558">
        <v>4001</v>
      </c>
      <c r="U558">
        <v>3357</v>
      </c>
      <c r="V558" t="s">
        <v>88</v>
      </c>
    </row>
    <row r="559" spans="1:22">
      <c r="A559" t="str">
        <f t="shared" si="192"/>
        <v>15/01/2026</v>
      </c>
      <c r="B559" t="str">
        <f t="shared" si="186"/>
        <v>ENTRADA</v>
      </c>
      <c r="C559" t="str">
        <f t="shared" si="187"/>
        <v>NFSE</v>
      </c>
      <c r="D559" t="str">
        <f t="shared" si="193"/>
        <v>76</v>
      </c>
      <c r="E559" t="str">
        <f t="shared" ref="E559:E590" si="196">"1"</f>
        <v>1</v>
      </c>
      <c r="F559" t="str">
        <f t="shared" si="194"/>
        <v>COM</v>
      </c>
      <c r="G559" t="str">
        <f t="shared" si="195"/>
        <v>PENSE FARMA 36 (10206)</v>
      </c>
      <c r="H559" t="s">
        <v>177</v>
      </c>
      <c r="I559" t="str">
        <f t="shared" si="188"/>
        <v>14/01/2026</v>
      </c>
      <c r="J559" t="str">
        <f t="shared" si="189"/>
        <v>12/01/2026</v>
      </c>
      <c r="K559">
        <v>46037</v>
      </c>
      <c r="N559">
        <v>303</v>
      </c>
      <c r="O559" t="s">
        <v>26</v>
      </c>
      <c r="Q559">
        <v>148.28</v>
      </c>
      <c r="R559" t="str">
        <f>"PENSE FARMA 36 (10206)"</f>
        <v>PENSE FARMA 36 (10206)</v>
      </c>
      <c r="S559" t="s">
        <v>27</v>
      </c>
      <c r="T559">
        <v>4001</v>
      </c>
      <c r="U559">
        <v>3357</v>
      </c>
      <c r="V559" t="s">
        <v>88</v>
      </c>
    </row>
    <row r="560" spans="1:22">
      <c r="A560" t="str">
        <f t="shared" si="192"/>
        <v>15/01/2026</v>
      </c>
      <c r="B560" t="str">
        <f t="shared" si="186"/>
        <v>ENTRADA</v>
      </c>
      <c r="C560" t="str">
        <f t="shared" si="187"/>
        <v>NFSE</v>
      </c>
      <c r="D560" t="str">
        <f t="shared" si="193"/>
        <v>76</v>
      </c>
      <c r="E560" t="str">
        <f t="shared" si="196"/>
        <v>1</v>
      </c>
      <c r="F560" t="str">
        <f t="shared" si="194"/>
        <v>COM</v>
      </c>
      <c r="G560" t="str">
        <f t="shared" si="195"/>
        <v>PENSE FARMA 36 (10206)</v>
      </c>
      <c r="H560" t="s">
        <v>177</v>
      </c>
      <c r="I560" t="str">
        <f t="shared" si="188"/>
        <v>14/01/2026</v>
      </c>
      <c r="J560" t="str">
        <f t="shared" si="189"/>
        <v>12/01/2026</v>
      </c>
      <c r="K560">
        <v>46037</v>
      </c>
      <c r="N560">
        <v>303</v>
      </c>
      <c r="O560" t="s">
        <v>26</v>
      </c>
      <c r="Q560">
        <v>148.28</v>
      </c>
      <c r="R560" t="str">
        <f>"PENSE FARMA 40 (10207)"</f>
        <v>PENSE FARMA 40 (10207)</v>
      </c>
      <c r="S560" t="s">
        <v>27</v>
      </c>
      <c r="T560">
        <v>4001</v>
      </c>
      <c r="U560">
        <v>3357</v>
      </c>
      <c r="V560" t="s">
        <v>88</v>
      </c>
    </row>
    <row r="561" spans="1:22">
      <c r="A561" t="str">
        <f t="shared" si="192"/>
        <v>15/01/2026</v>
      </c>
      <c r="B561" t="str">
        <f t="shared" si="186"/>
        <v>ENTRADA</v>
      </c>
      <c r="C561" t="str">
        <f t="shared" si="187"/>
        <v>NFSE</v>
      </c>
      <c r="D561" t="str">
        <f t="shared" si="193"/>
        <v>76</v>
      </c>
      <c r="E561" t="str">
        <f t="shared" si="196"/>
        <v>1</v>
      </c>
      <c r="F561" t="str">
        <f t="shared" si="194"/>
        <v>COM</v>
      </c>
      <c r="G561" t="str">
        <f t="shared" si="195"/>
        <v>PENSE FARMA 36 (10206)</v>
      </c>
      <c r="H561" t="s">
        <v>177</v>
      </c>
      <c r="I561" t="str">
        <f t="shared" si="188"/>
        <v>14/01/2026</v>
      </c>
      <c r="J561" t="str">
        <f t="shared" si="189"/>
        <v>12/01/2026</v>
      </c>
      <c r="K561">
        <v>46037</v>
      </c>
      <c r="N561">
        <v>303</v>
      </c>
      <c r="O561" t="s">
        <v>26</v>
      </c>
      <c r="Q561">
        <v>148.28</v>
      </c>
      <c r="R561" t="str">
        <f>"PENSE FARMA 43 (10208)"</f>
        <v>PENSE FARMA 43 (10208)</v>
      </c>
      <c r="S561" t="s">
        <v>27</v>
      </c>
      <c r="T561">
        <v>4001</v>
      </c>
      <c r="U561">
        <v>3357</v>
      </c>
      <c r="V561" t="s">
        <v>88</v>
      </c>
    </row>
    <row r="562" spans="1:22">
      <c r="A562" t="str">
        <f t="shared" si="192"/>
        <v>15/01/2026</v>
      </c>
      <c r="B562" t="str">
        <f t="shared" ref="B562:B597" si="197">"ENTRADA"</f>
        <v>ENTRADA</v>
      </c>
      <c r="C562" t="str">
        <f t="shared" ref="C562:C597" si="198">"NFSE"</f>
        <v>NFSE</v>
      </c>
      <c r="D562" t="str">
        <f t="shared" si="193"/>
        <v>76</v>
      </c>
      <c r="E562" t="str">
        <f t="shared" si="196"/>
        <v>1</v>
      </c>
      <c r="F562" t="str">
        <f t="shared" si="194"/>
        <v>COM</v>
      </c>
      <c r="G562" t="str">
        <f t="shared" si="195"/>
        <v>PENSE FARMA 36 (10206)</v>
      </c>
      <c r="H562" t="s">
        <v>177</v>
      </c>
      <c r="I562" t="str">
        <f t="shared" ref="I562:I597" si="199">("14/01/2026")</f>
        <v>14/01/2026</v>
      </c>
      <c r="J562" t="str">
        <f t="shared" si="189"/>
        <v>12/01/2026</v>
      </c>
      <c r="K562">
        <v>46037</v>
      </c>
      <c r="N562">
        <v>303</v>
      </c>
      <c r="O562" t="s">
        <v>26</v>
      </c>
      <c r="Q562">
        <v>148.28</v>
      </c>
      <c r="R562" t="str">
        <f>"PENSE FARMA 59 (10211)"</f>
        <v>PENSE FARMA 59 (10211)</v>
      </c>
      <c r="S562" t="s">
        <v>27</v>
      </c>
      <c r="T562">
        <v>4001</v>
      </c>
      <c r="U562">
        <v>3357</v>
      </c>
      <c r="V562" t="s">
        <v>88</v>
      </c>
    </row>
    <row r="563" spans="1:22">
      <c r="A563" t="str">
        <f t="shared" si="192"/>
        <v>15/01/2026</v>
      </c>
      <c r="B563" t="str">
        <f t="shared" si="197"/>
        <v>ENTRADA</v>
      </c>
      <c r="C563" t="str">
        <f t="shared" si="198"/>
        <v>NFSE</v>
      </c>
      <c r="D563" t="str">
        <f t="shared" si="193"/>
        <v>76</v>
      </c>
      <c r="E563" t="str">
        <f t="shared" si="196"/>
        <v>1</v>
      </c>
      <c r="F563" t="str">
        <f t="shared" si="194"/>
        <v>COM</v>
      </c>
      <c r="G563" t="str">
        <f t="shared" si="195"/>
        <v>PENSE FARMA 36 (10206)</v>
      </c>
      <c r="H563" t="s">
        <v>177</v>
      </c>
      <c r="I563" t="str">
        <f t="shared" si="199"/>
        <v>14/01/2026</v>
      </c>
      <c r="J563" t="str">
        <f t="shared" si="189"/>
        <v>12/01/2026</v>
      </c>
      <c r="K563">
        <v>46037</v>
      </c>
      <c r="N563">
        <v>303</v>
      </c>
      <c r="O563" t="s">
        <v>26</v>
      </c>
      <c r="Q563">
        <v>152.93</v>
      </c>
      <c r="R563" t="str">
        <f>"PENSE FARMA DARK STORE 361 (10212)"</f>
        <v>PENSE FARMA DARK STORE 361 (10212)</v>
      </c>
      <c r="S563" t="s">
        <v>27</v>
      </c>
      <c r="T563">
        <v>4001</v>
      </c>
      <c r="U563">
        <v>3357</v>
      </c>
      <c r="V563" t="s">
        <v>88</v>
      </c>
    </row>
    <row r="564" spans="1:22">
      <c r="A564" t="str">
        <f t="shared" si="192"/>
        <v>15/01/2026</v>
      </c>
      <c r="B564" t="str">
        <f t="shared" si="197"/>
        <v>ENTRADA</v>
      </c>
      <c r="C564" t="str">
        <f t="shared" si="198"/>
        <v>NFSE</v>
      </c>
      <c r="D564" t="str">
        <f>"77"</f>
        <v>77</v>
      </c>
      <c r="E564" t="str">
        <f t="shared" si="196"/>
        <v>1</v>
      </c>
      <c r="F564" t="str">
        <f t="shared" si="194"/>
        <v>COM</v>
      </c>
      <c r="G564" t="str">
        <f>"PENSE FARMA 07 (10201)"</f>
        <v>PENSE FARMA 07 (10201)</v>
      </c>
      <c r="H564" t="str">
        <f>"Serv.Prest. 05/01/2026 a 11/01/2026 - RPS: 2003 - NFSe: 77"</f>
        <v>Serv.Prest. 05/01/2026 a 11/01/2026 - RPS: 2003 - NFSe: 77</v>
      </c>
      <c r="I564" t="str">
        <f t="shared" si="199"/>
        <v>14/01/2026</v>
      </c>
      <c r="J564" t="str">
        <f t="shared" si="189"/>
        <v>12/01/2026</v>
      </c>
      <c r="K564" t="str">
        <f>("15/01/2026")</f>
        <v>15/01/2026</v>
      </c>
      <c r="L564">
        <v>309.75</v>
      </c>
      <c r="M564">
        <v>309.75</v>
      </c>
      <c r="N564">
        <v>303</v>
      </c>
      <c r="O564" t="str">
        <f>"RECEITAS COM ENTREGAS"</f>
        <v>RECEITAS COM ENTREGAS</v>
      </c>
      <c r="P564">
        <v>309.75</v>
      </c>
      <c r="S564" t="str">
        <f>"RECEITAS COM ENTREGAS (303)"</f>
        <v>RECEITAS COM ENTREGAS (303)</v>
      </c>
      <c r="T564">
        <v>4002</v>
      </c>
      <c r="U564">
        <v>3358</v>
      </c>
      <c r="V564" t="s">
        <v>88</v>
      </c>
    </row>
    <row r="565" spans="1:22">
      <c r="A565" t="str">
        <f t="shared" si="192"/>
        <v>15/01/2026</v>
      </c>
      <c r="B565" t="str">
        <f t="shared" si="197"/>
        <v>ENTRADA</v>
      </c>
      <c r="C565" t="str">
        <f t="shared" si="198"/>
        <v>NFSE</v>
      </c>
      <c r="D565" t="str">
        <f>"77"</f>
        <v>77</v>
      </c>
      <c r="E565" t="str">
        <f t="shared" si="196"/>
        <v>1</v>
      </c>
      <c r="F565" t="str">
        <f t="shared" si="194"/>
        <v>COM</v>
      </c>
      <c r="G565" t="str">
        <f>"PENSE FARMA 07 (10201)"</f>
        <v>PENSE FARMA 07 (10201)</v>
      </c>
      <c r="H565" t="s">
        <v>178</v>
      </c>
      <c r="I565" t="str">
        <f t="shared" si="199"/>
        <v>14/01/2026</v>
      </c>
      <c r="J565" t="str">
        <f t="shared" si="189"/>
        <v>12/01/2026</v>
      </c>
      <c r="K565">
        <v>46037</v>
      </c>
      <c r="N565">
        <v>303</v>
      </c>
      <c r="O565" t="s">
        <v>26</v>
      </c>
      <c r="Q565">
        <v>102.9</v>
      </c>
      <c r="R565" t="str">
        <f>"PENSE FARMA 07 (10201)"</f>
        <v>PENSE FARMA 07 (10201)</v>
      </c>
      <c r="S565" t="s">
        <v>27</v>
      </c>
      <c r="T565">
        <v>4002</v>
      </c>
      <c r="U565">
        <v>3358</v>
      </c>
      <c r="V565" t="s">
        <v>88</v>
      </c>
    </row>
    <row r="566" spans="1:22">
      <c r="A566" t="str">
        <f t="shared" si="192"/>
        <v>15/01/2026</v>
      </c>
      <c r="B566" t="str">
        <f t="shared" si="197"/>
        <v>ENTRADA</v>
      </c>
      <c r="C566" t="str">
        <f t="shared" si="198"/>
        <v>NFSE</v>
      </c>
      <c r="D566" t="str">
        <f>"77"</f>
        <v>77</v>
      </c>
      <c r="E566" t="str">
        <f t="shared" si="196"/>
        <v>1</v>
      </c>
      <c r="F566" t="str">
        <f t="shared" si="194"/>
        <v>COM</v>
      </c>
      <c r="G566" t="str">
        <f>"PENSE FARMA 07 (10201)"</f>
        <v>PENSE FARMA 07 (10201)</v>
      </c>
      <c r="H566" t="s">
        <v>178</v>
      </c>
      <c r="I566" t="str">
        <f t="shared" si="199"/>
        <v>14/01/2026</v>
      </c>
      <c r="J566" t="str">
        <f t="shared" si="189"/>
        <v>12/01/2026</v>
      </c>
      <c r="K566">
        <v>46037</v>
      </c>
      <c r="N566">
        <v>303</v>
      </c>
      <c r="O566" t="s">
        <v>26</v>
      </c>
      <c r="Q566">
        <v>102.9</v>
      </c>
      <c r="R566" t="str">
        <f>"PENSE FARMA 45 (10209)"</f>
        <v>PENSE FARMA 45 (10209)</v>
      </c>
      <c r="S566" t="s">
        <v>27</v>
      </c>
      <c r="T566">
        <v>4002</v>
      </c>
      <c r="U566">
        <v>3358</v>
      </c>
      <c r="V566" t="s">
        <v>88</v>
      </c>
    </row>
    <row r="567" spans="1:22">
      <c r="A567" t="str">
        <f t="shared" si="192"/>
        <v>15/01/2026</v>
      </c>
      <c r="B567" t="str">
        <f t="shared" si="197"/>
        <v>ENTRADA</v>
      </c>
      <c r="C567" t="str">
        <f t="shared" si="198"/>
        <v>NFSE</v>
      </c>
      <c r="D567" t="str">
        <f>"77"</f>
        <v>77</v>
      </c>
      <c r="E567" t="str">
        <f t="shared" si="196"/>
        <v>1</v>
      </c>
      <c r="F567" t="str">
        <f t="shared" si="194"/>
        <v>COM</v>
      </c>
      <c r="G567" t="str">
        <f>"PENSE FARMA 07 (10201)"</f>
        <v>PENSE FARMA 07 (10201)</v>
      </c>
      <c r="H567" t="s">
        <v>178</v>
      </c>
      <c r="I567" t="str">
        <f t="shared" si="199"/>
        <v>14/01/2026</v>
      </c>
      <c r="J567" t="str">
        <f t="shared" si="189"/>
        <v>12/01/2026</v>
      </c>
      <c r="K567">
        <v>46037</v>
      </c>
      <c r="N567">
        <v>303</v>
      </c>
      <c r="O567" t="s">
        <v>26</v>
      </c>
      <c r="Q567">
        <v>103.95</v>
      </c>
      <c r="R567" t="str">
        <f>"PENSE FARMA 50 (10210)"</f>
        <v>PENSE FARMA 50 (10210)</v>
      </c>
      <c r="S567" t="s">
        <v>27</v>
      </c>
      <c r="T567">
        <v>4002</v>
      </c>
      <c r="U567">
        <v>3358</v>
      </c>
      <c r="V567" t="s">
        <v>88</v>
      </c>
    </row>
    <row r="568" spans="1:22">
      <c r="A568" t="str">
        <f t="shared" si="192"/>
        <v>15/01/2026</v>
      </c>
      <c r="B568" t="str">
        <f t="shared" si="197"/>
        <v>ENTRADA</v>
      </c>
      <c r="C568" t="str">
        <f t="shared" si="198"/>
        <v>NFSE</v>
      </c>
      <c r="D568" t="str">
        <f>"78"</f>
        <v>78</v>
      </c>
      <c r="E568" t="str">
        <f t="shared" si="196"/>
        <v>1</v>
      </c>
      <c r="F568" t="str">
        <f t="shared" si="194"/>
        <v>COM</v>
      </c>
      <c r="G568" t="str">
        <f>"PENSE FARMA 27 (10204)"</f>
        <v>PENSE FARMA 27 (10204)</v>
      </c>
      <c r="H568" t="str">
        <f>"Serv.Prest. 05/01/2026 a 11/01/2026 - RPS: 2004 - NFSe: 78"</f>
        <v>Serv.Prest. 05/01/2026 a 11/01/2026 - RPS: 2004 - NFSe: 78</v>
      </c>
      <c r="I568" t="str">
        <f t="shared" si="199"/>
        <v>14/01/2026</v>
      </c>
      <c r="J568" t="str">
        <f t="shared" ref="J568:J584" si="200">("12/01/2026")</f>
        <v>12/01/2026</v>
      </c>
      <c r="K568" t="str">
        <f>("15/01/2026")</f>
        <v>15/01/2026</v>
      </c>
      <c r="L568">
        <v>577.5</v>
      </c>
      <c r="M568">
        <v>577.5</v>
      </c>
      <c r="N568">
        <v>303</v>
      </c>
      <c r="O568" t="str">
        <f>"RECEITAS COM ENTREGAS"</f>
        <v>RECEITAS COM ENTREGAS</v>
      </c>
      <c r="P568">
        <v>577.5</v>
      </c>
      <c r="S568" t="str">
        <f>"RECEITAS COM ENTREGAS (303)"</f>
        <v>RECEITAS COM ENTREGAS (303)</v>
      </c>
      <c r="T568">
        <v>4003</v>
      </c>
      <c r="U568">
        <v>3359</v>
      </c>
      <c r="V568" t="s">
        <v>88</v>
      </c>
    </row>
    <row r="569" spans="1:22">
      <c r="A569" t="str">
        <f t="shared" si="192"/>
        <v>15/01/2026</v>
      </c>
      <c r="B569" t="str">
        <f t="shared" si="197"/>
        <v>ENTRADA</v>
      </c>
      <c r="C569" t="str">
        <f t="shared" si="198"/>
        <v>NFSE</v>
      </c>
      <c r="D569" t="str">
        <f>"78"</f>
        <v>78</v>
      </c>
      <c r="E569" t="str">
        <f t="shared" si="196"/>
        <v>1</v>
      </c>
      <c r="F569" t="str">
        <f t="shared" si="194"/>
        <v>COM</v>
      </c>
      <c r="G569" t="str">
        <f>"PENSE FARMA 27 (10204)"</f>
        <v>PENSE FARMA 27 (10204)</v>
      </c>
      <c r="H569" t="s">
        <v>179</v>
      </c>
      <c r="I569" t="str">
        <f t="shared" si="199"/>
        <v>14/01/2026</v>
      </c>
      <c r="J569" t="str">
        <f t="shared" si="200"/>
        <v>12/01/2026</v>
      </c>
      <c r="K569">
        <v>46037</v>
      </c>
      <c r="N569">
        <v>303</v>
      </c>
      <c r="O569" t="s">
        <v>26</v>
      </c>
      <c r="Q569">
        <v>192.14</v>
      </c>
      <c r="R569" t="str">
        <f>"PENSE FARMA 05 (10200)"</f>
        <v>PENSE FARMA 05 (10200)</v>
      </c>
      <c r="S569" t="s">
        <v>27</v>
      </c>
      <c r="T569">
        <v>4003</v>
      </c>
      <c r="U569">
        <v>3359</v>
      </c>
      <c r="V569" t="s">
        <v>88</v>
      </c>
    </row>
    <row r="570" spans="1:22">
      <c r="A570" t="str">
        <f t="shared" si="192"/>
        <v>15/01/2026</v>
      </c>
      <c r="B570" t="str">
        <f t="shared" si="197"/>
        <v>ENTRADA</v>
      </c>
      <c r="C570" t="str">
        <f t="shared" si="198"/>
        <v>NFSE</v>
      </c>
      <c r="D570" t="str">
        <f>"78"</f>
        <v>78</v>
      </c>
      <c r="E570" t="str">
        <f t="shared" si="196"/>
        <v>1</v>
      </c>
      <c r="F570" t="str">
        <f t="shared" si="194"/>
        <v>COM</v>
      </c>
      <c r="G570" t="str">
        <f>"PENSE FARMA 27 (10204)"</f>
        <v>PENSE FARMA 27 (10204)</v>
      </c>
      <c r="H570" t="s">
        <v>179</v>
      </c>
      <c r="I570" t="str">
        <f t="shared" si="199"/>
        <v>14/01/2026</v>
      </c>
      <c r="J570" t="str">
        <f t="shared" si="200"/>
        <v>12/01/2026</v>
      </c>
      <c r="K570">
        <v>46037</v>
      </c>
      <c r="N570">
        <v>303</v>
      </c>
      <c r="O570" t="s">
        <v>26</v>
      </c>
      <c r="Q570">
        <v>192.13</v>
      </c>
      <c r="R570" t="str">
        <f>"PENSE FARMA 13 (10202)"</f>
        <v>PENSE FARMA 13 (10202)</v>
      </c>
      <c r="S570" t="s">
        <v>27</v>
      </c>
      <c r="T570">
        <v>4003</v>
      </c>
      <c r="U570">
        <v>3359</v>
      </c>
      <c r="V570" t="s">
        <v>88</v>
      </c>
    </row>
    <row r="571" spans="1:22">
      <c r="A571" t="str">
        <f t="shared" si="192"/>
        <v>15/01/2026</v>
      </c>
      <c r="B571" t="str">
        <f t="shared" si="197"/>
        <v>ENTRADA</v>
      </c>
      <c r="C571" t="str">
        <f t="shared" si="198"/>
        <v>NFSE</v>
      </c>
      <c r="D571" t="str">
        <f>"78"</f>
        <v>78</v>
      </c>
      <c r="E571" t="str">
        <f t="shared" si="196"/>
        <v>1</v>
      </c>
      <c r="F571" t="str">
        <f t="shared" si="194"/>
        <v>COM</v>
      </c>
      <c r="G571" t="str">
        <f>"PENSE FARMA 27 (10204)"</f>
        <v>PENSE FARMA 27 (10204)</v>
      </c>
      <c r="H571" t="s">
        <v>179</v>
      </c>
      <c r="I571" t="str">
        <f t="shared" si="199"/>
        <v>14/01/2026</v>
      </c>
      <c r="J571" t="str">
        <f t="shared" si="200"/>
        <v>12/01/2026</v>
      </c>
      <c r="K571">
        <v>46037</v>
      </c>
      <c r="N571">
        <v>303</v>
      </c>
      <c r="O571" t="s">
        <v>26</v>
      </c>
      <c r="Q571">
        <v>193.23</v>
      </c>
      <c r="R571" t="str">
        <f>"PENSE FARMA 27 (10204)"</f>
        <v>PENSE FARMA 27 (10204)</v>
      </c>
      <c r="S571" t="s">
        <v>27</v>
      </c>
      <c r="T571">
        <v>4003</v>
      </c>
      <c r="U571">
        <v>3359</v>
      </c>
      <c r="V571" t="s">
        <v>88</v>
      </c>
    </row>
    <row r="572" spans="1:22">
      <c r="A572" t="str">
        <f t="shared" si="192"/>
        <v>15/01/2026</v>
      </c>
      <c r="B572" t="str">
        <f t="shared" si="197"/>
        <v>ENTRADA</v>
      </c>
      <c r="C572" t="str">
        <f t="shared" si="198"/>
        <v>NFSE</v>
      </c>
      <c r="D572" t="str">
        <f>"79"</f>
        <v>79</v>
      </c>
      <c r="E572" t="str">
        <f t="shared" si="196"/>
        <v>1</v>
      </c>
      <c r="F572" t="str">
        <f t="shared" si="194"/>
        <v>COM</v>
      </c>
      <c r="G572" t="str">
        <f>"ENTREFARMA (10164)"</f>
        <v>ENTREFARMA (10164)</v>
      </c>
      <c r="H572" t="str">
        <f>"Serv.Prest. 05/01/2026 a 11/01/2026 - RPS: 2005 - NFSe: 79"</f>
        <v>Serv.Prest. 05/01/2026 a 11/01/2026 - RPS: 2005 - NFSe: 79</v>
      </c>
      <c r="I572" t="str">
        <f t="shared" si="199"/>
        <v>14/01/2026</v>
      </c>
      <c r="J572" t="str">
        <f t="shared" si="200"/>
        <v>12/01/2026</v>
      </c>
      <c r="K572" t="str">
        <f>("15/01/2026")</f>
        <v>15/01/2026</v>
      </c>
      <c r="L572">
        <v>740.77</v>
      </c>
      <c r="M572">
        <v>740.77</v>
      </c>
      <c r="N572">
        <v>303</v>
      </c>
      <c r="O572" t="str">
        <f>"RECEITAS COM ENTREGAS"</f>
        <v>RECEITAS COM ENTREGAS</v>
      </c>
      <c r="P572">
        <v>740.77</v>
      </c>
      <c r="S572" t="str">
        <f>"RECEITAS COM ENTREGAS (303)"</f>
        <v>RECEITAS COM ENTREGAS (303)</v>
      </c>
      <c r="T572">
        <v>4004</v>
      </c>
      <c r="U572">
        <v>3360</v>
      </c>
      <c r="V572" t="s">
        <v>88</v>
      </c>
    </row>
    <row r="573" spans="1:22">
      <c r="A573" t="str">
        <f t="shared" si="192"/>
        <v>15/01/2026</v>
      </c>
      <c r="B573" t="str">
        <f t="shared" si="197"/>
        <v>ENTRADA</v>
      </c>
      <c r="C573" t="str">
        <f t="shared" si="198"/>
        <v>NFSE</v>
      </c>
      <c r="D573" t="str">
        <f>"79"</f>
        <v>79</v>
      </c>
      <c r="E573" t="str">
        <f t="shared" si="196"/>
        <v>1</v>
      </c>
      <c r="F573" t="str">
        <f t="shared" si="194"/>
        <v>COM</v>
      </c>
      <c r="G573" t="str">
        <f>"ENTREFARMA (10164)"</f>
        <v>ENTREFARMA (10164)</v>
      </c>
      <c r="H573" t="s">
        <v>180</v>
      </c>
      <c r="I573" t="str">
        <f t="shared" si="199"/>
        <v>14/01/2026</v>
      </c>
      <c r="J573" t="str">
        <f t="shared" si="200"/>
        <v>12/01/2026</v>
      </c>
      <c r="K573">
        <v>46037</v>
      </c>
      <c r="N573">
        <v>303</v>
      </c>
      <c r="O573" t="s">
        <v>26</v>
      </c>
      <c r="Q573">
        <v>740.77</v>
      </c>
      <c r="R573" t="str">
        <f>"ENTREFARMA (10164)"</f>
        <v>ENTREFARMA (10164)</v>
      </c>
      <c r="S573" t="s">
        <v>27</v>
      </c>
      <c r="T573">
        <v>4004</v>
      </c>
      <c r="U573">
        <v>3360</v>
      </c>
      <c r="V573" t="s">
        <v>88</v>
      </c>
    </row>
    <row r="574" spans="1:22">
      <c r="A574" t="str">
        <f t="shared" si="192"/>
        <v>15/01/2026</v>
      </c>
      <c r="B574" t="str">
        <f t="shared" si="197"/>
        <v>ENTRADA</v>
      </c>
      <c r="C574" t="str">
        <f t="shared" si="198"/>
        <v>NFSE</v>
      </c>
      <c r="D574" t="str">
        <f>"80"</f>
        <v>80</v>
      </c>
      <c r="E574" t="str">
        <f t="shared" si="196"/>
        <v>1</v>
      </c>
      <c r="F574" t="str">
        <f t="shared" si="194"/>
        <v>COM</v>
      </c>
      <c r="G574" t="str">
        <f>"DROGALIDER 25 (10246)"</f>
        <v>DROGALIDER 25 (10246)</v>
      </c>
      <c r="H574" t="str">
        <f>"Serv.Prest. 05/01/2026 a 11/01/2026 - RPS: 2006 - NFSe: 80"</f>
        <v>Serv.Prest. 05/01/2026 a 11/01/2026 - RPS: 2006 - NFSe: 80</v>
      </c>
      <c r="I574" t="str">
        <f t="shared" si="199"/>
        <v>14/01/2026</v>
      </c>
      <c r="J574" t="str">
        <f t="shared" si="200"/>
        <v>12/01/2026</v>
      </c>
      <c r="K574" t="str">
        <f>("15/01/2026")</f>
        <v>15/01/2026</v>
      </c>
      <c r="L574">
        <v>337.5</v>
      </c>
      <c r="M574">
        <v>337.5</v>
      </c>
      <c r="N574">
        <v>303</v>
      </c>
      <c r="O574" t="str">
        <f>"RECEITAS COM ENTREGAS"</f>
        <v>RECEITAS COM ENTREGAS</v>
      </c>
      <c r="P574">
        <v>337.5</v>
      </c>
      <c r="S574" t="str">
        <f>"RECEITAS COM ENTREGAS (303)"</f>
        <v>RECEITAS COM ENTREGAS (303)</v>
      </c>
      <c r="T574">
        <v>4005</v>
      </c>
      <c r="U574">
        <v>3361</v>
      </c>
      <c r="V574" t="s">
        <v>88</v>
      </c>
    </row>
    <row r="575" spans="1:22">
      <c r="A575" t="str">
        <f t="shared" si="192"/>
        <v>15/01/2026</v>
      </c>
      <c r="B575" t="str">
        <f t="shared" si="197"/>
        <v>ENTRADA</v>
      </c>
      <c r="C575" t="str">
        <f t="shared" si="198"/>
        <v>NFSE</v>
      </c>
      <c r="D575" t="str">
        <f>"80"</f>
        <v>80</v>
      </c>
      <c r="E575" t="str">
        <f t="shared" si="196"/>
        <v>1</v>
      </c>
      <c r="F575" t="str">
        <f t="shared" si="194"/>
        <v>COM</v>
      </c>
      <c r="G575" t="str">
        <f>"DROGALIDER 25 (10246)"</f>
        <v>DROGALIDER 25 (10246)</v>
      </c>
      <c r="H575" t="s">
        <v>181</v>
      </c>
      <c r="I575" t="str">
        <f t="shared" si="199"/>
        <v>14/01/2026</v>
      </c>
      <c r="J575" t="str">
        <f t="shared" si="200"/>
        <v>12/01/2026</v>
      </c>
      <c r="K575">
        <v>46037</v>
      </c>
      <c r="N575">
        <v>303</v>
      </c>
      <c r="O575" t="s">
        <v>26</v>
      </c>
      <c r="Q575">
        <v>68</v>
      </c>
      <c r="R575" t="str">
        <f>"DROGALIDER 58 (10213)"</f>
        <v>DROGALIDER 58 (10213)</v>
      </c>
      <c r="S575" t="s">
        <v>27</v>
      </c>
      <c r="T575">
        <v>4005</v>
      </c>
      <c r="U575">
        <v>3361</v>
      </c>
      <c r="V575" t="s">
        <v>88</v>
      </c>
    </row>
    <row r="576" spans="1:22">
      <c r="A576" t="str">
        <f t="shared" si="192"/>
        <v>15/01/2026</v>
      </c>
      <c r="B576" t="str">
        <f t="shared" si="197"/>
        <v>ENTRADA</v>
      </c>
      <c r="C576" t="str">
        <f t="shared" si="198"/>
        <v>NFSE</v>
      </c>
      <c r="D576" t="str">
        <f>"80"</f>
        <v>80</v>
      </c>
      <c r="E576" t="str">
        <f t="shared" si="196"/>
        <v>1</v>
      </c>
      <c r="F576" t="str">
        <f t="shared" si="194"/>
        <v>COM</v>
      </c>
      <c r="G576" t="str">
        <f>"DROGALIDER 25 (10246)"</f>
        <v>DROGALIDER 25 (10246)</v>
      </c>
      <c r="H576" t="s">
        <v>181</v>
      </c>
      <c r="I576" t="str">
        <f t="shared" si="199"/>
        <v>14/01/2026</v>
      </c>
      <c r="J576" t="str">
        <f t="shared" si="200"/>
        <v>12/01/2026</v>
      </c>
      <c r="K576">
        <v>46037</v>
      </c>
      <c r="N576">
        <v>303</v>
      </c>
      <c r="O576" t="s">
        <v>26</v>
      </c>
      <c r="Q576">
        <v>112.02</v>
      </c>
      <c r="R576" t="str">
        <f>"DROGALIDER 25 (10246)"</f>
        <v>DROGALIDER 25 (10246)</v>
      </c>
      <c r="S576" t="s">
        <v>27</v>
      </c>
      <c r="T576">
        <v>4005</v>
      </c>
      <c r="U576">
        <v>3361</v>
      </c>
      <c r="V576" t="s">
        <v>88</v>
      </c>
    </row>
    <row r="577" spans="1:22">
      <c r="A577" t="str">
        <f t="shared" si="192"/>
        <v>15/01/2026</v>
      </c>
      <c r="B577" t="str">
        <f t="shared" si="197"/>
        <v>ENTRADA</v>
      </c>
      <c r="C577" t="str">
        <f t="shared" si="198"/>
        <v>NFSE</v>
      </c>
      <c r="D577" t="str">
        <f>"80"</f>
        <v>80</v>
      </c>
      <c r="E577" t="str">
        <f t="shared" si="196"/>
        <v>1</v>
      </c>
      <c r="F577" t="str">
        <f t="shared" si="194"/>
        <v>COM</v>
      </c>
      <c r="G577" t="str">
        <f>"DROGALIDER 25 (10246)"</f>
        <v>DROGALIDER 25 (10246)</v>
      </c>
      <c r="H577" t="s">
        <v>181</v>
      </c>
      <c r="I577" t="str">
        <f t="shared" si="199"/>
        <v>14/01/2026</v>
      </c>
      <c r="J577" t="str">
        <f t="shared" si="200"/>
        <v>12/01/2026</v>
      </c>
      <c r="K577">
        <v>46037</v>
      </c>
      <c r="N577">
        <v>303</v>
      </c>
      <c r="O577" t="s">
        <v>26</v>
      </c>
      <c r="Q577">
        <v>119.21</v>
      </c>
      <c r="R577" t="str">
        <f>"DROGALIDER 46 (10248)"</f>
        <v>DROGALIDER 46 (10248)</v>
      </c>
      <c r="S577" t="s">
        <v>27</v>
      </c>
      <c r="T577">
        <v>4005</v>
      </c>
      <c r="U577">
        <v>3361</v>
      </c>
      <c r="V577" t="s">
        <v>88</v>
      </c>
    </row>
    <row r="578" spans="1:22">
      <c r="A578" t="str">
        <f t="shared" si="192"/>
        <v>15/01/2026</v>
      </c>
      <c r="B578" t="str">
        <f t="shared" si="197"/>
        <v>ENTRADA</v>
      </c>
      <c r="C578" t="str">
        <f t="shared" si="198"/>
        <v>NFSE</v>
      </c>
      <c r="D578" t="str">
        <f>"80"</f>
        <v>80</v>
      </c>
      <c r="E578" t="str">
        <f t="shared" si="196"/>
        <v>1</v>
      </c>
      <c r="F578" t="str">
        <f t="shared" si="194"/>
        <v>COM</v>
      </c>
      <c r="G578" t="str">
        <f>"DROGALIDER 25 (10246)"</f>
        <v>DROGALIDER 25 (10246)</v>
      </c>
      <c r="H578" t="s">
        <v>181</v>
      </c>
      <c r="I578" t="str">
        <f t="shared" si="199"/>
        <v>14/01/2026</v>
      </c>
      <c r="J578" t="str">
        <f t="shared" si="200"/>
        <v>12/01/2026</v>
      </c>
      <c r="K578">
        <v>46037</v>
      </c>
      <c r="N578">
        <v>303</v>
      </c>
      <c r="O578" t="s">
        <v>26</v>
      </c>
      <c r="Q578">
        <v>38.270000000000003</v>
      </c>
      <c r="R578" t="str">
        <f>"DROGALIDER 66 (10251)"</f>
        <v>DROGALIDER 66 (10251)</v>
      </c>
      <c r="S578" t="s">
        <v>27</v>
      </c>
      <c r="T578">
        <v>4005</v>
      </c>
      <c r="U578">
        <v>3361</v>
      </c>
      <c r="V578" t="s">
        <v>88</v>
      </c>
    </row>
    <row r="579" spans="1:22">
      <c r="A579" t="str">
        <f t="shared" si="192"/>
        <v>15/01/2026</v>
      </c>
      <c r="B579" t="str">
        <f t="shared" si="197"/>
        <v>ENTRADA</v>
      </c>
      <c r="C579" t="str">
        <f t="shared" si="198"/>
        <v>NFSE</v>
      </c>
      <c r="D579" t="str">
        <f>"81"</f>
        <v>81</v>
      </c>
      <c r="E579" t="str">
        <f t="shared" si="196"/>
        <v>1</v>
      </c>
      <c r="F579" t="str">
        <f t="shared" si="194"/>
        <v>COM</v>
      </c>
      <c r="G579" t="str">
        <f>"DROGA ELIDA (10121)"</f>
        <v>DROGA ELIDA (10121)</v>
      </c>
      <c r="H579" t="str">
        <f>"Serv.Prest. 05/01/2026 a 11/01/2026 - RPS: 2007 - NFSe: 81"</f>
        <v>Serv.Prest. 05/01/2026 a 11/01/2026 - RPS: 2007 - NFSe: 81</v>
      </c>
      <c r="I579" t="str">
        <f t="shared" si="199"/>
        <v>14/01/2026</v>
      </c>
      <c r="J579" t="str">
        <f t="shared" si="200"/>
        <v>12/01/2026</v>
      </c>
      <c r="K579" t="str">
        <f>("15/01/2026")</f>
        <v>15/01/2026</v>
      </c>
      <c r="L579">
        <v>328.5</v>
      </c>
      <c r="M579">
        <v>328.5</v>
      </c>
      <c r="N579">
        <v>303</v>
      </c>
      <c r="O579" t="str">
        <f>"RECEITAS COM ENTREGAS"</f>
        <v>RECEITAS COM ENTREGAS</v>
      </c>
      <c r="P579">
        <v>328.5</v>
      </c>
      <c r="S579" t="str">
        <f>"RECEITAS COM ENTREGAS (303)"</f>
        <v>RECEITAS COM ENTREGAS (303)</v>
      </c>
      <c r="T579">
        <v>4006</v>
      </c>
      <c r="U579">
        <v>3362</v>
      </c>
      <c r="V579" t="s">
        <v>88</v>
      </c>
    </row>
    <row r="580" spans="1:22">
      <c r="A580" t="str">
        <f t="shared" si="192"/>
        <v>15/01/2026</v>
      </c>
      <c r="B580" t="str">
        <f t="shared" si="197"/>
        <v>ENTRADA</v>
      </c>
      <c r="C580" t="str">
        <f t="shared" si="198"/>
        <v>NFSE</v>
      </c>
      <c r="D580" t="str">
        <f>"81"</f>
        <v>81</v>
      </c>
      <c r="E580" t="str">
        <f t="shared" si="196"/>
        <v>1</v>
      </c>
      <c r="F580" t="str">
        <f t="shared" si="194"/>
        <v>COM</v>
      </c>
      <c r="G580" t="str">
        <f>"DROGA ELIDA (10121)"</f>
        <v>DROGA ELIDA (10121)</v>
      </c>
      <c r="H580" t="s">
        <v>182</v>
      </c>
      <c r="I580" t="str">
        <f t="shared" si="199"/>
        <v>14/01/2026</v>
      </c>
      <c r="J580" t="str">
        <f t="shared" si="200"/>
        <v>12/01/2026</v>
      </c>
      <c r="K580">
        <v>46037</v>
      </c>
      <c r="N580">
        <v>303</v>
      </c>
      <c r="O580" t="s">
        <v>26</v>
      </c>
      <c r="Q580">
        <v>328.5</v>
      </c>
      <c r="R580" t="str">
        <f>"DROGA ELIDA (10121)"</f>
        <v>DROGA ELIDA (10121)</v>
      </c>
      <c r="S580" t="s">
        <v>27</v>
      </c>
      <c r="T580">
        <v>4006</v>
      </c>
      <c r="U580">
        <v>3362</v>
      </c>
      <c r="V580" t="s">
        <v>88</v>
      </c>
    </row>
    <row r="581" spans="1:22">
      <c r="A581" t="str">
        <f t="shared" si="192"/>
        <v>15/01/2026</v>
      </c>
      <c r="B581" t="str">
        <f t="shared" si="197"/>
        <v>ENTRADA</v>
      </c>
      <c r="C581" t="str">
        <f t="shared" si="198"/>
        <v>NFSE</v>
      </c>
      <c r="D581" t="str">
        <f>"83"</f>
        <v>83</v>
      </c>
      <c r="E581" t="str">
        <f t="shared" si="196"/>
        <v>1</v>
      </c>
      <c r="F581" t="str">
        <f t="shared" si="194"/>
        <v>COM</v>
      </c>
      <c r="G581" t="str">
        <f>"BELLESE FARMA (10279)"</f>
        <v>BELLESE FARMA (10279)</v>
      </c>
      <c r="H581" t="str">
        <f>"Serv.Prest. 05/01/2026 a 11/01/2026 - RPS: 2009 - NFSe: 83"</f>
        <v>Serv.Prest. 05/01/2026 a 11/01/2026 - RPS: 2009 - NFSe: 83</v>
      </c>
      <c r="I581" t="str">
        <f t="shared" si="199"/>
        <v>14/01/2026</v>
      </c>
      <c r="J581" t="str">
        <f t="shared" si="200"/>
        <v>12/01/2026</v>
      </c>
      <c r="K581" t="str">
        <f>("15/01/2026")</f>
        <v>15/01/2026</v>
      </c>
      <c r="L581">
        <v>150.05000000000001</v>
      </c>
      <c r="M581">
        <v>150.05000000000001</v>
      </c>
      <c r="N581">
        <v>303</v>
      </c>
      <c r="O581" t="str">
        <f>"RECEITAS COM ENTREGAS"</f>
        <v>RECEITAS COM ENTREGAS</v>
      </c>
      <c r="P581">
        <v>150.05000000000001</v>
      </c>
      <c r="S581" t="str">
        <f>"RECEITAS COM ENTREGAS (303)"</f>
        <v>RECEITAS COM ENTREGAS (303)</v>
      </c>
      <c r="T581">
        <v>4007</v>
      </c>
      <c r="U581">
        <v>3364</v>
      </c>
      <c r="V581" t="s">
        <v>88</v>
      </c>
    </row>
    <row r="582" spans="1:22">
      <c r="A582" t="str">
        <f t="shared" si="192"/>
        <v>15/01/2026</v>
      </c>
      <c r="B582" t="str">
        <f t="shared" si="197"/>
        <v>ENTRADA</v>
      </c>
      <c r="C582" t="str">
        <f t="shared" si="198"/>
        <v>NFSE</v>
      </c>
      <c r="D582" t="str">
        <f>"83"</f>
        <v>83</v>
      </c>
      <c r="E582" t="str">
        <f t="shared" si="196"/>
        <v>1</v>
      </c>
      <c r="F582" t="str">
        <f t="shared" si="194"/>
        <v>COM</v>
      </c>
      <c r="G582" t="str">
        <f>"BELLESE FARMA (10279)"</f>
        <v>BELLESE FARMA (10279)</v>
      </c>
      <c r="H582" t="s">
        <v>183</v>
      </c>
      <c r="I582" t="str">
        <f t="shared" si="199"/>
        <v>14/01/2026</v>
      </c>
      <c r="J582" t="str">
        <f t="shared" si="200"/>
        <v>12/01/2026</v>
      </c>
      <c r="K582">
        <v>46037</v>
      </c>
      <c r="N582">
        <v>303</v>
      </c>
      <c r="O582" t="s">
        <v>26</v>
      </c>
      <c r="Q582">
        <v>150.05000000000001</v>
      </c>
      <c r="R582" t="str">
        <f>"BELLESE FARMA (10279)"</f>
        <v>BELLESE FARMA (10279)</v>
      </c>
      <c r="S582" t="s">
        <v>27</v>
      </c>
      <c r="T582">
        <v>4007</v>
      </c>
      <c r="U582">
        <v>3364</v>
      </c>
      <c r="V582" t="s">
        <v>88</v>
      </c>
    </row>
    <row r="583" spans="1:22">
      <c r="A583" t="str">
        <f t="shared" si="192"/>
        <v>15/01/2026</v>
      </c>
      <c r="B583" t="str">
        <f t="shared" si="197"/>
        <v>ENTRADA</v>
      </c>
      <c r="C583" t="str">
        <f t="shared" si="198"/>
        <v>NFSE</v>
      </c>
      <c r="D583" t="str">
        <f>"84"</f>
        <v>84</v>
      </c>
      <c r="E583" t="str">
        <f t="shared" si="196"/>
        <v>1</v>
      </c>
      <c r="F583" t="str">
        <f t="shared" si="194"/>
        <v>COM</v>
      </c>
      <c r="G583" t="str">
        <f>"PENSE FARMA 22 (10198)"</f>
        <v>PENSE FARMA 22 (10198)</v>
      </c>
      <c r="H583" t="str">
        <f>"Serv.Prest. 05/01/2026 a 11/01/2026 - RPS: 2010 - NFSe: 84"</f>
        <v>Serv.Prest. 05/01/2026 a 11/01/2026 - RPS: 2010 - NFSe: 84</v>
      </c>
      <c r="I583" t="str">
        <f t="shared" si="199"/>
        <v>14/01/2026</v>
      </c>
      <c r="J583" t="str">
        <f t="shared" si="200"/>
        <v>12/01/2026</v>
      </c>
      <c r="K583" t="str">
        <f>("15/01/2026")</f>
        <v>15/01/2026</v>
      </c>
      <c r="L583">
        <v>474.15</v>
      </c>
      <c r="M583">
        <v>474.15</v>
      </c>
      <c r="N583">
        <v>303</v>
      </c>
      <c r="O583" t="str">
        <f>"RECEITAS COM ENTREGAS"</f>
        <v>RECEITAS COM ENTREGAS</v>
      </c>
      <c r="P583">
        <v>474.15</v>
      </c>
      <c r="S583" t="str">
        <f>"RECEITAS COM ENTREGAS (303)"</f>
        <v>RECEITAS COM ENTREGAS (303)</v>
      </c>
      <c r="T583">
        <v>4008</v>
      </c>
      <c r="U583">
        <v>3365</v>
      </c>
      <c r="V583" t="s">
        <v>88</v>
      </c>
    </row>
    <row r="584" spans="1:22">
      <c r="A584" t="str">
        <f t="shared" si="192"/>
        <v>15/01/2026</v>
      </c>
      <c r="B584" t="str">
        <f t="shared" si="197"/>
        <v>ENTRADA</v>
      </c>
      <c r="C584" t="str">
        <f t="shared" si="198"/>
        <v>NFSE</v>
      </c>
      <c r="D584" t="str">
        <f>"84"</f>
        <v>84</v>
      </c>
      <c r="E584" t="str">
        <f t="shared" si="196"/>
        <v>1</v>
      </c>
      <c r="F584" t="str">
        <f t="shared" si="194"/>
        <v>COM</v>
      </c>
      <c r="G584" t="str">
        <f>"PENSE FARMA 22 (10198)"</f>
        <v>PENSE FARMA 22 (10198)</v>
      </c>
      <c r="H584" t="s">
        <v>184</v>
      </c>
      <c r="I584" t="str">
        <f t="shared" si="199"/>
        <v>14/01/2026</v>
      </c>
      <c r="J584" t="str">
        <f t="shared" si="200"/>
        <v>12/01/2026</v>
      </c>
      <c r="K584">
        <v>46037</v>
      </c>
      <c r="N584">
        <v>303</v>
      </c>
      <c r="O584" t="s">
        <v>26</v>
      </c>
      <c r="Q584">
        <v>474.15</v>
      </c>
      <c r="R584" t="str">
        <f>"PENSE FARMA 22 (10198)"</f>
        <v>PENSE FARMA 22 (10198)</v>
      </c>
      <c r="S584" t="s">
        <v>27</v>
      </c>
      <c r="T584">
        <v>4008</v>
      </c>
      <c r="U584">
        <v>3365</v>
      </c>
      <c r="V584" t="s">
        <v>88</v>
      </c>
    </row>
    <row r="585" spans="1:22">
      <c r="A585" t="str">
        <f t="shared" si="192"/>
        <v>15/01/2026</v>
      </c>
      <c r="B585" t="str">
        <f t="shared" si="197"/>
        <v>ENTRADA</v>
      </c>
      <c r="C585" t="str">
        <f t="shared" si="198"/>
        <v>NFSE</v>
      </c>
      <c r="D585" t="str">
        <f>"88"</f>
        <v>88</v>
      </c>
      <c r="E585" t="str">
        <f t="shared" si="196"/>
        <v>1</v>
      </c>
      <c r="F585" t="str">
        <f t="shared" si="194"/>
        <v>COM</v>
      </c>
      <c r="G585" t="str">
        <f>"DELTA LOJA 2 (10123)"</f>
        <v>DELTA LOJA 2 (10123)</v>
      </c>
      <c r="H585" t="str">
        <f>"Serv.Prest. 05/01/2026 a 11/01/2026 - RPS: 2014 - NFSe: 88"</f>
        <v>Serv.Prest. 05/01/2026 a 11/01/2026 - RPS: 2014 - NFSe: 88</v>
      </c>
      <c r="I585" t="str">
        <f t="shared" si="199"/>
        <v>14/01/2026</v>
      </c>
      <c r="J585" t="str">
        <f t="shared" ref="J585:J597" si="201">("13/01/2026")</f>
        <v>13/01/2026</v>
      </c>
      <c r="K585" t="str">
        <f>("15/01/2026")</f>
        <v>15/01/2026</v>
      </c>
      <c r="L585">
        <v>788.55</v>
      </c>
      <c r="M585">
        <v>788.55</v>
      </c>
      <c r="N585">
        <v>303</v>
      </c>
      <c r="O585" t="str">
        <f>"RECEITAS COM ENTREGAS"</f>
        <v>RECEITAS COM ENTREGAS</v>
      </c>
      <c r="P585">
        <v>788.55</v>
      </c>
      <c r="S585" t="str">
        <f>"RECEITAS COM ENTREGAS (303)"</f>
        <v>RECEITAS COM ENTREGAS (303)</v>
      </c>
      <c r="T585">
        <v>4009</v>
      </c>
      <c r="U585">
        <v>3369</v>
      </c>
      <c r="V585" t="s">
        <v>88</v>
      </c>
    </row>
    <row r="586" spans="1:22">
      <c r="A586" t="str">
        <f t="shared" si="192"/>
        <v>15/01/2026</v>
      </c>
      <c r="B586" t="str">
        <f t="shared" si="197"/>
        <v>ENTRADA</v>
      </c>
      <c r="C586" t="str">
        <f t="shared" si="198"/>
        <v>NFSE</v>
      </c>
      <c r="D586" t="str">
        <f>"88"</f>
        <v>88</v>
      </c>
      <c r="E586" t="str">
        <f t="shared" si="196"/>
        <v>1</v>
      </c>
      <c r="F586" t="str">
        <f t="shared" si="194"/>
        <v>COM</v>
      </c>
      <c r="G586" t="str">
        <f>"DELTA LOJA 2 (10123)"</f>
        <v>DELTA LOJA 2 (10123)</v>
      </c>
      <c r="H586" t="s">
        <v>185</v>
      </c>
      <c r="I586" t="str">
        <f t="shared" si="199"/>
        <v>14/01/2026</v>
      </c>
      <c r="J586" t="str">
        <f t="shared" si="201"/>
        <v>13/01/2026</v>
      </c>
      <c r="K586">
        <v>46037</v>
      </c>
      <c r="N586">
        <v>303</v>
      </c>
      <c r="O586" t="s">
        <v>26</v>
      </c>
      <c r="Q586">
        <v>788.55</v>
      </c>
      <c r="R586" t="str">
        <f>"DELTA LOJA 2 (10123)"</f>
        <v>DELTA LOJA 2 (10123)</v>
      </c>
      <c r="S586" t="s">
        <v>27</v>
      </c>
      <c r="T586">
        <v>4009</v>
      </c>
      <c r="U586">
        <v>3369</v>
      </c>
      <c r="V586" t="s">
        <v>88</v>
      </c>
    </row>
    <row r="587" spans="1:22">
      <c r="A587" t="str">
        <f t="shared" si="192"/>
        <v>15/01/2026</v>
      </c>
      <c r="B587" t="str">
        <f t="shared" si="197"/>
        <v>ENTRADA</v>
      </c>
      <c r="C587" t="str">
        <f t="shared" si="198"/>
        <v>NFSE</v>
      </c>
      <c r="D587" t="str">
        <f>"89"</f>
        <v>89</v>
      </c>
      <c r="E587" t="str">
        <f t="shared" si="196"/>
        <v>1</v>
      </c>
      <c r="F587" t="str">
        <f t="shared" si="194"/>
        <v>COM</v>
      </c>
      <c r="G587" t="str">
        <f>"DROGARIA NIQUINHO (10257)"</f>
        <v>DROGARIA NIQUINHO (10257)</v>
      </c>
      <c r="H587" t="str">
        <f>"Serv.Prest. 05/01/2026 a 11/01/2026 - RPS: 2015 - NFSe: 89"</f>
        <v>Serv.Prest. 05/01/2026 a 11/01/2026 - RPS: 2015 - NFSe: 89</v>
      </c>
      <c r="I587" t="str">
        <f t="shared" si="199"/>
        <v>14/01/2026</v>
      </c>
      <c r="J587" t="str">
        <f t="shared" si="201"/>
        <v>13/01/2026</v>
      </c>
      <c r="K587" t="str">
        <f>("15/01/2026")</f>
        <v>15/01/2026</v>
      </c>
      <c r="L587">
        <v>268.69</v>
      </c>
      <c r="M587">
        <v>268.69</v>
      </c>
      <c r="N587">
        <v>303</v>
      </c>
      <c r="O587" t="str">
        <f>"RECEITAS COM ENTREGAS"</f>
        <v>RECEITAS COM ENTREGAS</v>
      </c>
      <c r="P587">
        <v>268.69</v>
      </c>
      <c r="S587" t="str">
        <f>"RECEITAS COM ENTREGAS (303)"</f>
        <v>RECEITAS COM ENTREGAS (303)</v>
      </c>
      <c r="T587">
        <v>4010</v>
      </c>
      <c r="U587">
        <v>3370</v>
      </c>
      <c r="V587" t="s">
        <v>88</v>
      </c>
    </row>
    <row r="588" spans="1:22">
      <c r="A588" t="str">
        <f t="shared" si="192"/>
        <v>15/01/2026</v>
      </c>
      <c r="B588" t="str">
        <f t="shared" si="197"/>
        <v>ENTRADA</v>
      </c>
      <c r="C588" t="str">
        <f t="shared" si="198"/>
        <v>NFSE</v>
      </c>
      <c r="D588" t="str">
        <f>"89"</f>
        <v>89</v>
      </c>
      <c r="E588" t="str">
        <f t="shared" si="196"/>
        <v>1</v>
      </c>
      <c r="F588" t="str">
        <f t="shared" si="194"/>
        <v>COM</v>
      </c>
      <c r="G588" t="str">
        <f>"DROGARIA NIQUINHO (10257)"</f>
        <v>DROGARIA NIQUINHO (10257)</v>
      </c>
      <c r="H588" t="s">
        <v>186</v>
      </c>
      <c r="I588" t="str">
        <f t="shared" si="199"/>
        <v>14/01/2026</v>
      </c>
      <c r="J588" t="str">
        <f t="shared" si="201"/>
        <v>13/01/2026</v>
      </c>
      <c r="K588">
        <v>46037</v>
      </c>
      <c r="N588">
        <v>303</v>
      </c>
      <c r="O588" t="s">
        <v>26</v>
      </c>
      <c r="Q588">
        <v>268.69</v>
      </c>
      <c r="R588" t="str">
        <f>"DROGARIA NIQUINHO (10257)"</f>
        <v>DROGARIA NIQUINHO (10257)</v>
      </c>
      <c r="S588" t="s">
        <v>27</v>
      </c>
      <c r="T588">
        <v>4010</v>
      </c>
      <c r="U588">
        <v>3370</v>
      </c>
      <c r="V588" t="s">
        <v>88</v>
      </c>
    </row>
    <row r="589" spans="1:22">
      <c r="A589" t="str">
        <f t="shared" ref="A589:A598" si="202">("15/01/2026")</f>
        <v>15/01/2026</v>
      </c>
      <c r="B589" t="str">
        <f t="shared" si="197"/>
        <v>ENTRADA</v>
      </c>
      <c r="C589" t="str">
        <f t="shared" si="198"/>
        <v>NFSE</v>
      </c>
      <c r="D589" t="str">
        <f>"91"</f>
        <v>91</v>
      </c>
      <c r="E589" t="str">
        <f t="shared" si="196"/>
        <v>1</v>
      </c>
      <c r="F589" t="str">
        <f t="shared" ref="F589:F597" si="203">"COM"</f>
        <v>COM</v>
      </c>
      <c r="G589" t="str">
        <f>"DROGARIA TOTAL JUNDIAI (10177)"</f>
        <v>DROGARIA TOTAL JUNDIAI (10177)</v>
      </c>
      <c r="H589" t="str">
        <f>"Serv.Prest. 05/01/2026 a 11/01/2026 - RPS: 2017 - NFSe: 91"</f>
        <v>Serv.Prest. 05/01/2026 a 11/01/2026 - RPS: 2017 - NFSe: 91</v>
      </c>
      <c r="I589" t="str">
        <f t="shared" si="199"/>
        <v>14/01/2026</v>
      </c>
      <c r="J589" t="str">
        <f t="shared" si="201"/>
        <v>13/01/2026</v>
      </c>
      <c r="K589" t="str">
        <f>("15/01/2026")</f>
        <v>15/01/2026</v>
      </c>
      <c r="L589">
        <v>100.27</v>
      </c>
      <c r="M589">
        <v>100.27</v>
      </c>
      <c r="N589">
        <v>303</v>
      </c>
      <c r="O589" t="str">
        <f>"RECEITAS COM ENTREGAS"</f>
        <v>RECEITAS COM ENTREGAS</v>
      </c>
      <c r="P589">
        <v>100.27</v>
      </c>
      <c r="S589" t="str">
        <f>"RECEITAS COM ENTREGAS (303)"</f>
        <v>RECEITAS COM ENTREGAS (303)</v>
      </c>
      <c r="T589">
        <v>4011</v>
      </c>
      <c r="U589">
        <v>3372</v>
      </c>
      <c r="V589" t="s">
        <v>88</v>
      </c>
    </row>
    <row r="590" spans="1:22">
      <c r="A590" t="str">
        <f t="shared" si="202"/>
        <v>15/01/2026</v>
      </c>
      <c r="B590" t="str">
        <f t="shared" si="197"/>
        <v>ENTRADA</v>
      </c>
      <c r="C590" t="str">
        <f t="shared" si="198"/>
        <v>NFSE</v>
      </c>
      <c r="D590" t="str">
        <f>"91"</f>
        <v>91</v>
      </c>
      <c r="E590" t="str">
        <f t="shared" si="196"/>
        <v>1</v>
      </c>
      <c r="F590" t="str">
        <f t="shared" si="203"/>
        <v>COM</v>
      </c>
      <c r="G590" t="str">
        <f>"DROGARIA TOTAL JUNDIAI (10177)"</f>
        <v>DROGARIA TOTAL JUNDIAI (10177)</v>
      </c>
      <c r="H590" t="s">
        <v>187</v>
      </c>
      <c r="I590" t="str">
        <f t="shared" si="199"/>
        <v>14/01/2026</v>
      </c>
      <c r="J590" t="str">
        <f t="shared" si="201"/>
        <v>13/01/2026</v>
      </c>
      <c r="K590">
        <v>46037</v>
      </c>
      <c r="N590">
        <v>303</v>
      </c>
      <c r="O590" t="s">
        <v>26</v>
      </c>
      <c r="Q590">
        <v>100.27</v>
      </c>
      <c r="R590" t="str">
        <f>"DROGARIA TOTAL JUNDIAI (10177)"</f>
        <v>DROGARIA TOTAL JUNDIAI (10177)</v>
      </c>
      <c r="S590" t="s">
        <v>27</v>
      </c>
      <c r="T590">
        <v>4011</v>
      </c>
      <c r="U590">
        <v>3372</v>
      </c>
      <c r="V590" t="s">
        <v>88</v>
      </c>
    </row>
    <row r="591" spans="1:22">
      <c r="A591" t="str">
        <f t="shared" si="202"/>
        <v>15/01/2026</v>
      </c>
      <c r="B591" t="str">
        <f t="shared" si="197"/>
        <v>ENTRADA</v>
      </c>
      <c r="C591" t="str">
        <f t="shared" si="198"/>
        <v>NFSE</v>
      </c>
      <c r="D591" t="str">
        <f>"92"</f>
        <v>92</v>
      </c>
      <c r="E591" t="str">
        <f t="shared" ref="E591:E597" si="204">"1"</f>
        <v>1</v>
      </c>
      <c r="F591" t="str">
        <f t="shared" si="203"/>
        <v>COM</v>
      </c>
      <c r="G591" t="str">
        <f>"DROGARIA ISABELLA (10276)"</f>
        <v>DROGARIA ISABELLA (10276)</v>
      </c>
      <c r="H591" t="str">
        <f>"Serv.Prest. 05/01/2026 a 11/01/2026 - RPS: 2018 - NFSe: 92"</f>
        <v>Serv.Prest. 05/01/2026 a 11/01/2026 - RPS: 2018 - NFSe: 92</v>
      </c>
      <c r="I591" t="str">
        <f t="shared" si="199"/>
        <v>14/01/2026</v>
      </c>
      <c r="J591" t="str">
        <f t="shared" si="201"/>
        <v>13/01/2026</v>
      </c>
      <c r="K591" t="str">
        <f>("15/01/2026")</f>
        <v>15/01/2026</v>
      </c>
      <c r="L591">
        <v>285.3</v>
      </c>
      <c r="M591">
        <v>285.3</v>
      </c>
      <c r="N591">
        <v>303</v>
      </c>
      <c r="O591" t="str">
        <f>"RECEITAS COM ENTREGAS"</f>
        <v>RECEITAS COM ENTREGAS</v>
      </c>
      <c r="P591">
        <v>285.3</v>
      </c>
      <c r="S591" t="str">
        <f>"RECEITAS COM ENTREGAS (303)"</f>
        <v>RECEITAS COM ENTREGAS (303)</v>
      </c>
      <c r="T591">
        <v>4012</v>
      </c>
      <c r="U591">
        <v>3373</v>
      </c>
      <c r="V591" t="s">
        <v>88</v>
      </c>
    </row>
    <row r="592" spans="1:22">
      <c r="A592" t="str">
        <f t="shared" si="202"/>
        <v>15/01/2026</v>
      </c>
      <c r="B592" t="str">
        <f t="shared" si="197"/>
        <v>ENTRADA</v>
      </c>
      <c r="C592" t="str">
        <f t="shared" si="198"/>
        <v>NFSE</v>
      </c>
      <c r="D592" t="str">
        <f>"92"</f>
        <v>92</v>
      </c>
      <c r="E592" t="str">
        <f t="shared" si="204"/>
        <v>1</v>
      </c>
      <c r="F592" t="str">
        <f t="shared" si="203"/>
        <v>COM</v>
      </c>
      <c r="G592" t="str">
        <f>"DROGARIA ISABELLA (10276)"</f>
        <v>DROGARIA ISABELLA (10276)</v>
      </c>
      <c r="H592" t="s">
        <v>188</v>
      </c>
      <c r="I592" t="str">
        <f t="shared" si="199"/>
        <v>14/01/2026</v>
      </c>
      <c r="J592" t="str">
        <f t="shared" si="201"/>
        <v>13/01/2026</v>
      </c>
      <c r="K592">
        <v>46037</v>
      </c>
      <c r="N592">
        <v>303</v>
      </c>
      <c r="O592" t="s">
        <v>26</v>
      </c>
      <c r="Q592">
        <v>285.3</v>
      </c>
      <c r="R592" t="str">
        <f>"DROGARIA ISABELLA (10276)"</f>
        <v>DROGARIA ISABELLA (10276)</v>
      </c>
      <c r="S592" t="s">
        <v>27</v>
      </c>
      <c r="T592">
        <v>4012</v>
      </c>
      <c r="U592">
        <v>3373</v>
      </c>
      <c r="V592" t="s">
        <v>88</v>
      </c>
    </row>
    <row r="593" spans="1:22">
      <c r="A593" t="str">
        <f t="shared" si="202"/>
        <v>15/01/2026</v>
      </c>
      <c r="B593" t="str">
        <f t="shared" si="197"/>
        <v>ENTRADA</v>
      </c>
      <c r="C593" t="str">
        <f t="shared" si="198"/>
        <v>NFSE</v>
      </c>
      <c r="D593" t="str">
        <f>"95"</f>
        <v>95</v>
      </c>
      <c r="E593" t="str">
        <f t="shared" si="204"/>
        <v>1</v>
      </c>
      <c r="F593" t="str">
        <f t="shared" si="203"/>
        <v>COM</v>
      </c>
      <c r="G593" t="str">
        <f>"FARMACIA ECONOMIZE (10103)"</f>
        <v>FARMACIA ECONOMIZE (10103)</v>
      </c>
      <c r="H593" t="str">
        <f>"Serv.Prest. 05/01/2026 a 11/01/2026 - RPS: 2021 - NFSe: 95"</f>
        <v>Serv.Prest. 05/01/2026 a 11/01/2026 - RPS: 2021 - NFSe: 95</v>
      </c>
      <c r="I593" t="str">
        <f t="shared" si="199"/>
        <v>14/01/2026</v>
      </c>
      <c r="J593" t="str">
        <f t="shared" si="201"/>
        <v>13/01/2026</v>
      </c>
      <c r="K593" t="str">
        <f>("15/01/2026")</f>
        <v>15/01/2026</v>
      </c>
      <c r="L593">
        <v>24.85</v>
      </c>
      <c r="M593">
        <v>24.85</v>
      </c>
      <c r="N593">
        <v>303</v>
      </c>
      <c r="O593" t="str">
        <f>"RECEITAS COM ENTREGAS"</f>
        <v>RECEITAS COM ENTREGAS</v>
      </c>
      <c r="P593">
        <v>24.85</v>
      </c>
      <c r="S593" t="str">
        <f>"RECEITAS COM ENTREGAS (303)"</f>
        <v>RECEITAS COM ENTREGAS (303)</v>
      </c>
      <c r="T593">
        <v>4013</v>
      </c>
      <c r="U593">
        <v>3376</v>
      </c>
      <c r="V593" t="s">
        <v>88</v>
      </c>
    </row>
    <row r="594" spans="1:22">
      <c r="A594" t="str">
        <f t="shared" si="202"/>
        <v>15/01/2026</v>
      </c>
      <c r="B594" t="str">
        <f t="shared" si="197"/>
        <v>ENTRADA</v>
      </c>
      <c r="C594" t="str">
        <f t="shared" si="198"/>
        <v>NFSE</v>
      </c>
      <c r="D594" t="str">
        <f>"95"</f>
        <v>95</v>
      </c>
      <c r="E594" t="str">
        <f t="shared" si="204"/>
        <v>1</v>
      </c>
      <c r="F594" t="str">
        <f t="shared" si="203"/>
        <v>COM</v>
      </c>
      <c r="G594" t="str">
        <f>"FARMACIA ECONOMIZE (10103)"</f>
        <v>FARMACIA ECONOMIZE (10103)</v>
      </c>
      <c r="H594" t="s">
        <v>189</v>
      </c>
      <c r="I594" t="str">
        <f t="shared" si="199"/>
        <v>14/01/2026</v>
      </c>
      <c r="J594" t="str">
        <f t="shared" si="201"/>
        <v>13/01/2026</v>
      </c>
      <c r="K594">
        <v>46037</v>
      </c>
      <c r="N594">
        <v>303</v>
      </c>
      <c r="O594" t="s">
        <v>26</v>
      </c>
      <c r="Q594">
        <v>24.85</v>
      </c>
      <c r="R594" t="str">
        <f>"FARMACIA ECONOMIZE (10103)"</f>
        <v>FARMACIA ECONOMIZE (10103)</v>
      </c>
      <c r="S594" t="s">
        <v>27</v>
      </c>
      <c r="T594">
        <v>4013</v>
      </c>
      <c r="U594">
        <v>3376</v>
      </c>
      <c r="V594" t="s">
        <v>88</v>
      </c>
    </row>
    <row r="595" spans="1:22">
      <c r="A595" t="str">
        <f t="shared" si="202"/>
        <v>15/01/2026</v>
      </c>
      <c r="B595" t="str">
        <f t="shared" si="197"/>
        <v>ENTRADA</v>
      </c>
      <c r="C595" t="str">
        <f t="shared" si="198"/>
        <v>NFSE</v>
      </c>
      <c r="D595" t="str">
        <f>"97"</f>
        <v>97</v>
      </c>
      <c r="E595" t="str">
        <f t="shared" si="204"/>
        <v>1</v>
      </c>
      <c r="F595" t="str">
        <f t="shared" si="203"/>
        <v>COM</v>
      </c>
      <c r="G595" t="str">
        <f>"ULTRA POPULAR  UBA 2 (10214)"</f>
        <v>ULTRA POPULAR  UBA 2 (10214)</v>
      </c>
      <c r="H595" t="str">
        <f>"Serv.Prest. 05/01/2026 a 11/01/2026 - RPS: 2023 - NFSe: 97"</f>
        <v>Serv.Prest. 05/01/2026 a 11/01/2026 - RPS: 2023 - NFSe: 97</v>
      </c>
      <c r="I595" t="str">
        <f t="shared" si="199"/>
        <v>14/01/2026</v>
      </c>
      <c r="J595" t="str">
        <f t="shared" si="201"/>
        <v>13/01/2026</v>
      </c>
      <c r="K595" t="str">
        <f>("15/01/2026")</f>
        <v>15/01/2026</v>
      </c>
      <c r="L595">
        <v>203.44</v>
      </c>
      <c r="M595">
        <v>203.44</v>
      </c>
      <c r="N595">
        <v>303</v>
      </c>
      <c r="O595" t="str">
        <f>"RECEITAS COM ENTREGAS"</f>
        <v>RECEITAS COM ENTREGAS</v>
      </c>
      <c r="P595">
        <v>203.44</v>
      </c>
      <c r="S595" t="str">
        <f>"RECEITAS COM ENTREGAS (303)"</f>
        <v>RECEITAS COM ENTREGAS (303)</v>
      </c>
      <c r="T595">
        <v>4014</v>
      </c>
      <c r="U595">
        <v>3378</v>
      </c>
      <c r="V595" t="s">
        <v>88</v>
      </c>
    </row>
    <row r="596" spans="1:22">
      <c r="A596" t="str">
        <f t="shared" si="202"/>
        <v>15/01/2026</v>
      </c>
      <c r="B596" t="str">
        <f t="shared" si="197"/>
        <v>ENTRADA</v>
      </c>
      <c r="C596" t="str">
        <f t="shared" si="198"/>
        <v>NFSE</v>
      </c>
      <c r="D596" t="str">
        <f>"97"</f>
        <v>97</v>
      </c>
      <c r="E596" t="str">
        <f t="shared" si="204"/>
        <v>1</v>
      </c>
      <c r="F596" t="str">
        <f t="shared" si="203"/>
        <v>COM</v>
      </c>
      <c r="G596" t="str">
        <f>"ULTRA POPULAR  UBA 2 (10214)"</f>
        <v>ULTRA POPULAR  UBA 2 (10214)</v>
      </c>
      <c r="H596" t="s">
        <v>190</v>
      </c>
      <c r="I596" t="str">
        <f t="shared" si="199"/>
        <v>14/01/2026</v>
      </c>
      <c r="J596" t="str">
        <f t="shared" si="201"/>
        <v>13/01/2026</v>
      </c>
      <c r="K596">
        <v>46037</v>
      </c>
      <c r="N596">
        <v>303</v>
      </c>
      <c r="O596" t="s">
        <v>26</v>
      </c>
      <c r="Q596">
        <v>83.17</v>
      </c>
      <c r="R596" t="str">
        <f>"ULTRA POPULAR  UBA 2 (10214)"</f>
        <v>ULTRA POPULAR  UBA 2 (10214)</v>
      </c>
      <c r="S596" t="s">
        <v>27</v>
      </c>
      <c r="T596">
        <v>4014</v>
      </c>
      <c r="U596">
        <v>3378</v>
      </c>
      <c r="V596" t="s">
        <v>88</v>
      </c>
    </row>
    <row r="597" spans="1:22">
      <c r="A597" t="str">
        <f t="shared" si="202"/>
        <v>15/01/2026</v>
      </c>
      <c r="B597" t="str">
        <f t="shared" si="197"/>
        <v>ENTRADA</v>
      </c>
      <c r="C597" t="str">
        <f t="shared" si="198"/>
        <v>NFSE</v>
      </c>
      <c r="D597" t="str">
        <f>"97"</f>
        <v>97</v>
      </c>
      <c r="E597" t="str">
        <f t="shared" si="204"/>
        <v>1</v>
      </c>
      <c r="F597" t="str">
        <f t="shared" si="203"/>
        <v>COM</v>
      </c>
      <c r="G597" t="str">
        <f>"ULTRA POPULAR  UBA 2 (10214)"</f>
        <v>ULTRA POPULAR  UBA 2 (10214)</v>
      </c>
      <c r="H597" t="s">
        <v>190</v>
      </c>
      <c r="I597" t="str">
        <f t="shared" si="199"/>
        <v>14/01/2026</v>
      </c>
      <c r="J597" t="str">
        <f t="shared" si="201"/>
        <v>13/01/2026</v>
      </c>
      <c r="K597">
        <v>46037</v>
      </c>
      <c r="N597">
        <v>303</v>
      </c>
      <c r="O597" t="s">
        <v>26</v>
      </c>
      <c r="Q597">
        <v>120.27</v>
      </c>
      <c r="R597" t="str">
        <f>"UBA 1 (10263)"</f>
        <v>UBA 1 (10263)</v>
      </c>
      <c r="S597" t="s">
        <v>27</v>
      </c>
      <c r="T597">
        <v>4014</v>
      </c>
      <c r="U597">
        <v>3378</v>
      </c>
      <c r="V597" t="s">
        <v>88</v>
      </c>
    </row>
    <row r="598" spans="1:22">
      <c r="A598" t="str">
        <f t="shared" si="202"/>
        <v>15/01/2026</v>
      </c>
      <c r="B598" t="str">
        <f t="shared" ref="B598:B606" si="205">"SAÍDA"</f>
        <v>SAÍDA</v>
      </c>
      <c r="C598" t="str">
        <f>"JUROS"</f>
        <v>JUROS</v>
      </c>
      <c r="D598" t="str">
        <f>""</f>
        <v/>
      </c>
      <c r="F598" t="str">
        <f>"CXA"</f>
        <v>CXA</v>
      </c>
      <c r="G598" t="str">
        <f>""</f>
        <v/>
      </c>
      <c r="H598" t="str">
        <f>"TARIFA SERV.COBR.TITULOS"</f>
        <v>TARIFA SERV.COBR.TITULOS</v>
      </c>
      <c r="I598" t="str">
        <f>("15/01/2026")</f>
        <v>15/01/2026</v>
      </c>
      <c r="J598" t="str">
        <f>("15/01/2026")</f>
        <v>15/01/2026</v>
      </c>
      <c r="K598" t="str">
        <f>("15/01/2026")</f>
        <v>15/01/2026</v>
      </c>
      <c r="L598">
        <v>1.39</v>
      </c>
      <c r="M598">
        <v>1.39</v>
      </c>
      <c r="N598">
        <v>401</v>
      </c>
      <c r="O598" t="str">
        <f>"IOF/JUROS/DESP.FINANCEIRA"</f>
        <v>IOF/JUROS/DESP.FINANCEIRA</v>
      </c>
      <c r="P598">
        <v>1.39</v>
      </c>
      <c r="S598" t="str">
        <f>"BANCO SICREDI (131)"</f>
        <v>BANCO SICREDI (131)</v>
      </c>
      <c r="T598">
        <v>4134</v>
      </c>
      <c r="U598">
        <v>0</v>
      </c>
      <c r="V598" t="s">
        <v>54</v>
      </c>
    </row>
    <row r="599" spans="1:22">
      <c r="A599" t="str">
        <f t="shared" ref="A599:A630" si="206">("16/01/2026")</f>
        <v>16/01/2026</v>
      </c>
      <c r="B599" t="str">
        <f t="shared" si="205"/>
        <v>SAÍDA</v>
      </c>
      <c r="C599" t="str">
        <f t="shared" ref="C599:C606" si="207">"PIX"</f>
        <v>PIX</v>
      </c>
      <c r="D599" t="str">
        <f>"19112535"</f>
        <v>19112535</v>
      </c>
      <c r="E599" t="str">
        <f>""</f>
        <v/>
      </c>
      <c r="F599" t="str">
        <f t="shared" ref="F599:F630" si="208">"COM"</f>
        <v>COM</v>
      </c>
      <c r="G599" t="str">
        <f>"LILIANE DE FATIMA REZENDE JUSTINO (20013)"</f>
        <v>LILIANE DE FATIMA REZENDE JUSTINO (20013)</v>
      </c>
      <c r="H599" t="str">
        <f>"REEMBOLSO - MENSALIDADE CANVA"</f>
        <v>REEMBOLSO - MENSALIDADE CANVA</v>
      </c>
      <c r="I599" t="str">
        <f t="shared" ref="I599:I606" si="209">("16/01/2026")</f>
        <v>16/01/2026</v>
      </c>
      <c r="J599" t="str">
        <f>("18/11/2025")</f>
        <v>18/11/2025</v>
      </c>
      <c r="K599" t="str">
        <f>("16/01/2026")</f>
        <v>16/01/2026</v>
      </c>
      <c r="L599">
        <v>35</v>
      </c>
      <c r="M599">
        <v>35</v>
      </c>
      <c r="N599">
        <v>104</v>
      </c>
      <c r="O599" t="str">
        <f>"SOFTWARE / LICENÇAS"</f>
        <v>SOFTWARE / LICENÇAS</v>
      </c>
      <c r="P599">
        <v>35</v>
      </c>
      <c r="S599" t="str">
        <f>"BANCO CORA (102)"</f>
        <v>BANCO CORA (102)</v>
      </c>
      <c r="T599">
        <v>3930</v>
      </c>
      <c r="U599">
        <v>2677</v>
      </c>
      <c r="V599" t="s">
        <v>22</v>
      </c>
    </row>
    <row r="600" spans="1:22">
      <c r="A600" t="str">
        <f t="shared" si="206"/>
        <v>16/01/2026</v>
      </c>
      <c r="B600" t="str">
        <f t="shared" si="205"/>
        <v>SAÍDA</v>
      </c>
      <c r="C600" t="str">
        <f t="shared" si="207"/>
        <v>PIX</v>
      </c>
      <c r="D600" t="str">
        <f>"19112535"</f>
        <v>19112535</v>
      </c>
      <c r="E600" t="str">
        <f>""</f>
        <v/>
      </c>
      <c r="F600" t="str">
        <f t="shared" si="208"/>
        <v>COM</v>
      </c>
      <c r="G600" t="str">
        <f>"LILIANE DE FATIMA REZENDE JUSTINO (20013)"</f>
        <v>LILIANE DE FATIMA REZENDE JUSTINO (20013)</v>
      </c>
      <c r="H600" t="s">
        <v>191</v>
      </c>
      <c r="I600" t="str">
        <f t="shared" si="209"/>
        <v>16/01/2026</v>
      </c>
      <c r="J600" t="str">
        <f>("18/11/2025")</f>
        <v>18/11/2025</v>
      </c>
      <c r="K600">
        <v>46038</v>
      </c>
      <c r="N600">
        <v>104</v>
      </c>
      <c r="O600" t="s">
        <v>145</v>
      </c>
      <c r="Q600">
        <v>35</v>
      </c>
      <c r="R600" t="str">
        <f>"LILIANE DE FATIMA REZENDE JUSTINO (20013)"</f>
        <v>LILIANE DE FATIMA REZENDE JUSTINO (20013)</v>
      </c>
      <c r="S600" t="s">
        <v>22</v>
      </c>
      <c r="T600">
        <v>3930</v>
      </c>
      <c r="U600">
        <v>2677</v>
      </c>
      <c r="V600" t="s">
        <v>22</v>
      </c>
    </row>
    <row r="601" spans="1:22">
      <c r="A601" t="str">
        <f t="shared" si="206"/>
        <v>16/01/2026</v>
      </c>
      <c r="B601" t="str">
        <f t="shared" si="205"/>
        <v>SAÍDA</v>
      </c>
      <c r="C601" t="str">
        <f t="shared" si="207"/>
        <v>PIX</v>
      </c>
      <c r="D601" t="str">
        <f>"16012026"</f>
        <v>16012026</v>
      </c>
      <c r="E601" t="str">
        <f>""</f>
        <v/>
      </c>
      <c r="F601" t="str">
        <f t="shared" si="208"/>
        <v>COM</v>
      </c>
      <c r="G601" t="str">
        <f>"ANA JULIA REZENDE JUSTINO (20027)"</f>
        <v>ANA JULIA REZENDE JUSTINO (20027)</v>
      </c>
      <c r="H601" t="str">
        <f>"PREMIO SOBRE VENDAS"</f>
        <v>PREMIO SOBRE VENDAS</v>
      </c>
      <c r="I601" t="str">
        <f t="shared" si="209"/>
        <v>16/01/2026</v>
      </c>
      <c r="J601" t="str">
        <f>("16/01/2026")</f>
        <v>16/01/2026</v>
      </c>
      <c r="K601" t="str">
        <f>("16/01/2026")</f>
        <v>16/01/2026</v>
      </c>
      <c r="L601">
        <v>1000</v>
      </c>
      <c r="M601">
        <v>1000</v>
      </c>
      <c r="N601">
        <v>126</v>
      </c>
      <c r="O601" t="str">
        <f>"COMISSÕES DE REPRESENTANTES"</f>
        <v>COMISSÕES DE REPRESENTANTES</v>
      </c>
      <c r="P601">
        <v>1000</v>
      </c>
      <c r="S601" t="str">
        <f>"BANCO CORA (102)"</f>
        <v>BANCO CORA (102)</v>
      </c>
      <c r="T601">
        <v>3931</v>
      </c>
      <c r="U601">
        <v>3460</v>
      </c>
      <c r="V601" t="s">
        <v>22</v>
      </c>
    </row>
    <row r="602" spans="1:22">
      <c r="A602" t="str">
        <f t="shared" si="206"/>
        <v>16/01/2026</v>
      </c>
      <c r="B602" t="str">
        <f t="shared" si="205"/>
        <v>SAÍDA</v>
      </c>
      <c r="C602" t="str">
        <f t="shared" si="207"/>
        <v>PIX</v>
      </c>
      <c r="D602" t="str">
        <f>"16012026"</f>
        <v>16012026</v>
      </c>
      <c r="E602" t="str">
        <f>""</f>
        <v/>
      </c>
      <c r="F602" t="str">
        <f t="shared" si="208"/>
        <v>COM</v>
      </c>
      <c r="G602" t="str">
        <f>"ANA JULIA REZENDE JUSTINO (20027)"</f>
        <v>ANA JULIA REZENDE JUSTINO (20027)</v>
      </c>
      <c r="H602" t="s">
        <v>192</v>
      </c>
      <c r="I602" t="str">
        <f t="shared" si="209"/>
        <v>16/01/2026</v>
      </c>
      <c r="J602" t="str">
        <f>("16/01/2026")</f>
        <v>16/01/2026</v>
      </c>
      <c r="K602">
        <v>46038</v>
      </c>
      <c r="N602">
        <v>126</v>
      </c>
      <c r="O602" t="s">
        <v>193</v>
      </c>
      <c r="Q602">
        <v>1000</v>
      </c>
      <c r="R602" t="str">
        <f>"ANA JULIA REZENDE JUSTINO (20027)"</f>
        <v>ANA JULIA REZENDE JUSTINO (20027)</v>
      </c>
      <c r="S602" t="s">
        <v>22</v>
      </c>
      <c r="T602">
        <v>3931</v>
      </c>
      <c r="U602">
        <v>3460</v>
      </c>
      <c r="V602" t="s">
        <v>22</v>
      </c>
    </row>
    <row r="603" spans="1:22">
      <c r="A603" t="str">
        <f t="shared" si="206"/>
        <v>16/01/2026</v>
      </c>
      <c r="B603" t="str">
        <f t="shared" si="205"/>
        <v>SAÍDA</v>
      </c>
      <c r="C603" t="str">
        <f t="shared" si="207"/>
        <v>PIX</v>
      </c>
      <c r="D603" t="str">
        <f>"19112519390"</f>
        <v>19112519390</v>
      </c>
      <c r="E603" t="str">
        <f>""</f>
        <v/>
      </c>
      <c r="F603" t="str">
        <f t="shared" si="208"/>
        <v>COM</v>
      </c>
      <c r="G603" t="str">
        <f>"LILIANE DE FATIMA REZENDE JUSTINO (20013)"</f>
        <v>LILIANE DE FATIMA REZENDE JUSTINO (20013)</v>
      </c>
      <c r="H603" t="str">
        <f>"REEMBOLSO ASSINATURAGOOGLE"</f>
        <v>REEMBOLSO ASSINATURAGOOGLE</v>
      </c>
      <c r="I603" t="str">
        <f t="shared" si="209"/>
        <v>16/01/2026</v>
      </c>
      <c r="J603" t="str">
        <f>("18/11/2025")</f>
        <v>18/11/2025</v>
      </c>
      <c r="K603" t="str">
        <f>("16/01/2026")</f>
        <v>16/01/2026</v>
      </c>
      <c r="L603">
        <v>19.98</v>
      </c>
      <c r="M603">
        <v>19.98</v>
      </c>
      <c r="N603">
        <v>104</v>
      </c>
      <c r="O603" t="str">
        <f>"SOFTWARE / LICENÇAS"</f>
        <v>SOFTWARE / LICENÇAS</v>
      </c>
      <c r="P603">
        <v>19.98</v>
      </c>
      <c r="S603" t="str">
        <f>"BANCO CORA (102)"</f>
        <v>BANCO CORA (102)</v>
      </c>
      <c r="T603">
        <v>3932</v>
      </c>
      <c r="U603">
        <v>2689</v>
      </c>
      <c r="V603" t="s">
        <v>22</v>
      </c>
    </row>
    <row r="604" spans="1:22">
      <c r="A604" t="str">
        <f t="shared" si="206"/>
        <v>16/01/2026</v>
      </c>
      <c r="B604" t="str">
        <f t="shared" si="205"/>
        <v>SAÍDA</v>
      </c>
      <c r="C604" t="str">
        <f t="shared" si="207"/>
        <v>PIX</v>
      </c>
      <c r="D604" t="str">
        <f>"19112519390"</f>
        <v>19112519390</v>
      </c>
      <c r="E604" t="str">
        <f>""</f>
        <v/>
      </c>
      <c r="F604" t="str">
        <f t="shared" si="208"/>
        <v>COM</v>
      </c>
      <c r="G604" t="str">
        <f>"LILIANE DE FATIMA REZENDE JUSTINO (20013)"</f>
        <v>LILIANE DE FATIMA REZENDE JUSTINO (20013)</v>
      </c>
      <c r="H604" t="s">
        <v>194</v>
      </c>
      <c r="I604" t="str">
        <f t="shared" si="209"/>
        <v>16/01/2026</v>
      </c>
      <c r="J604" t="str">
        <f>("18/11/2025")</f>
        <v>18/11/2025</v>
      </c>
      <c r="K604">
        <v>46038</v>
      </c>
      <c r="N604">
        <v>104</v>
      </c>
      <c r="O604" t="s">
        <v>145</v>
      </c>
      <c r="Q604">
        <v>19.98</v>
      </c>
      <c r="R604" t="str">
        <f>"LILIANE DE FATIMA REZENDE JUSTINO (20013)"</f>
        <v>LILIANE DE FATIMA REZENDE JUSTINO (20013)</v>
      </c>
      <c r="S604" t="s">
        <v>22</v>
      </c>
      <c r="T604">
        <v>3932</v>
      </c>
      <c r="U604">
        <v>2689</v>
      </c>
      <c r="V604" t="s">
        <v>22</v>
      </c>
    </row>
    <row r="605" spans="1:22">
      <c r="A605" t="str">
        <f t="shared" si="206"/>
        <v>16/01/2026</v>
      </c>
      <c r="B605" t="str">
        <f t="shared" si="205"/>
        <v>SAÍDA</v>
      </c>
      <c r="C605" t="str">
        <f t="shared" si="207"/>
        <v>PIX</v>
      </c>
      <c r="D605" t="str">
        <f>"1012253290"</f>
        <v>1012253290</v>
      </c>
      <c r="E605" t="str">
        <f>"2"</f>
        <v>2</v>
      </c>
      <c r="F605" t="str">
        <f t="shared" si="208"/>
        <v>COM</v>
      </c>
      <c r="G605" t="str">
        <f>"LILIANE DE FATIMA REZENDE JUSTINO (20013)"</f>
        <v>LILIANE DE FATIMA REZENDE JUSTINO (20013)</v>
      </c>
      <c r="H605" t="str">
        <f>"ASSINATURA APPLE"</f>
        <v>ASSINATURA APPLE</v>
      </c>
      <c r="I605" t="str">
        <f t="shared" si="209"/>
        <v>16/01/2026</v>
      </c>
      <c r="J605" t="str">
        <f>("18/11/2025")</f>
        <v>18/11/2025</v>
      </c>
      <c r="K605" t="str">
        <f>("16/01/2026")</f>
        <v>16/01/2026</v>
      </c>
      <c r="L605">
        <v>32.9</v>
      </c>
      <c r="M605">
        <v>32.9</v>
      </c>
      <c r="N605">
        <v>104</v>
      </c>
      <c r="O605" t="str">
        <f>"SOFTWARE / LICENÇAS"</f>
        <v>SOFTWARE / LICENÇAS</v>
      </c>
      <c r="P605">
        <v>32.9</v>
      </c>
      <c r="S605" t="str">
        <f>"BANCO CORA (102)"</f>
        <v>BANCO CORA (102)</v>
      </c>
      <c r="T605">
        <v>3933</v>
      </c>
      <c r="U605">
        <v>2692</v>
      </c>
      <c r="V605" t="s">
        <v>22</v>
      </c>
    </row>
    <row r="606" spans="1:22">
      <c r="A606" t="str">
        <f t="shared" si="206"/>
        <v>16/01/2026</v>
      </c>
      <c r="B606" t="str">
        <f t="shared" si="205"/>
        <v>SAÍDA</v>
      </c>
      <c r="C606" t="str">
        <f t="shared" si="207"/>
        <v>PIX</v>
      </c>
      <c r="D606" t="str">
        <f>"1012253290"</f>
        <v>1012253290</v>
      </c>
      <c r="E606" t="str">
        <f>"2"</f>
        <v>2</v>
      </c>
      <c r="F606" t="str">
        <f t="shared" si="208"/>
        <v>COM</v>
      </c>
      <c r="G606" t="str">
        <f>"LILIANE DE FATIMA REZENDE JUSTINO (20013)"</f>
        <v>LILIANE DE FATIMA REZENDE JUSTINO (20013)</v>
      </c>
      <c r="H606" t="s">
        <v>195</v>
      </c>
      <c r="I606" t="str">
        <f t="shared" si="209"/>
        <v>16/01/2026</v>
      </c>
      <c r="J606" t="str">
        <f>("18/11/2025")</f>
        <v>18/11/2025</v>
      </c>
      <c r="K606">
        <v>46038</v>
      </c>
      <c r="N606">
        <v>104</v>
      </c>
      <c r="O606" t="s">
        <v>145</v>
      </c>
      <c r="Q606">
        <v>32.9</v>
      </c>
      <c r="R606" t="str">
        <f>"LILIANE DE FATIMA REZENDE JUSTINO (20013)"</f>
        <v>LILIANE DE FATIMA REZENDE JUSTINO (20013)</v>
      </c>
      <c r="S606" t="s">
        <v>22</v>
      </c>
      <c r="T606">
        <v>3933</v>
      </c>
      <c r="U606">
        <v>2692</v>
      </c>
      <c r="V606" t="s">
        <v>22</v>
      </c>
    </row>
    <row r="607" spans="1:22">
      <c r="A607" t="str">
        <f t="shared" si="206"/>
        <v>16/01/2026</v>
      </c>
      <c r="B607" t="str">
        <f t="shared" ref="B607:B638" si="210">"ENTRADA"</f>
        <v>ENTRADA</v>
      </c>
      <c r="C607" t="str">
        <f t="shared" ref="C607:C638" si="211">"NFSE"</f>
        <v>NFSE</v>
      </c>
      <c r="D607" t="str">
        <f>"74"</f>
        <v>74</v>
      </c>
      <c r="E607" t="str">
        <f t="shared" ref="E607:E638" si="212">"1"</f>
        <v>1</v>
      </c>
      <c r="F607" t="str">
        <f t="shared" si="208"/>
        <v>COM</v>
      </c>
      <c r="G607" t="str">
        <f>"DROGARIA POUPA MINAS (DOIS AMIGOS) 5 (10140)"</f>
        <v>DROGARIA POUPA MINAS (DOIS AMIGOS) 5 (10140)</v>
      </c>
      <c r="H607" t="str">
        <f>"Serv.Prest. 05/01/2026 a 11/01/2026 - RPS: 2000 - NFSe: 74"</f>
        <v>Serv.Prest. 05/01/2026 a 11/01/2026 - RPS: 2000 - NFSe: 74</v>
      </c>
      <c r="I607" t="str">
        <f>("15/01/2026")</f>
        <v>15/01/2026</v>
      </c>
      <c r="J607" t="str">
        <f t="shared" ref="J607:J612" si="213">("12/01/2026")</f>
        <v>12/01/2026</v>
      </c>
      <c r="K607" t="str">
        <f>("16/01/2026")</f>
        <v>16/01/2026</v>
      </c>
      <c r="L607">
        <v>806.31</v>
      </c>
      <c r="M607">
        <v>806.31</v>
      </c>
      <c r="N607">
        <v>303</v>
      </c>
      <c r="O607" t="str">
        <f>"RECEITAS COM ENTREGAS"</f>
        <v>RECEITAS COM ENTREGAS</v>
      </c>
      <c r="P607">
        <v>806.31</v>
      </c>
      <c r="S607" t="str">
        <f>"RECEITAS COM ENTREGAS (303)"</f>
        <v>RECEITAS COM ENTREGAS (303)</v>
      </c>
      <c r="T607">
        <v>4017</v>
      </c>
      <c r="U607">
        <v>3355</v>
      </c>
      <c r="V607" t="s">
        <v>88</v>
      </c>
    </row>
    <row r="608" spans="1:22">
      <c r="A608" t="str">
        <f t="shared" si="206"/>
        <v>16/01/2026</v>
      </c>
      <c r="B608" t="str">
        <f t="shared" si="210"/>
        <v>ENTRADA</v>
      </c>
      <c r="C608" t="str">
        <f t="shared" si="211"/>
        <v>NFSE</v>
      </c>
      <c r="D608" t="str">
        <f>"74"</f>
        <v>74</v>
      </c>
      <c r="E608" t="str">
        <f t="shared" si="212"/>
        <v>1</v>
      </c>
      <c r="F608" t="str">
        <f t="shared" si="208"/>
        <v>COM</v>
      </c>
      <c r="G608" t="str">
        <f>"DROGARIA POUPA MINAS (DOIS AMIGOS) 5 (10140)"</f>
        <v>DROGARIA POUPA MINAS (DOIS AMIGOS) 5 (10140)</v>
      </c>
      <c r="H608" t="s">
        <v>196</v>
      </c>
      <c r="I608" t="str">
        <f>("15/01/2026")</f>
        <v>15/01/2026</v>
      </c>
      <c r="J608" t="str">
        <f t="shared" si="213"/>
        <v>12/01/2026</v>
      </c>
      <c r="K608">
        <v>46038</v>
      </c>
      <c r="N608">
        <v>303</v>
      </c>
      <c r="O608" t="s">
        <v>26</v>
      </c>
      <c r="Q608">
        <v>806.31</v>
      </c>
      <c r="R608" t="str">
        <f>"DROGARIA POUPA MINAS (ULTRAMINAS) 1 (10181)"</f>
        <v>DROGARIA POUPA MINAS (ULTRAMINAS) 1 (10181)</v>
      </c>
      <c r="S608" t="s">
        <v>27</v>
      </c>
      <c r="T608">
        <v>4017</v>
      </c>
      <c r="U608">
        <v>3355</v>
      </c>
      <c r="V608" t="s">
        <v>88</v>
      </c>
    </row>
    <row r="609" spans="1:22">
      <c r="A609" t="str">
        <f t="shared" si="206"/>
        <v>16/01/2026</v>
      </c>
      <c r="B609" t="str">
        <f t="shared" si="210"/>
        <v>ENTRADA</v>
      </c>
      <c r="C609" t="str">
        <f t="shared" si="211"/>
        <v>NFSE</v>
      </c>
      <c r="D609" t="str">
        <f>"75"</f>
        <v>75</v>
      </c>
      <c r="E609" t="str">
        <f t="shared" si="212"/>
        <v>1</v>
      </c>
      <c r="F609" t="str">
        <f t="shared" si="208"/>
        <v>COM</v>
      </c>
      <c r="G609" t="str">
        <f>"DROGARIA POUPA MINAS (ULTRAMINAS) 3 (10129)"</f>
        <v>DROGARIA POUPA MINAS (ULTRAMINAS) 3 (10129)</v>
      </c>
      <c r="H609" t="str">
        <f>"Serv.Prest. 05/01/2026 a 11/01/2026 - RPS: 2001 - NFSe: 75"</f>
        <v>Serv.Prest. 05/01/2026 a 11/01/2026 - RPS: 2001 - NFSe: 75</v>
      </c>
      <c r="I609" t="str">
        <f>("15/01/2026")</f>
        <v>15/01/2026</v>
      </c>
      <c r="J609" t="str">
        <f t="shared" si="213"/>
        <v>12/01/2026</v>
      </c>
      <c r="K609" t="str">
        <f>("16/01/2026")</f>
        <v>16/01/2026</v>
      </c>
      <c r="L609">
        <v>171.6</v>
      </c>
      <c r="M609">
        <v>171.6</v>
      </c>
      <c r="N609">
        <v>303</v>
      </c>
      <c r="O609" t="str">
        <f>"RECEITAS COM ENTREGAS"</f>
        <v>RECEITAS COM ENTREGAS</v>
      </c>
      <c r="P609">
        <v>171.6</v>
      </c>
      <c r="S609" t="str">
        <f>"RECEITAS COM ENTREGAS (303)"</f>
        <v>RECEITAS COM ENTREGAS (303)</v>
      </c>
      <c r="T609">
        <v>4018</v>
      </c>
      <c r="U609">
        <v>3356</v>
      </c>
      <c r="V609" t="s">
        <v>88</v>
      </c>
    </row>
    <row r="610" spans="1:22">
      <c r="A610" t="str">
        <f t="shared" si="206"/>
        <v>16/01/2026</v>
      </c>
      <c r="B610" t="str">
        <f t="shared" si="210"/>
        <v>ENTRADA</v>
      </c>
      <c r="C610" t="str">
        <f t="shared" si="211"/>
        <v>NFSE</v>
      </c>
      <c r="D610" t="str">
        <f>"75"</f>
        <v>75</v>
      </c>
      <c r="E610" t="str">
        <f t="shared" si="212"/>
        <v>1</v>
      </c>
      <c r="F610" t="str">
        <f t="shared" si="208"/>
        <v>COM</v>
      </c>
      <c r="G610" t="str">
        <f>"DROGARIA POUPA MINAS (ULTRAMINAS) 3 (10129)"</f>
        <v>DROGARIA POUPA MINAS (ULTRAMINAS) 3 (10129)</v>
      </c>
      <c r="H610" t="s">
        <v>197</v>
      </c>
      <c r="I610" t="str">
        <f>("15/01/2026")</f>
        <v>15/01/2026</v>
      </c>
      <c r="J610" t="str">
        <f t="shared" si="213"/>
        <v>12/01/2026</v>
      </c>
      <c r="K610">
        <v>46038</v>
      </c>
      <c r="N610">
        <v>303</v>
      </c>
      <c r="O610" t="s">
        <v>26</v>
      </c>
      <c r="Q610">
        <v>171.6</v>
      </c>
      <c r="R610" t="str">
        <f>"DROGARIA POUPA MINAS (ULTRAMINAS) 3 (10129)"</f>
        <v>DROGARIA POUPA MINAS (ULTRAMINAS) 3 (10129)</v>
      </c>
      <c r="S610" t="s">
        <v>27</v>
      </c>
      <c r="T610">
        <v>4018</v>
      </c>
      <c r="U610">
        <v>3356</v>
      </c>
      <c r="V610" t="s">
        <v>88</v>
      </c>
    </row>
    <row r="611" spans="1:22">
      <c r="A611" t="str">
        <f t="shared" si="206"/>
        <v>16/01/2026</v>
      </c>
      <c r="B611" t="str">
        <f t="shared" si="210"/>
        <v>ENTRADA</v>
      </c>
      <c r="C611" t="str">
        <f t="shared" si="211"/>
        <v>NFSE</v>
      </c>
      <c r="D611" t="str">
        <f>"55"</f>
        <v>55</v>
      </c>
      <c r="E611" t="str">
        <f t="shared" si="212"/>
        <v>1</v>
      </c>
      <c r="F611" t="str">
        <f t="shared" si="208"/>
        <v>COM</v>
      </c>
      <c r="G611" t="str">
        <f>"BRASIL FARMA (10173)"</f>
        <v>BRASIL FARMA (10173)</v>
      </c>
      <c r="H611" t="str">
        <f>"Serv.Prest. 05/01/2026 a 11/01/2026 - RPS: 1981 - NFSe: 55"</f>
        <v>Serv.Prest. 05/01/2026 a 11/01/2026 - RPS: 1981 - NFSe: 55</v>
      </c>
      <c r="I611" t="str">
        <f t="shared" ref="I611:I642" si="214">("14/01/2026")</f>
        <v>14/01/2026</v>
      </c>
      <c r="J611" t="str">
        <f t="shared" si="213"/>
        <v>12/01/2026</v>
      </c>
      <c r="K611" t="str">
        <f>("16/01/2026")</f>
        <v>16/01/2026</v>
      </c>
      <c r="L611">
        <v>300.89999999999998</v>
      </c>
      <c r="M611">
        <v>309.91000000000003</v>
      </c>
      <c r="N611">
        <v>303</v>
      </c>
      <c r="O611" t="str">
        <f>"RECEITAS COM ENTREGAS"</f>
        <v>RECEITAS COM ENTREGAS</v>
      </c>
      <c r="P611">
        <v>309.91000000000003</v>
      </c>
      <c r="S611" t="str">
        <f>"RECEITAS COM ENTREGAS (303)"</f>
        <v>RECEITAS COM ENTREGAS (303)</v>
      </c>
      <c r="T611">
        <v>4094</v>
      </c>
      <c r="U611">
        <v>3322</v>
      </c>
      <c r="V611" t="s">
        <v>88</v>
      </c>
    </row>
    <row r="612" spans="1:22">
      <c r="A612" t="str">
        <f t="shared" si="206"/>
        <v>16/01/2026</v>
      </c>
      <c r="B612" t="str">
        <f t="shared" si="210"/>
        <v>ENTRADA</v>
      </c>
      <c r="C612" t="str">
        <f t="shared" si="211"/>
        <v>NFSE</v>
      </c>
      <c r="D612" t="str">
        <f>"55"</f>
        <v>55</v>
      </c>
      <c r="E612" t="str">
        <f t="shared" si="212"/>
        <v>1</v>
      </c>
      <c r="F612" t="str">
        <f t="shared" si="208"/>
        <v>COM</v>
      </c>
      <c r="G612" t="str">
        <f>"BRASIL FARMA (10173)"</f>
        <v>BRASIL FARMA (10173)</v>
      </c>
      <c r="H612" t="s">
        <v>198</v>
      </c>
      <c r="I612" t="str">
        <f t="shared" si="214"/>
        <v>14/01/2026</v>
      </c>
      <c r="J612" t="str">
        <f t="shared" si="213"/>
        <v>12/01/2026</v>
      </c>
      <c r="K612">
        <v>46038</v>
      </c>
      <c r="N612">
        <v>303</v>
      </c>
      <c r="O612" t="s">
        <v>26</v>
      </c>
      <c r="Q612">
        <v>309.91000000000003</v>
      </c>
      <c r="R612" t="str">
        <f>"BRASIL FARMA (10173)"</f>
        <v>BRASIL FARMA (10173)</v>
      </c>
      <c r="S612" t="s">
        <v>27</v>
      </c>
      <c r="T612">
        <v>4094</v>
      </c>
      <c r="U612">
        <v>3322</v>
      </c>
      <c r="V612" t="s">
        <v>88</v>
      </c>
    </row>
    <row r="613" spans="1:22">
      <c r="A613" t="str">
        <f t="shared" si="206"/>
        <v>16/01/2026</v>
      </c>
      <c r="B613" t="str">
        <f t="shared" si="210"/>
        <v>ENTRADA</v>
      </c>
      <c r="C613" t="str">
        <f t="shared" si="211"/>
        <v>NFSE</v>
      </c>
      <c r="D613" t="str">
        <f t="shared" ref="D613:D644" si="215">"31"</f>
        <v>31</v>
      </c>
      <c r="E613" t="str">
        <f t="shared" si="212"/>
        <v>1</v>
      </c>
      <c r="F613" t="str">
        <f t="shared" si="208"/>
        <v>COM</v>
      </c>
      <c r="G613" t="str">
        <f t="shared" ref="G613:G644" si="216">"FARMÁCIA INDIANA LJ 1 (10126)"</f>
        <v>FARMÁCIA INDIANA LJ 1 (10126)</v>
      </c>
      <c r="H613" t="str">
        <f>"Serv.Prest. 26/12/2025 a 04/01/2026 - RPS: 1960 - NFSe: 31"</f>
        <v>Serv.Prest. 26/12/2025 a 04/01/2026 - RPS: 1960 - NFSe: 31</v>
      </c>
      <c r="I613" t="str">
        <f t="shared" si="214"/>
        <v>14/01/2026</v>
      </c>
      <c r="J613" t="str">
        <f t="shared" ref="J613:J644" si="217">("06/01/2026")</f>
        <v>06/01/2026</v>
      </c>
      <c r="K613" t="str">
        <f>("16/01/2026")</f>
        <v>16/01/2026</v>
      </c>
      <c r="L613">
        <v>16181.62</v>
      </c>
      <c r="M613">
        <v>16181.62</v>
      </c>
      <c r="N613">
        <v>303</v>
      </c>
      <c r="O613" t="str">
        <f>"RECEITAS COM ENTREGAS"</f>
        <v>RECEITAS COM ENTREGAS</v>
      </c>
      <c r="P613">
        <v>16181.62</v>
      </c>
      <c r="S613" t="str">
        <f>"RECEITAS COM ENTREGAS (303)"</f>
        <v>RECEITAS COM ENTREGAS (303)</v>
      </c>
      <c r="T613">
        <v>4113</v>
      </c>
      <c r="U613">
        <v>3270</v>
      </c>
      <c r="V613" t="s">
        <v>22</v>
      </c>
    </row>
    <row r="614" spans="1:22">
      <c r="A614" t="str">
        <f t="shared" si="206"/>
        <v>16/01/2026</v>
      </c>
      <c r="B614" t="str">
        <f t="shared" si="210"/>
        <v>ENTRADA</v>
      </c>
      <c r="C614" t="str">
        <f t="shared" si="211"/>
        <v>NFSE</v>
      </c>
      <c r="D614" t="str">
        <f t="shared" si="215"/>
        <v>31</v>
      </c>
      <c r="E614" t="str">
        <f t="shared" si="212"/>
        <v>1</v>
      </c>
      <c r="F614" t="str">
        <f t="shared" si="208"/>
        <v>COM</v>
      </c>
      <c r="G614" t="str">
        <f t="shared" si="216"/>
        <v>FARMÁCIA INDIANA LJ 1 (10126)</v>
      </c>
      <c r="H614" t="s">
        <v>199</v>
      </c>
      <c r="I614" t="str">
        <f t="shared" si="214"/>
        <v>14/01/2026</v>
      </c>
      <c r="J614" t="str">
        <f t="shared" si="217"/>
        <v>06/01/2026</v>
      </c>
      <c r="K614">
        <v>46038</v>
      </c>
      <c r="N614">
        <v>303</v>
      </c>
      <c r="O614" t="s">
        <v>26</v>
      </c>
      <c r="Q614">
        <v>2847.97</v>
      </c>
      <c r="R614" t="str">
        <f>"FARMÁCIA INDIANA LJ 06 (10006)"</f>
        <v>FARMÁCIA INDIANA LJ 06 (10006)</v>
      </c>
      <c r="S614" t="s">
        <v>27</v>
      </c>
      <c r="T614">
        <v>4113</v>
      </c>
      <c r="U614">
        <v>3270</v>
      </c>
      <c r="V614" t="s">
        <v>22</v>
      </c>
    </row>
    <row r="615" spans="1:22">
      <c r="A615" t="str">
        <f t="shared" si="206"/>
        <v>16/01/2026</v>
      </c>
      <c r="B615" t="str">
        <f t="shared" si="210"/>
        <v>ENTRADA</v>
      </c>
      <c r="C615" t="str">
        <f t="shared" si="211"/>
        <v>NFSE</v>
      </c>
      <c r="D615" t="str">
        <f t="shared" si="215"/>
        <v>31</v>
      </c>
      <c r="E615" t="str">
        <f t="shared" si="212"/>
        <v>1</v>
      </c>
      <c r="F615" t="str">
        <f t="shared" si="208"/>
        <v>COM</v>
      </c>
      <c r="G615" t="str">
        <f t="shared" si="216"/>
        <v>FARMÁCIA INDIANA LJ 1 (10126)</v>
      </c>
      <c r="H615" t="s">
        <v>199</v>
      </c>
      <c r="I615" t="str">
        <f t="shared" si="214"/>
        <v>14/01/2026</v>
      </c>
      <c r="J615" t="str">
        <f t="shared" si="217"/>
        <v>06/01/2026</v>
      </c>
      <c r="K615">
        <v>46038</v>
      </c>
      <c r="N615">
        <v>303</v>
      </c>
      <c r="O615" t="s">
        <v>26</v>
      </c>
      <c r="Q615">
        <v>1862.5</v>
      </c>
      <c r="R615" t="str">
        <f>"FARMÁCIA INDIANA LJ 07 (10007)"</f>
        <v>FARMÁCIA INDIANA LJ 07 (10007)</v>
      </c>
      <c r="S615" t="s">
        <v>27</v>
      </c>
      <c r="T615">
        <v>4113</v>
      </c>
      <c r="U615">
        <v>3270</v>
      </c>
      <c r="V615" t="s">
        <v>22</v>
      </c>
    </row>
    <row r="616" spans="1:22">
      <c r="A616" t="str">
        <f t="shared" si="206"/>
        <v>16/01/2026</v>
      </c>
      <c r="B616" t="str">
        <f t="shared" si="210"/>
        <v>ENTRADA</v>
      </c>
      <c r="C616" t="str">
        <f t="shared" si="211"/>
        <v>NFSE</v>
      </c>
      <c r="D616" t="str">
        <f t="shared" si="215"/>
        <v>31</v>
      </c>
      <c r="E616" t="str">
        <f t="shared" si="212"/>
        <v>1</v>
      </c>
      <c r="F616" t="str">
        <f t="shared" si="208"/>
        <v>COM</v>
      </c>
      <c r="G616" t="str">
        <f t="shared" si="216"/>
        <v>FARMÁCIA INDIANA LJ 1 (10126)</v>
      </c>
      <c r="H616" t="s">
        <v>199</v>
      </c>
      <c r="I616" t="str">
        <f t="shared" si="214"/>
        <v>14/01/2026</v>
      </c>
      <c r="J616" t="str">
        <f t="shared" si="217"/>
        <v>06/01/2026</v>
      </c>
      <c r="K616">
        <v>46038</v>
      </c>
      <c r="N616">
        <v>303</v>
      </c>
      <c r="O616" t="s">
        <v>26</v>
      </c>
      <c r="Q616">
        <v>932.06</v>
      </c>
      <c r="R616" t="str">
        <f>"FARMÁCIA INDIANA LJ 11 (10008)"</f>
        <v>FARMÁCIA INDIANA LJ 11 (10008)</v>
      </c>
      <c r="S616" t="s">
        <v>27</v>
      </c>
      <c r="T616">
        <v>4113</v>
      </c>
      <c r="U616">
        <v>3270</v>
      </c>
      <c r="V616" t="s">
        <v>22</v>
      </c>
    </row>
    <row r="617" spans="1:22">
      <c r="A617" t="str">
        <f t="shared" si="206"/>
        <v>16/01/2026</v>
      </c>
      <c r="B617" t="str">
        <f t="shared" si="210"/>
        <v>ENTRADA</v>
      </c>
      <c r="C617" t="str">
        <f t="shared" si="211"/>
        <v>NFSE</v>
      </c>
      <c r="D617" t="str">
        <f t="shared" si="215"/>
        <v>31</v>
      </c>
      <c r="E617" t="str">
        <f t="shared" si="212"/>
        <v>1</v>
      </c>
      <c r="F617" t="str">
        <f t="shared" si="208"/>
        <v>COM</v>
      </c>
      <c r="G617" t="str">
        <f t="shared" si="216"/>
        <v>FARMÁCIA INDIANA LJ 1 (10126)</v>
      </c>
      <c r="H617" t="s">
        <v>199</v>
      </c>
      <c r="I617" t="str">
        <f t="shared" si="214"/>
        <v>14/01/2026</v>
      </c>
      <c r="J617" t="str">
        <f t="shared" si="217"/>
        <v>06/01/2026</v>
      </c>
      <c r="K617">
        <v>46038</v>
      </c>
      <c r="N617">
        <v>303</v>
      </c>
      <c r="O617" t="s">
        <v>26</v>
      </c>
      <c r="Q617">
        <v>533.99</v>
      </c>
      <c r="R617" t="str">
        <f>"FARMÁCIA INDIANA LJ 14 (10009)"</f>
        <v>FARMÁCIA INDIANA LJ 14 (10009)</v>
      </c>
      <c r="S617" t="s">
        <v>27</v>
      </c>
      <c r="T617">
        <v>4113</v>
      </c>
      <c r="U617">
        <v>3270</v>
      </c>
      <c r="V617" t="s">
        <v>22</v>
      </c>
    </row>
    <row r="618" spans="1:22">
      <c r="A618" t="str">
        <f t="shared" si="206"/>
        <v>16/01/2026</v>
      </c>
      <c r="B618" t="str">
        <f t="shared" si="210"/>
        <v>ENTRADA</v>
      </c>
      <c r="C618" t="str">
        <f t="shared" si="211"/>
        <v>NFSE</v>
      </c>
      <c r="D618" t="str">
        <f t="shared" si="215"/>
        <v>31</v>
      </c>
      <c r="E618" t="str">
        <f t="shared" si="212"/>
        <v>1</v>
      </c>
      <c r="F618" t="str">
        <f t="shared" si="208"/>
        <v>COM</v>
      </c>
      <c r="G618" t="str">
        <f t="shared" si="216"/>
        <v>FARMÁCIA INDIANA LJ 1 (10126)</v>
      </c>
      <c r="H618" t="s">
        <v>199</v>
      </c>
      <c r="I618" t="str">
        <f t="shared" si="214"/>
        <v>14/01/2026</v>
      </c>
      <c r="J618" t="str">
        <f t="shared" si="217"/>
        <v>06/01/2026</v>
      </c>
      <c r="K618">
        <v>46038</v>
      </c>
      <c r="N618">
        <v>303</v>
      </c>
      <c r="O618" t="s">
        <v>26</v>
      </c>
      <c r="Q618">
        <v>417.49</v>
      </c>
      <c r="R618" t="str">
        <f>"FARMÁCIA INDIANA LJ 18 (10011)"</f>
        <v>FARMÁCIA INDIANA LJ 18 (10011)</v>
      </c>
      <c r="S618" t="s">
        <v>27</v>
      </c>
      <c r="T618">
        <v>4113</v>
      </c>
      <c r="U618">
        <v>3270</v>
      </c>
      <c r="V618" t="s">
        <v>22</v>
      </c>
    </row>
    <row r="619" spans="1:22">
      <c r="A619" t="str">
        <f t="shared" si="206"/>
        <v>16/01/2026</v>
      </c>
      <c r="B619" t="str">
        <f t="shared" si="210"/>
        <v>ENTRADA</v>
      </c>
      <c r="C619" t="str">
        <f t="shared" si="211"/>
        <v>NFSE</v>
      </c>
      <c r="D619" t="str">
        <f t="shared" si="215"/>
        <v>31</v>
      </c>
      <c r="E619" t="str">
        <f t="shared" si="212"/>
        <v>1</v>
      </c>
      <c r="F619" t="str">
        <f t="shared" si="208"/>
        <v>COM</v>
      </c>
      <c r="G619" t="str">
        <f t="shared" si="216"/>
        <v>FARMÁCIA INDIANA LJ 1 (10126)</v>
      </c>
      <c r="H619" t="s">
        <v>199</v>
      </c>
      <c r="I619" t="str">
        <f t="shared" si="214"/>
        <v>14/01/2026</v>
      </c>
      <c r="J619" t="str">
        <f t="shared" si="217"/>
        <v>06/01/2026</v>
      </c>
      <c r="K619">
        <v>46038</v>
      </c>
      <c r="N619">
        <v>303</v>
      </c>
      <c r="O619" t="s">
        <v>26</v>
      </c>
      <c r="Q619">
        <v>556.65</v>
      </c>
      <c r="R619" t="str">
        <f>"FARMÁCIA INDIANA LJ 19 (10012)"</f>
        <v>FARMÁCIA INDIANA LJ 19 (10012)</v>
      </c>
      <c r="S619" t="s">
        <v>27</v>
      </c>
      <c r="T619">
        <v>4113</v>
      </c>
      <c r="U619">
        <v>3270</v>
      </c>
      <c r="V619" t="s">
        <v>22</v>
      </c>
    </row>
    <row r="620" spans="1:22">
      <c r="A620" t="str">
        <f t="shared" si="206"/>
        <v>16/01/2026</v>
      </c>
      <c r="B620" t="str">
        <f t="shared" si="210"/>
        <v>ENTRADA</v>
      </c>
      <c r="C620" t="str">
        <f t="shared" si="211"/>
        <v>NFSE</v>
      </c>
      <c r="D620" t="str">
        <f t="shared" si="215"/>
        <v>31</v>
      </c>
      <c r="E620" t="str">
        <f t="shared" si="212"/>
        <v>1</v>
      </c>
      <c r="F620" t="str">
        <f t="shared" si="208"/>
        <v>COM</v>
      </c>
      <c r="G620" t="str">
        <f t="shared" si="216"/>
        <v>FARMÁCIA INDIANA LJ 1 (10126)</v>
      </c>
      <c r="H620" t="s">
        <v>199</v>
      </c>
      <c r="I620" t="str">
        <f t="shared" si="214"/>
        <v>14/01/2026</v>
      </c>
      <c r="J620" t="str">
        <f t="shared" si="217"/>
        <v>06/01/2026</v>
      </c>
      <c r="K620">
        <v>46038</v>
      </c>
      <c r="N620">
        <v>303</v>
      </c>
      <c r="O620" t="s">
        <v>26</v>
      </c>
      <c r="Q620">
        <v>763.77</v>
      </c>
      <c r="R620" t="str">
        <f>"FARMÁCIA INDIANA LJ 40 (10016)"</f>
        <v>FARMÁCIA INDIANA LJ 40 (10016)</v>
      </c>
      <c r="S620" t="s">
        <v>27</v>
      </c>
      <c r="T620">
        <v>4113</v>
      </c>
      <c r="U620">
        <v>3270</v>
      </c>
      <c r="V620" t="s">
        <v>22</v>
      </c>
    </row>
    <row r="621" spans="1:22">
      <c r="A621" t="str">
        <f t="shared" si="206"/>
        <v>16/01/2026</v>
      </c>
      <c r="B621" t="str">
        <f t="shared" si="210"/>
        <v>ENTRADA</v>
      </c>
      <c r="C621" t="str">
        <f t="shared" si="211"/>
        <v>NFSE</v>
      </c>
      <c r="D621" t="str">
        <f t="shared" si="215"/>
        <v>31</v>
      </c>
      <c r="E621" t="str">
        <f t="shared" si="212"/>
        <v>1</v>
      </c>
      <c r="F621" t="str">
        <f t="shared" si="208"/>
        <v>COM</v>
      </c>
      <c r="G621" t="str">
        <f t="shared" si="216"/>
        <v>FARMÁCIA INDIANA LJ 1 (10126)</v>
      </c>
      <c r="H621" t="s">
        <v>199</v>
      </c>
      <c r="I621" t="str">
        <f t="shared" si="214"/>
        <v>14/01/2026</v>
      </c>
      <c r="J621" t="str">
        <f t="shared" si="217"/>
        <v>06/01/2026</v>
      </c>
      <c r="K621">
        <v>46038</v>
      </c>
      <c r="N621">
        <v>303</v>
      </c>
      <c r="O621" t="s">
        <v>26</v>
      </c>
      <c r="Q621">
        <v>278.32</v>
      </c>
      <c r="R621" t="str">
        <f>"FARMÁCIA INDIANA LJ 59 (10026)"</f>
        <v>FARMÁCIA INDIANA LJ 59 (10026)</v>
      </c>
      <c r="S621" t="s">
        <v>27</v>
      </c>
      <c r="T621">
        <v>4113</v>
      </c>
      <c r="U621">
        <v>3270</v>
      </c>
      <c r="V621" t="s">
        <v>22</v>
      </c>
    </row>
    <row r="622" spans="1:22">
      <c r="A622" t="str">
        <f t="shared" si="206"/>
        <v>16/01/2026</v>
      </c>
      <c r="B622" t="str">
        <f t="shared" si="210"/>
        <v>ENTRADA</v>
      </c>
      <c r="C622" t="str">
        <f t="shared" si="211"/>
        <v>NFSE</v>
      </c>
      <c r="D622" t="str">
        <f t="shared" si="215"/>
        <v>31</v>
      </c>
      <c r="E622" t="str">
        <f t="shared" si="212"/>
        <v>1</v>
      </c>
      <c r="F622" t="str">
        <f t="shared" si="208"/>
        <v>COM</v>
      </c>
      <c r="G622" t="str">
        <f t="shared" si="216"/>
        <v>FARMÁCIA INDIANA LJ 1 (10126)</v>
      </c>
      <c r="H622" t="s">
        <v>199</v>
      </c>
      <c r="I622" t="str">
        <f t="shared" si="214"/>
        <v>14/01/2026</v>
      </c>
      <c r="J622" t="str">
        <f t="shared" si="217"/>
        <v>06/01/2026</v>
      </c>
      <c r="K622">
        <v>46038</v>
      </c>
      <c r="N622">
        <v>303</v>
      </c>
      <c r="O622" t="s">
        <v>26</v>
      </c>
      <c r="Q622">
        <v>658.59</v>
      </c>
      <c r="R622" t="str">
        <f>"FARMÁCIA INDIANA LJ 61 (10027)"</f>
        <v>FARMÁCIA INDIANA LJ 61 (10027)</v>
      </c>
      <c r="S622" t="s">
        <v>27</v>
      </c>
      <c r="T622">
        <v>4113</v>
      </c>
      <c r="U622">
        <v>3270</v>
      </c>
      <c r="V622" t="s">
        <v>22</v>
      </c>
    </row>
    <row r="623" spans="1:22">
      <c r="A623" t="str">
        <f t="shared" si="206"/>
        <v>16/01/2026</v>
      </c>
      <c r="B623" t="str">
        <f t="shared" si="210"/>
        <v>ENTRADA</v>
      </c>
      <c r="C623" t="str">
        <f t="shared" si="211"/>
        <v>NFSE</v>
      </c>
      <c r="D623" t="str">
        <f t="shared" si="215"/>
        <v>31</v>
      </c>
      <c r="E623" t="str">
        <f t="shared" si="212"/>
        <v>1</v>
      </c>
      <c r="F623" t="str">
        <f t="shared" si="208"/>
        <v>COM</v>
      </c>
      <c r="G623" t="str">
        <f t="shared" si="216"/>
        <v>FARMÁCIA INDIANA LJ 1 (10126)</v>
      </c>
      <c r="H623" t="s">
        <v>199</v>
      </c>
      <c r="I623" t="str">
        <f t="shared" si="214"/>
        <v>14/01/2026</v>
      </c>
      <c r="J623" t="str">
        <f t="shared" si="217"/>
        <v>06/01/2026</v>
      </c>
      <c r="K623">
        <v>46038</v>
      </c>
      <c r="N623">
        <v>303</v>
      </c>
      <c r="O623" t="s">
        <v>26</v>
      </c>
      <c r="Q623">
        <v>216.83</v>
      </c>
      <c r="R623" t="str">
        <f>"FARMÁCIA INDIANA LJ 62 (10028)"</f>
        <v>FARMÁCIA INDIANA LJ 62 (10028)</v>
      </c>
      <c r="S623" t="s">
        <v>27</v>
      </c>
      <c r="T623">
        <v>4113</v>
      </c>
      <c r="U623">
        <v>3270</v>
      </c>
      <c r="V623" t="s">
        <v>22</v>
      </c>
    </row>
    <row r="624" spans="1:22">
      <c r="A624" t="str">
        <f t="shared" si="206"/>
        <v>16/01/2026</v>
      </c>
      <c r="B624" t="str">
        <f t="shared" si="210"/>
        <v>ENTRADA</v>
      </c>
      <c r="C624" t="str">
        <f t="shared" si="211"/>
        <v>NFSE</v>
      </c>
      <c r="D624" t="str">
        <f t="shared" si="215"/>
        <v>31</v>
      </c>
      <c r="E624" t="str">
        <f t="shared" si="212"/>
        <v>1</v>
      </c>
      <c r="F624" t="str">
        <f t="shared" si="208"/>
        <v>COM</v>
      </c>
      <c r="G624" t="str">
        <f t="shared" si="216"/>
        <v>FARMÁCIA INDIANA LJ 1 (10126)</v>
      </c>
      <c r="H624" t="s">
        <v>199</v>
      </c>
      <c r="I624" t="str">
        <f t="shared" si="214"/>
        <v>14/01/2026</v>
      </c>
      <c r="J624" t="str">
        <f t="shared" si="217"/>
        <v>06/01/2026</v>
      </c>
      <c r="K624">
        <v>46038</v>
      </c>
      <c r="N624">
        <v>303</v>
      </c>
      <c r="O624" t="s">
        <v>26</v>
      </c>
      <c r="Q624">
        <v>85.76</v>
      </c>
      <c r="R624" t="str">
        <f>"FARMÁCIA INDIANA LJ 64 (10029)"</f>
        <v>FARMÁCIA INDIANA LJ 64 (10029)</v>
      </c>
      <c r="S624" t="s">
        <v>27</v>
      </c>
      <c r="T624">
        <v>4113</v>
      </c>
      <c r="U624">
        <v>3270</v>
      </c>
      <c r="V624" t="s">
        <v>22</v>
      </c>
    </row>
    <row r="625" spans="1:22">
      <c r="A625" t="str">
        <f t="shared" si="206"/>
        <v>16/01/2026</v>
      </c>
      <c r="B625" t="str">
        <f t="shared" si="210"/>
        <v>ENTRADA</v>
      </c>
      <c r="C625" t="str">
        <f t="shared" si="211"/>
        <v>NFSE</v>
      </c>
      <c r="D625" t="str">
        <f t="shared" si="215"/>
        <v>31</v>
      </c>
      <c r="E625" t="str">
        <f t="shared" si="212"/>
        <v>1</v>
      </c>
      <c r="F625" t="str">
        <f t="shared" si="208"/>
        <v>COM</v>
      </c>
      <c r="G625" t="str">
        <f t="shared" si="216"/>
        <v>FARMÁCIA INDIANA LJ 1 (10126)</v>
      </c>
      <c r="H625" t="s">
        <v>199</v>
      </c>
      <c r="I625" t="str">
        <f t="shared" si="214"/>
        <v>14/01/2026</v>
      </c>
      <c r="J625" t="str">
        <f t="shared" si="217"/>
        <v>06/01/2026</v>
      </c>
      <c r="K625">
        <v>46038</v>
      </c>
      <c r="N625">
        <v>303</v>
      </c>
      <c r="O625" t="s">
        <v>26</v>
      </c>
      <c r="Q625">
        <v>71.2</v>
      </c>
      <c r="R625" t="str">
        <f>"FARMÁCIA INDIANA LJ 97 (10040)"</f>
        <v>FARMÁCIA INDIANA LJ 97 (10040)</v>
      </c>
      <c r="S625" t="s">
        <v>27</v>
      </c>
      <c r="T625">
        <v>4113</v>
      </c>
      <c r="U625">
        <v>3270</v>
      </c>
      <c r="V625" t="s">
        <v>22</v>
      </c>
    </row>
    <row r="626" spans="1:22">
      <c r="A626" t="str">
        <f t="shared" si="206"/>
        <v>16/01/2026</v>
      </c>
      <c r="B626" t="str">
        <f t="shared" si="210"/>
        <v>ENTRADA</v>
      </c>
      <c r="C626" t="str">
        <f t="shared" si="211"/>
        <v>NFSE</v>
      </c>
      <c r="D626" t="str">
        <f t="shared" si="215"/>
        <v>31</v>
      </c>
      <c r="E626" t="str">
        <f t="shared" si="212"/>
        <v>1</v>
      </c>
      <c r="F626" t="str">
        <f t="shared" si="208"/>
        <v>COM</v>
      </c>
      <c r="G626" t="str">
        <f t="shared" si="216"/>
        <v>FARMÁCIA INDIANA LJ 1 (10126)</v>
      </c>
      <c r="H626" t="s">
        <v>199</v>
      </c>
      <c r="I626" t="str">
        <f t="shared" si="214"/>
        <v>14/01/2026</v>
      </c>
      <c r="J626" t="str">
        <f t="shared" si="217"/>
        <v>06/01/2026</v>
      </c>
      <c r="K626">
        <v>46038</v>
      </c>
      <c r="N626">
        <v>303</v>
      </c>
      <c r="O626" t="s">
        <v>26</v>
      </c>
      <c r="Q626">
        <v>200.65</v>
      </c>
      <c r="R626" t="str">
        <f>"FARMÁCIA INDIANA LJ 100 (10042)"</f>
        <v>FARMÁCIA INDIANA LJ 100 (10042)</v>
      </c>
      <c r="S626" t="s">
        <v>27</v>
      </c>
      <c r="T626">
        <v>4113</v>
      </c>
      <c r="U626">
        <v>3270</v>
      </c>
      <c r="V626" t="s">
        <v>22</v>
      </c>
    </row>
    <row r="627" spans="1:22">
      <c r="A627" t="str">
        <f t="shared" si="206"/>
        <v>16/01/2026</v>
      </c>
      <c r="B627" t="str">
        <f t="shared" si="210"/>
        <v>ENTRADA</v>
      </c>
      <c r="C627" t="str">
        <f t="shared" si="211"/>
        <v>NFSE</v>
      </c>
      <c r="D627" t="str">
        <f t="shared" si="215"/>
        <v>31</v>
      </c>
      <c r="E627" t="str">
        <f t="shared" si="212"/>
        <v>1</v>
      </c>
      <c r="F627" t="str">
        <f t="shared" si="208"/>
        <v>COM</v>
      </c>
      <c r="G627" t="str">
        <f t="shared" si="216"/>
        <v>FARMÁCIA INDIANA LJ 1 (10126)</v>
      </c>
      <c r="H627" t="s">
        <v>199</v>
      </c>
      <c r="I627" t="str">
        <f t="shared" si="214"/>
        <v>14/01/2026</v>
      </c>
      <c r="J627" t="str">
        <f t="shared" si="217"/>
        <v>06/01/2026</v>
      </c>
      <c r="K627">
        <v>46038</v>
      </c>
      <c r="N627">
        <v>303</v>
      </c>
      <c r="O627" t="s">
        <v>26</v>
      </c>
      <c r="Q627">
        <v>739.5</v>
      </c>
      <c r="R627" t="str">
        <f>"FARMÁCIA INDIANA LJ 101 (10043)"</f>
        <v>FARMÁCIA INDIANA LJ 101 (10043)</v>
      </c>
      <c r="S627" t="s">
        <v>27</v>
      </c>
      <c r="T627">
        <v>4113</v>
      </c>
      <c r="U627">
        <v>3270</v>
      </c>
      <c r="V627" t="s">
        <v>22</v>
      </c>
    </row>
    <row r="628" spans="1:22">
      <c r="A628" t="str">
        <f t="shared" si="206"/>
        <v>16/01/2026</v>
      </c>
      <c r="B628" t="str">
        <f t="shared" si="210"/>
        <v>ENTRADA</v>
      </c>
      <c r="C628" t="str">
        <f t="shared" si="211"/>
        <v>NFSE</v>
      </c>
      <c r="D628" t="str">
        <f t="shared" si="215"/>
        <v>31</v>
      </c>
      <c r="E628" t="str">
        <f t="shared" si="212"/>
        <v>1</v>
      </c>
      <c r="F628" t="str">
        <f t="shared" si="208"/>
        <v>COM</v>
      </c>
      <c r="G628" t="str">
        <f t="shared" si="216"/>
        <v>FARMÁCIA INDIANA LJ 1 (10126)</v>
      </c>
      <c r="H628" t="s">
        <v>199</v>
      </c>
      <c r="I628" t="str">
        <f t="shared" si="214"/>
        <v>14/01/2026</v>
      </c>
      <c r="J628" t="str">
        <f t="shared" si="217"/>
        <v>06/01/2026</v>
      </c>
      <c r="K628">
        <v>46038</v>
      </c>
      <c r="N628">
        <v>303</v>
      </c>
      <c r="O628" t="s">
        <v>26</v>
      </c>
      <c r="Q628">
        <v>45.31</v>
      </c>
      <c r="R628" t="str">
        <f>"FARMÁCIA INDIANA LJ 103 (10044)"</f>
        <v>FARMÁCIA INDIANA LJ 103 (10044)</v>
      </c>
      <c r="S628" t="s">
        <v>27</v>
      </c>
      <c r="T628">
        <v>4113</v>
      </c>
      <c r="U628">
        <v>3270</v>
      </c>
      <c r="V628" t="s">
        <v>22</v>
      </c>
    </row>
    <row r="629" spans="1:22">
      <c r="A629" t="str">
        <f t="shared" si="206"/>
        <v>16/01/2026</v>
      </c>
      <c r="B629" t="str">
        <f t="shared" si="210"/>
        <v>ENTRADA</v>
      </c>
      <c r="C629" t="str">
        <f t="shared" si="211"/>
        <v>NFSE</v>
      </c>
      <c r="D629" t="str">
        <f t="shared" si="215"/>
        <v>31</v>
      </c>
      <c r="E629" t="str">
        <f t="shared" si="212"/>
        <v>1</v>
      </c>
      <c r="F629" t="str">
        <f t="shared" si="208"/>
        <v>COM</v>
      </c>
      <c r="G629" t="str">
        <f t="shared" si="216"/>
        <v>FARMÁCIA INDIANA LJ 1 (10126)</v>
      </c>
      <c r="H629" t="s">
        <v>199</v>
      </c>
      <c r="I629" t="str">
        <f t="shared" si="214"/>
        <v>14/01/2026</v>
      </c>
      <c r="J629" t="str">
        <f t="shared" si="217"/>
        <v>06/01/2026</v>
      </c>
      <c r="K629">
        <v>46038</v>
      </c>
      <c r="N629">
        <v>303</v>
      </c>
      <c r="O629" t="s">
        <v>26</v>
      </c>
      <c r="Q629">
        <v>291.27</v>
      </c>
      <c r="R629" t="str">
        <f>"FARMÁCIA INDIANA LJ 109 (10047)"</f>
        <v>FARMÁCIA INDIANA LJ 109 (10047)</v>
      </c>
      <c r="S629" t="s">
        <v>27</v>
      </c>
      <c r="T629">
        <v>4113</v>
      </c>
      <c r="U629">
        <v>3270</v>
      </c>
      <c r="V629" t="s">
        <v>22</v>
      </c>
    </row>
    <row r="630" spans="1:22">
      <c r="A630" t="str">
        <f t="shared" si="206"/>
        <v>16/01/2026</v>
      </c>
      <c r="B630" t="str">
        <f t="shared" si="210"/>
        <v>ENTRADA</v>
      </c>
      <c r="C630" t="str">
        <f t="shared" si="211"/>
        <v>NFSE</v>
      </c>
      <c r="D630" t="str">
        <f t="shared" si="215"/>
        <v>31</v>
      </c>
      <c r="E630" t="str">
        <f t="shared" si="212"/>
        <v>1</v>
      </c>
      <c r="F630" t="str">
        <f t="shared" si="208"/>
        <v>COM</v>
      </c>
      <c r="G630" t="str">
        <f t="shared" si="216"/>
        <v>FARMÁCIA INDIANA LJ 1 (10126)</v>
      </c>
      <c r="H630" t="s">
        <v>199</v>
      </c>
      <c r="I630" t="str">
        <f t="shared" si="214"/>
        <v>14/01/2026</v>
      </c>
      <c r="J630" t="str">
        <f t="shared" si="217"/>
        <v>06/01/2026</v>
      </c>
      <c r="K630">
        <v>46038</v>
      </c>
      <c r="N630">
        <v>303</v>
      </c>
      <c r="O630" t="s">
        <v>26</v>
      </c>
      <c r="Q630">
        <v>378.65</v>
      </c>
      <c r="R630" t="str">
        <f>"FARMÁCIA INDIANA LJ 110 (10048)"</f>
        <v>FARMÁCIA INDIANA LJ 110 (10048)</v>
      </c>
      <c r="S630" t="s">
        <v>27</v>
      </c>
      <c r="T630">
        <v>4113</v>
      </c>
      <c r="U630">
        <v>3270</v>
      </c>
      <c r="V630" t="s">
        <v>22</v>
      </c>
    </row>
    <row r="631" spans="1:22">
      <c r="A631" t="str">
        <f t="shared" ref="A631:A663" si="218">("16/01/2026")</f>
        <v>16/01/2026</v>
      </c>
      <c r="B631" t="str">
        <f t="shared" si="210"/>
        <v>ENTRADA</v>
      </c>
      <c r="C631" t="str">
        <f t="shared" si="211"/>
        <v>NFSE</v>
      </c>
      <c r="D631" t="str">
        <f t="shared" si="215"/>
        <v>31</v>
      </c>
      <c r="E631" t="str">
        <f t="shared" si="212"/>
        <v>1</v>
      </c>
      <c r="F631" t="str">
        <f t="shared" ref="F631:F661" si="219">"COM"</f>
        <v>COM</v>
      </c>
      <c r="G631" t="str">
        <f t="shared" si="216"/>
        <v>FARMÁCIA INDIANA LJ 1 (10126)</v>
      </c>
      <c r="H631" t="s">
        <v>199</v>
      </c>
      <c r="I631" t="str">
        <f t="shared" si="214"/>
        <v>14/01/2026</v>
      </c>
      <c r="J631" t="str">
        <f t="shared" si="217"/>
        <v>06/01/2026</v>
      </c>
      <c r="K631">
        <v>46038</v>
      </c>
      <c r="N631">
        <v>303</v>
      </c>
      <c r="O631" t="s">
        <v>26</v>
      </c>
      <c r="Q631">
        <v>66.34</v>
      </c>
      <c r="R631" t="str">
        <f>"FARMÁCIA INDIANA LJ 111 (10049)"</f>
        <v>FARMÁCIA INDIANA LJ 111 (10049)</v>
      </c>
      <c r="S631" t="s">
        <v>27</v>
      </c>
      <c r="T631">
        <v>4113</v>
      </c>
      <c r="U631">
        <v>3270</v>
      </c>
      <c r="V631" t="s">
        <v>22</v>
      </c>
    </row>
    <row r="632" spans="1:22">
      <c r="A632" t="str">
        <f t="shared" si="218"/>
        <v>16/01/2026</v>
      </c>
      <c r="B632" t="str">
        <f t="shared" si="210"/>
        <v>ENTRADA</v>
      </c>
      <c r="C632" t="str">
        <f t="shared" si="211"/>
        <v>NFSE</v>
      </c>
      <c r="D632" t="str">
        <f t="shared" si="215"/>
        <v>31</v>
      </c>
      <c r="E632" t="str">
        <f t="shared" si="212"/>
        <v>1</v>
      </c>
      <c r="F632" t="str">
        <f t="shared" si="219"/>
        <v>COM</v>
      </c>
      <c r="G632" t="str">
        <f t="shared" si="216"/>
        <v>FARMÁCIA INDIANA LJ 1 (10126)</v>
      </c>
      <c r="H632" t="s">
        <v>199</v>
      </c>
      <c r="I632" t="str">
        <f t="shared" si="214"/>
        <v>14/01/2026</v>
      </c>
      <c r="J632" t="str">
        <f t="shared" si="217"/>
        <v>06/01/2026</v>
      </c>
      <c r="K632">
        <v>46038</v>
      </c>
      <c r="N632">
        <v>303</v>
      </c>
      <c r="O632" t="s">
        <v>26</v>
      </c>
      <c r="Q632">
        <v>100.33</v>
      </c>
      <c r="R632" t="str">
        <f>"FARMÁCIA INDIANA LJ 112 (10050)"</f>
        <v>FARMÁCIA INDIANA LJ 112 (10050)</v>
      </c>
      <c r="S632" t="s">
        <v>27</v>
      </c>
      <c r="T632">
        <v>4113</v>
      </c>
      <c r="U632">
        <v>3270</v>
      </c>
      <c r="V632" t="s">
        <v>22</v>
      </c>
    </row>
    <row r="633" spans="1:22">
      <c r="A633" t="str">
        <f t="shared" si="218"/>
        <v>16/01/2026</v>
      </c>
      <c r="B633" t="str">
        <f t="shared" si="210"/>
        <v>ENTRADA</v>
      </c>
      <c r="C633" t="str">
        <f t="shared" si="211"/>
        <v>NFSE</v>
      </c>
      <c r="D633" t="str">
        <f t="shared" si="215"/>
        <v>31</v>
      </c>
      <c r="E633" t="str">
        <f t="shared" si="212"/>
        <v>1</v>
      </c>
      <c r="F633" t="str">
        <f t="shared" si="219"/>
        <v>COM</v>
      </c>
      <c r="G633" t="str">
        <f t="shared" si="216"/>
        <v>FARMÁCIA INDIANA LJ 1 (10126)</v>
      </c>
      <c r="H633" t="s">
        <v>199</v>
      </c>
      <c r="I633" t="str">
        <f t="shared" si="214"/>
        <v>14/01/2026</v>
      </c>
      <c r="J633" t="str">
        <f t="shared" si="217"/>
        <v>06/01/2026</v>
      </c>
      <c r="K633">
        <v>46038</v>
      </c>
      <c r="N633">
        <v>303</v>
      </c>
      <c r="O633" t="s">
        <v>26</v>
      </c>
      <c r="Q633">
        <v>100.33</v>
      </c>
      <c r="R633" t="str">
        <f>"FARMÁCIA INDIANA LJ 116 (10051)"</f>
        <v>FARMÁCIA INDIANA LJ 116 (10051)</v>
      </c>
      <c r="S633" t="s">
        <v>27</v>
      </c>
      <c r="T633">
        <v>4113</v>
      </c>
      <c r="U633">
        <v>3270</v>
      </c>
      <c r="V633" t="s">
        <v>22</v>
      </c>
    </row>
    <row r="634" spans="1:22">
      <c r="A634" t="str">
        <f t="shared" si="218"/>
        <v>16/01/2026</v>
      </c>
      <c r="B634" t="str">
        <f t="shared" si="210"/>
        <v>ENTRADA</v>
      </c>
      <c r="C634" t="str">
        <f t="shared" si="211"/>
        <v>NFSE</v>
      </c>
      <c r="D634" t="str">
        <f t="shared" si="215"/>
        <v>31</v>
      </c>
      <c r="E634" t="str">
        <f t="shared" si="212"/>
        <v>1</v>
      </c>
      <c r="F634" t="str">
        <f t="shared" si="219"/>
        <v>COM</v>
      </c>
      <c r="G634" t="str">
        <f t="shared" si="216"/>
        <v>FARMÁCIA INDIANA LJ 1 (10126)</v>
      </c>
      <c r="H634" t="s">
        <v>199</v>
      </c>
      <c r="I634" t="str">
        <f t="shared" si="214"/>
        <v>14/01/2026</v>
      </c>
      <c r="J634" t="str">
        <f t="shared" si="217"/>
        <v>06/01/2026</v>
      </c>
      <c r="K634">
        <v>46038</v>
      </c>
      <c r="N634">
        <v>303</v>
      </c>
      <c r="O634" t="s">
        <v>26</v>
      </c>
      <c r="Q634">
        <v>97.09</v>
      </c>
      <c r="R634" t="str">
        <f>"FARMÁCIA INDIANA LJ 118 (10052)"</f>
        <v>FARMÁCIA INDIANA LJ 118 (10052)</v>
      </c>
      <c r="S634" t="s">
        <v>27</v>
      </c>
      <c r="T634">
        <v>4113</v>
      </c>
      <c r="U634">
        <v>3270</v>
      </c>
      <c r="V634" t="s">
        <v>22</v>
      </c>
    </row>
    <row r="635" spans="1:22">
      <c r="A635" t="str">
        <f t="shared" si="218"/>
        <v>16/01/2026</v>
      </c>
      <c r="B635" t="str">
        <f t="shared" si="210"/>
        <v>ENTRADA</v>
      </c>
      <c r="C635" t="str">
        <f t="shared" si="211"/>
        <v>NFSE</v>
      </c>
      <c r="D635" t="str">
        <f t="shared" si="215"/>
        <v>31</v>
      </c>
      <c r="E635" t="str">
        <f t="shared" si="212"/>
        <v>1</v>
      </c>
      <c r="F635" t="str">
        <f t="shared" si="219"/>
        <v>COM</v>
      </c>
      <c r="G635" t="str">
        <f t="shared" si="216"/>
        <v>FARMÁCIA INDIANA LJ 1 (10126)</v>
      </c>
      <c r="H635" t="s">
        <v>199</v>
      </c>
      <c r="I635" t="str">
        <f t="shared" si="214"/>
        <v>14/01/2026</v>
      </c>
      <c r="J635" t="str">
        <f t="shared" si="217"/>
        <v>06/01/2026</v>
      </c>
      <c r="K635">
        <v>46038</v>
      </c>
      <c r="N635">
        <v>303</v>
      </c>
      <c r="O635" t="s">
        <v>26</v>
      </c>
      <c r="Q635">
        <v>100.33</v>
      </c>
      <c r="R635" t="str">
        <f>"FARMÁCIA INDIANA LJ 121 (10054)"</f>
        <v>FARMÁCIA INDIANA LJ 121 (10054)</v>
      </c>
      <c r="S635" t="s">
        <v>27</v>
      </c>
      <c r="T635">
        <v>4113</v>
      </c>
      <c r="U635">
        <v>3270</v>
      </c>
      <c r="V635" t="s">
        <v>22</v>
      </c>
    </row>
    <row r="636" spans="1:22">
      <c r="A636" t="str">
        <f t="shared" si="218"/>
        <v>16/01/2026</v>
      </c>
      <c r="B636" t="str">
        <f t="shared" si="210"/>
        <v>ENTRADA</v>
      </c>
      <c r="C636" t="str">
        <f t="shared" si="211"/>
        <v>NFSE</v>
      </c>
      <c r="D636" t="str">
        <f t="shared" si="215"/>
        <v>31</v>
      </c>
      <c r="E636" t="str">
        <f t="shared" si="212"/>
        <v>1</v>
      </c>
      <c r="F636" t="str">
        <f t="shared" si="219"/>
        <v>COM</v>
      </c>
      <c r="G636" t="str">
        <f t="shared" si="216"/>
        <v>FARMÁCIA INDIANA LJ 1 (10126)</v>
      </c>
      <c r="H636" t="s">
        <v>199</v>
      </c>
      <c r="I636" t="str">
        <f t="shared" si="214"/>
        <v>14/01/2026</v>
      </c>
      <c r="J636" t="str">
        <f t="shared" si="217"/>
        <v>06/01/2026</v>
      </c>
      <c r="K636">
        <v>46038</v>
      </c>
      <c r="N636">
        <v>303</v>
      </c>
      <c r="O636" t="s">
        <v>26</v>
      </c>
      <c r="Q636">
        <v>100.33</v>
      </c>
      <c r="R636" t="str">
        <f>"FARMÁCIA INDIANA LJ 128 (10057)"</f>
        <v>FARMÁCIA INDIANA LJ 128 (10057)</v>
      </c>
      <c r="S636" t="s">
        <v>27</v>
      </c>
      <c r="T636">
        <v>4113</v>
      </c>
      <c r="U636">
        <v>3270</v>
      </c>
      <c r="V636" t="s">
        <v>22</v>
      </c>
    </row>
    <row r="637" spans="1:22">
      <c r="A637" t="str">
        <f t="shared" si="218"/>
        <v>16/01/2026</v>
      </c>
      <c r="B637" t="str">
        <f t="shared" si="210"/>
        <v>ENTRADA</v>
      </c>
      <c r="C637" t="str">
        <f t="shared" si="211"/>
        <v>NFSE</v>
      </c>
      <c r="D637" t="str">
        <f t="shared" si="215"/>
        <v>31</v>
      </c>
      <c r="E637" t="str">
        <f t="shared" si="212"/>
        <v>1</v>
      </c>
      <c r="F637" t="str">
        <f t="shared" si="219"/>
        <v>COM</v>
      </c>
      <c r="G637" t="str">
        <f t="shared" si="216"/>
        <v>FARMÁCIA INDIANA LJ 1 (10126)</v>
      </c>
      <c r="H637" t="s">
        <v>199</v>
      </c>
      <c r="I637" t="str">
        <f t="shared" si="214"/>
        <v>14/01/2026</v>
      </c>
      <c r="J637" t="str">
        <f t="shared" si="217"/>
        <v>06/01/2026</v>
      </c>
      <c r="K637">
        <v>46038</v>
      </c>
      <c r="N637">
        <v>303</v>
      </c>
      <c r="O637" t="s">
        <v>26</v>
      </c>
      <c r="Q637">
        <v>17.8</v>
      </c>
      <c r="R637" t="str">
        <f>"FARMÁCIA INDIANA LJ 140 (10064)"</f>
        <v>FARMÁCIA INDIANA LJ 140 (10064)</v>
      </c>
      <c r="S637" t="s">
        <v>27</v>
      </c>
      <c r="T637">
        <v>4113</v>
      </c>
      <c r="U637">
        <v>3270</v>
      </c>
      <c r="V637" t="s">
        <v>22</v>
      </c>
    </row>
    <row r="638" spans="1:22">
      <c r="A638" t="str">
        <f t="shared" si="218"/>
        <v>16/01/2026</v>
      </c>
      <c r="B638" t="str">
        <f t="shared" si="210"/>
        <v>ENTRADA</v>
      </c>
      <c r="C638" t="str">
        <f t="shared" si="211"/>
        <v>NFSE</v>
      </c>
      <c r="D638" t="str">
        <f t="shared" si="215"/>
        <v>31</v>
      </c>
      <c r="E638" t="str">
        <f t="shared" si="212"/>
        <v>1</v>
      </c>
      <c r="F638" t="str">
        <f t="shared" si="219"/>
        <v>COM</v>
      </c>
      <c r="G638" t="str">
        <f t="shared" si="216"/>
        <v>FARMÁCIA INDIANA LJ 1 (10126)</v>
      </c>
      <c r="H638" t="s">
        <v>199</v>
      </c>
      <c r="I638" t="str">
        <f t="shared" si="214"/>
        <v>14/01/2026</v>
      </c>
      <c r="J638" t="str">
        <f t="shared" si="217"/>
        <v>06/01/2026</v>
      </c>
      <c r="K638">
        <v>46038</v>
      </c>
      <c r="N638">
        <v>303</v>
      </c>
      <c r="O638" t="s">
        <v>26</v>
      </c>
      <c r="Q638">
        <v>12.95</v>
      </c>
      <c r="R638" t="str">
        <f>"FARMÁCIA INDIANA LJ 141 (10065)"</f>
        <v>FARMÁCIA INDIANA LJ 141 (10065)</v>
      </c>
      <c r="S638" t="s">
        <v>27</v>
      </c>
      <c r="T638">
        <v>4113</v>
      </c>
      <c r="U638">
        <v>3270</v>
      </c>
      <c r="V638" t="s">
        <v>22</v>
      </c>
    </row>
    <row r="639" spans="1:22">
      <c r="A639" t="str">
        <f t="shared" si="218"/>
        <v>16/01/2026</v>
      </c>
      <c r="B639" t="str">
        <f t="shared" ref="B639:B662" si="220">"ENTRADA"</f>
        <v>ENTRADA</v>
      </c>
      <c r="C639" t="str">
        <f t="shared" ref="C639:C661" si="221">"NFSE"</f>
        <v>NFSE</v>
      </c>
      <c r="D639" t="str">
        <f t="shared" si="215"/>
        <v>31</v>
      </c>
      <c r="E639" t="str">
        <f t="shared" ref="E639:E661" si="222">"1"</f>
        <v>1</v>
      </c>
      <c r="F639" t="str">
        <f t="shared" si="219"/>
        <v>COM</v>
      </c>
      <c r="G639" t="str">
        <f t="shared" si="216"/>
        <v>FARMÁCIA INDIANA LJ 1 (10126)</v>
      </c>
      <c r="H639" t="s">
        <v>199</v>
      </c>
      <c r="I639" t="str">
        <f t="shared" si="214"/>
        <v>14/01/2026</v>
      </c>
      <c r="J639" t="str">
        <f t="shared" si="217"/>
        <v>06/01/2026</v>
      </c>
      <c r="K639">
        <v>46038</v>
      </c>
      <c r="N639">
        <v>303</v>
      </c>
      <c r="O639" t="s">
        <v>26</v>
      </c>
      <c r="Q639">
        <v>1058.28</v>
      </c>
      <c r="R639" t="str">
        <f>"FARMÁCIA INDIANA LJ 142 (10066)"</f>
        <v>FARMÁCIA INDIANA LJ 142 (10066)</v>
      </c>
      <c r="S639" t="s">
        <v>27</v>
      </c>
      <c r="T639">
        <v>4113</v>
      </c>
      <c r="U639">
        <v>3270</v>
      </c>
      <c r="V639" t="s">
        <v>22</v>
      </c>
    </row>
    <row r="640" spans="1:22">
      <c r="A640" t="str">
        <f t="shared" si="218"/>
        <v>16/01/2026</v>
      </c>
      <c r="B640" t="str">
        <f t="shared" si="220"/>
        <v>ENTRADA</v>
      </c>
      <c r="C640" t="str">
        <f t="shared" si="221"/>
        <v>NFSE</v>
      </c>
      <c r="D640" t="str">
        <f t="shared" si="215"/>
        <v>31</v>
      </c>
      <c r="E640" t="str">
        <f t="shared" si="222"/>
        <v>1</v>
      </c>
      <c r="F640" t="str">
        <f t="shared" si="219"/>
        <v>COM</v>
      </c>
      <c r="G640" t="str">
        <f t="shared" si="216"/>
        <v>FARMÁCIA INDIANA LJ 1 (10126)</v>
      </c>
      <c r="H640" t="s">
        <v>199</v>
      </c>
      <c r="I640" t="str">
        <f t="shared" si="214"/>
        <v>14/01/2026</v>
      </c>
      <c r="J640" t="str">
        <f t="shared" si="217"/>
        <v>06/01/2026</v>
      </c>
      <c r="K640">
        <v>46038</v>
      </c>
      <c r="N640">
        <v>303</v>
      </c>
      <c r="O640" t="s">
        <v>26</v>
      </c>
      <c r="Q640">
        <v>67.959999999999994</v>
      </c>
      <c r="R640" t="str">
        <f>"FARMÁCIA INDIANA LJ 143 (10067)"</f>
        <v>FARMÁCIA INDIANA LJ 143 (10067)</v>
      </c>
      <c r="S640" t="s">
        <v>27</v>
      </c>
      <c r="T640">
        <v>4113</v>
      </c>
      <c r="U640">
        <v>3270</v>
      </c>
      <c r="V640" t="s">
        <v>22</v>
      </c>
    </row>
    <row r="641" spans="1:22">
      <c r="A641" t="str">
        <f t="shared" si="218"/>
        <v>16/01/2026</v>
      </c>
      <c r="B641" t="str">
        <f t="shared" si="220"/>
        <v>ENTRADA</v>
      </c>
      <c r="C641" t="str">
        <f t="shared" si="221"/>
        <v>NFSE</v>
      </c>
      <c r="D641" t="str">
        <f t="shared" si="215"/>
        <v>31</v>
      </c>
      <c r="E641" t="str">
        <f t="shared" si="222"/>
        <v>1</v>
      </c>
      <c r="F641" t="str">
        <f t="shared" si="219"/>
        <v>COM</v>
      </c>
      <c r="G641" t="str">
        <f t="shared" si="216"/>
        <v>FARMÁCIA INDIANA LJ 1 (10126)</v>
      </c>
      <c r="H641" t="s">
        <v>199</v>
      </c>
      <c r="I641" t="str">
        <f t="shared" si="214"/>
        <v>14/01/2026</v>
      </c>
      <c r="J641" t="str">
        <f t="shared" si="217"/>
        <v>06/01/2026</v>
      </c>
      <c r="K641">
        <v>46038</v>
      </c>
      <c r="N641">
        <v>303</v>
      </c>
      <c r="O641" t="s">
        <v>26</v>
      </c>
      <c r="Q641">
        <v>537.23</v>
      </c>
      <c r="R641" t="str">
        <f>"FARMÁCIA INDIANA LJ 152 (10069)"</f>
        <v>FARMÁCIA INDIANA LJ 152 (10069)</v>
      </c>
      <c r="S641" t="s">
        <v>27</v>
      </c>
      <c r="T641">
        <v>4113</v>
      </c>
      <c r="U641">
        <v>3270</v>
      </c>
      <c r="V641" t="s">
        <v>22</v>
      </c>
    </row>
    <row r="642" spans="1:22">
      <c r="A642" t="str">
        <f t="shared" si="218"/>
        <v>16/01/2026</v>
      </c>
      <c r="B642" t="str">
        <f t="shared" si="220"/>
        <v>ENTRADA</v>
      </c>
      <c r="C642" t="str">
        <f t="shared" si="221"/>
        <v>NFSE</v>
      </c>
      <c r="D642" t="str">
        <f t="shared" si="215"/>
        <v>31</v>
      </c>
      <c r="E642" t="str">
        <f t="shared" si="222"/>
        <v>1</v>
      </c>
      <c r="F642" t="str">
        <f t="shared" si="219"/>
        <v>COM</v>
      </c>
      <c r="G642" t="str">
        <f t="shared" si="216"/>
        <v>FARMÁCIA INDIANA LJ 1 (10126)</v>
      </c>
      <c r="H642" t="s">
        <v>199</v>
      </c>
      <c r="I642" t="str">
        <f t="shared" si="214"/>
        <v>14/01/2026</v>
      </c>
      <c r="J642" t="str">
        <f t="shared" si="217"/>
        <v>06/01/2026</v>
      </c>
      <c r="K642">
        <v>46038</v>
      </c>
      <c r="N642">
        <v>303</v>
      </c>
      <c r="O642" t="s">
        <v>26</v>
      </c>
      <c r="Q642">
        <v>24.27</v>
      </c>
      <c r="R642" t="str">
        <f>"FARMÁCIA INDIANA LJ 154 (10070)"</f>
        <v>FARMÁCIA INDIANA LJ 154 (10070)</v>
      </c>
      <c r="S642" t="s">
        <v>27</v>
      </c>
      <c r="T642">
        <v>4113</v>
      </c>
      <c r="U642">
        <v>3270</v>
      </c>
      <c r="V642" t="s">
        <v>22</v>
      </c>
    </row>
    <row r="643" spans="1:22">
      <c r="A643" t="str">
        <f t="shared" si="218"/>
        <v>16/01/2026</v>
      </c>
      <c r="B643" t="str">
        <f t="shared" si="220"/>
        <v>ENTRADA</v>
      </c>
      <c r="C643" t="str">
        <f t="shared" si="221"/>
        <v>NFSE</v>
      </c>
      <c r="D643" t="str">
        <f t="shared" si="215"/>
        <v>31</v>
      </c>
      <c r="E643" t="str">
        <f t="shared" si="222"/>
        <v>1</v>
      </c>
      <c r="F643" t="str">
        <f t="shared" si="219"/>
        <v>COM</v>
      </c>
      <c r="G643" t="str">
        <f t="shared" si="216"/>
        <v>FARMÁCIA INDIANA LJ 1 (10126)</v>
      </c>
      <c r="H643" t="s">
        <v>199</v>
      </c>
      <c r="I643" t="str">
        <f t="shared" ref="I643:I661" si="223">("14/01/2026")</f>
        <v>14/01/2026</v>
      </c>
      <c r="J643" t="str">
        <f t="shared" si="217"/>
        <v>06/01/2026</v>
      </c>
      <c r="K643">
        <v>46038</v>
      </c>
      <c r="N643">
        <v>303</v>
      </c>
      <c r="O643" t="s">
        <v>26</v>
      </c>
      <c r="Q643">
        <v>213.6</v>
      </c>
      <c r="R643" t="str">
        <f>"FARMÁCIA INDIANA LJ 171 (10074)"</f>
        <v>FARMÁCIA INDIANA LJ 171 (10074)</v>
      </c>
      <c r="S643" t="s">
        <v>27</v>
      </c>
      <c r="T643">
        <v>4113</v>
      </c>
      <c r="U643">
        <v>3270</v>
      </c>
      <c r="V643" t="s">
        <v>22</v>
      </c>
    </row>
    <row r="644" spans="1:22">
      <c r="A644" t="str">
        <f t="shared" si="218"/>
        <v>16/01/2026</v>
      </c>
      <c r="B644" t="str">
        <f t="shared" si="220"/>
        <v>ENTRADA</v>
      </c>
      <c r="C644" t="str">
        <f t="shared" si="221"/>
        <v>NFSE</v>
      </c>
      <c r="D644" t="str">
        <f t="shared" si="215"/>
        <v>31</v>
      </c>
      <c r="E644" t="str">
        <f t="shared" si="222"/>
        <v>1</v>
      </c>
      <c r="F644" t="str">
        <f t="shared" si="219"/>
        <v>COM</v>
      </c>
      <c r="G644" t="str">
        <f t="shared" si="216"/>
        <v>FARMÁCIA INDIANA LJ 1 (10126)</v>
      </c>
      <c r="H644" t="s">
        <v>199</v>
      </c>
      <c r="I644" t="str">
        <f t="shared" si="223"/>
        <v>14/01/2026</v>
      </c>
      <c r="J644" t="str">
        <f t="shared" si="217"/>
        <v>06/01/2026</v>
      </c>
      <c r="K644">
        <v>46038</v>
      </c>
      <c r="N644">
        <v>303</v>
      </c>
      <c r="O644" t="s">
        <v>26</v>
      </c>
      <c r="Q644">
        <v>90.62</v>
      </c>
      <c r="R644" t="str">
        <f>"FARMÁCIA INDIANA LJ 175 (10076)"</f>
        <v>FARMÁCIA INDIANA LJ 175 (10076)</v>
      </c>
      <c r="S644" t="s">
        <v>27</v>
      </c>
      <c r="T644">
        <v>4113</v>
      </c>
      <c r="U644">
        <v>3270</v>
      </c>
      <c r="V644" t="s">
        <v>22</v>
      </c>
    </row>
    <row r="645" spans="1:22">
      <c r="A645" t="str">
        <f t="shared" si="218"/>
        <v>16/01/2026</v>
      </c>
      <c r="B645" t="str">
        <f t="shared" si="220"/>
        <v>ENTRADA</v>
      </c>
      <c r="C645" t="str">
        <f t="shared" si="221"/>
        <v>NFSE</v>
      </c>
      <c r="D645" t="str">
        <f t="shared" ref="D645:D661" si="224">"31"</f>
        <v>31</v>
      </c>
      <c r="E645" t="str">
        <f t="shared" si="222"/>
        <v>1</v>
      </c>
      <c r="F645" t="str">
        <f t="shared" si="219"/>
        <v>COM</v>
      </c>
      <c r="G645" t="str">
        <f t="shared" ref="G645:G661" si="225">"FARMÁCIA INDIANA LJ 1 (10126)"</f>
        <v>FARMÁCIA INDIANA LJ 1 (10126)</v>
      </c>
      <c r="H645" t="s">
        <v>199</v>
      </c>
      <c r="I645" t="str">
        <f t="shared" si="223"/>
        <v>14/01/2026</v>
      </c>
      <c r="J645" t="str">
        <f t="shared" ref="J645:J661" si="226">("06/01/2026")</f>
        <v>06/01/2026</v>
      </c>
      <c r="K645">
        <v>46038</v>
      </c>
      <c r="N645">
        <v>303</v>
      </c>
      <c r="O645" t="s">
        <v>26</v>
      </c>
      <c r="Q645">
        <v>50.16</v>
      </c>
      <c r="R645" t="str">
        <f>"FARMÁCIA INDIANA LJ 182 (10079)"</f>
        <v>FARMÁCIA INDIANA LJ 182 (10079)</v>
      </c>
      <c r="S645" t="s">
        <v>27</v>
      </c>
      <c r="T645">
        <v>4113</v>
      </c>
      <c r="U645">
        <v>3270</v>
      </c>
      <c r="V645" t="s">
        <v>22</v>
      </c>
    </row>
    <row r="646" spans="1:22">
      <c r="A646" t="str">
        <f t="shared" si="218"/>
        <v>16/01/2026</v>
      </c>
      <c r="B646" t="str">
        <f t="shared" si="220"/>
        <v>ENTRADA</v>
      </c>
      <c r="C646" t="str">
        <f t="shared" si="221"/>
        <v>NFSE</v>
      </c>
      <c r="D646" t="str">
        <f t="shared" si="224"/>
        <v>31</v>
      </c>
      <c r="E646" t="str">
        <f t="shared" si="222"/>
        <v>1</v>
      </c>
      <c r="F646" t="str">
        <f t="shared" si="219"/>
        <v>COM</v>
      </c>
      <c r="G646" t="str">
        <f t="shared" si="225"/>
        <v>FARMÁCIA INDIANA LJ 1 (10126)</v>
      </c>
      <c r="H646" t="s">
        <v>199</v>
      </c>
      <c r="I646" t="str">
        <f t="shared" si="223"/>
        <v>14/01/2026</v>
      </c>
      <c r="J646" t="str">
        <f t="shared" si="226"/>
        <v>06/01/2026</v>
      </c>
      <c r="K646">
        <v>46038</v>
      </c>
      <c r="N646">
        <v>303</v>
      </c>
      <c r="O646" t="s">
        <v>26</v>
      </c>
      <c r="Q646">
        <v>40.450000000000003</v>
      </c>
      <c r="R646" t="str">
        <f>"FARMÁCIA INDIANA LJ 184 (10080)"</f>
        <v>FARMÁCIA INDIANA LJ 184 (10080)</v>
      </c>
      <c r="S646" t="s">
        <v>27</v>
      </c>
      <c r="T646">
        <v>4113</v>
      </c>
      <c r="U646">
        <v>3270</v>
      </c>
      <c r="V646" t="s">
        <v>22</v>
      </c>
    </row>
    <row r="647" spans="1:22">
      <c r="A647" t="str">
        <f t="shared" si="218"/>
        <v>16/01/2026</v>
      </c>
      <c r="B647" t="str">
        <f t="shared" si="220"/>
        <v>ENTRADA</v>
      </c>
      <c r="C647" t="str">
        <f t="shared" si="221"/>
        <v>NFSE</v>
      </c>
      <c r="D647" t="str">
        <f t="shared" si="224"/>
        <v>31</v>
      </c>
      <c r="E647" t="str">
        <f t="shared" si="222"/>
        <v>1</v>
      </c>
      <c r="F647" t="str">
        <f t="shared" si="219"/>
        <v>COM</v>
      </c>
      <c r="G647" t="str">
        <f t="shared" si="225"/>
        <v>FARMÁCIA INDIANA LJ 1 (10126)</v>
      </c>
      <c r="H647" t="s">
        <v>199</v>
      </c>
      <c r="I647" t="str">
        <f t="shared" si="223"/>
        <v>14/01/2026</v>
      </c>
      <c r="J647" t="str">
        <f t="shared" si="226"/>
        <v>06/01/2026</v>
      </c>
      <c r="K647">
        <v>46038</v>
      </c>
      <c r="N647">
        <v>303</v>
      </c>
      <c r="O647" t="s">
        <v>26</v>
      </c>
      <c r="Q647">
        <v>50.16</v>
      </c>
      <c r="R647" t="str">
        <f>"FARMÁCIA INDIANA LJ 186 (10081)"</f>
        <v>FARMÁCIA INDIANA LJ 186 (10081)</v>
      </c>
      <c r="S647" t="s">
        <v>27</v>
      </c>
      <c r="T647">
        <v>4113</v>
      </c>
      <c r="U647">
        <v>3270</v>
      </c>
      <c r="V647" t="s">
        <v>22</v>
      </c>
    </row>
    <row r="648" spans="1:22">
      <c r="A648" t="str">
        <f t="shared" si="218"/>
        <v>16/01/2026</v>
      </c>
      <c r="B648" t="str">
        <f t="shared" si="220"/>
        <v>ENTRADA</v>
      </c>
      <c r="C648" t="str">
        <f t="shared" si="221"/>
        <v>NFSE</v>
      </c>
      <c r="D648" t="str">
        <f t="shared" si="224"/>
        <v>31</v>
      </c>
      <c r="E648" t="str">
        <f t="shared" si="222"/>
        <v>1</v>
      </c>
      <c r="F648" t="str">
        <f t="shared" si="219"/>
        <v>COM</v>
      </c>
      <c r="G648" t="str">
        <f t="shared" si="225"/>
        <v>FARMÁCIA INDIANA LJ 1 (10126)</v>
      </c>
      <c r="H648" t="s">
        <v>199</v>
      </c>
      <c r="I648" t="str">
        <f t="shared" si="223"/>
        <v>14/01/2026</v>
      </c>
      <c r="J648" t="str">
        <f t="shared" si="226"/>
        <v>06/01/2026</v>
      </c>
      <c r="K648">
        <v>46038</v>
      </c>
      <c r="N648">
        <v>303</v>
      </c>
      <c r="O648" t="s">
        <v>26</v>
      </c>
      <c r="Q648">
        <v>97.09</v>
      </c>
      <c r="R648" t="str">
        <f>"FARMÁCIA INDIANA LJ 192 (10082)"</f>
        <v>FARMÁCIA INDIANA LJ 192 (10082)</v>
      </c>
      <c r="S648" t="s">
        <v>27</v>
      </c>
      <c r="T648">
        <v>4113</v>
      </c>
      <c r="U648">
        <v>3270</v>
      </c>
      <c r="V648" t="s">
        <v>22</v>
      </c>
    </row>
    <row r="649" spans="1:22">
      <c r="A649" t="str">
        <f t="shared" si="218"/>
        <v>16/01/2026</v>
      </c>
      <c r="B649" t="str">
        <f t="shared" si="220"/>
        <v>ENTRADA</v>
      </c>
      <c r="C649" t="str">
        <f t="shared" si="221"/>
        <v>NFSE</v>
      </c>
      <c r="D649" t="str">
        <f t="shared" si="224"/>
        <v>31</v>
      </c>
      <c r="E649" t="str">
        <f t="shared" si="222"/>
        <v>1</v>
      </c>
      <c r="F649" t="str">
        <f t="shared" si="219"/>
        <v>COM</v>
      </c>
      <c r="G649" t="str">
        <f t="shared" si="225"/>
        <v>FARMÁCIA INDIANA LJ 1 (10126)</v>
      </c>
      <c r="H649" t="s">
        <v>199</v>
      </c>
      <c r="I649" t="str">
        <f t="shared" si="223"/>
        <v>14/01/2026</v>
      </c>
      <c r="J649" t="str">
        <f t="shared" si="226"/>
        <v>06/01/2026</v>
      </c>
      <c r="K649">
        <v>46038</v>
      </c>
      <c r="N649">
        <v>303</v>
      </c>
      <c r="O649" t="s">
        <v>26</v>
      </c>
      <c r="Q649">
        <v>40.450000000000003</v>
      </c>
      <c r="R649" t="str">
        <f>"FARMÁCIA INDIANA LJ 195 (10083)"</f>
        <v>FARMÁCIA INDIANA LJ 195 (10083)</v>
      </c>
      <c r="S649" t="s">
        <v>27</v>
      </c>
      <c r="T649">
        <v>4113</v>
      </c>
      <c r="U649">
        <v>3270</v>
      </c>
      <c r="V649" t="s">
        <v>22</v>
      </c>
    </row>
    <row r="650" spans="1:22">
      <c r="A650" t="str">
        <f t="shared" si="218"/>
        <v>16/01/2026</v>
      </c>
      <c r="B650" t="str">
        <f t="shared" si="220"/>
        <v>ENTRADA</v>
      </c>
      <c r="C650" t="str">
        <f t="shared" si="221"/>
        <v>NFSE</v>
      </c>
      <c r="D650" t="str">
        <f t="shared" si="224"/>
        <v>31</v>
      </c>
      <c r="E650" t="str">
        <f t="shared" si="222"/>
        <v>1</v>
      </c>
      <c r="F650" t="str">
        <f t="shared" si="219"/>
        <v>COM</v>
      </c>
      <c r="G650" t="str">
        <f t="shared" si="225"/>
        <v>FARMÁCIA INDIANA LJ 1 (10126)</v>
      </c>
      <c r="H650" t="s">
        <v>199</v>
      </c>
      <c r="I650" t="str">
        <f t="shared" si="223"/>
        <v>14/01/2026</v>
      </c>
      <c r="J650" t="str">
        <f t="shared" si="226"/>
        <v>06/01/2026</v>
      </c>
      <c r="K650">
        <v>46038</v>
      </c>
      <c r="N650">
        <v>303</v>
      </c>
      <c r="O650" t="s">
        <v>26</v>
      </c>
      <c r="Q650">
        <v>100.33</v>
      </c>
      <c r="R650" t="str">
        <f>"FARMÁCIA INDIANA LJ 202 (10085)"</f>
        <v>FARMÁCIA INDIANA LJ 202 (10085)</v>
      </c>
      <c r="S650" t="s">
        <v>27</v>
      </c>
      <c r="T650">
        <v>4113</v>
      </c>
      <c r="U650">
        <v>3270</v>
      </c>
      <c r="V650" t="s">
        <v>22</v>
      </c>
    </row>
    <row r="651" spans="1:22">
      <c r="A651" t="str">
        <f t="shared" si="218"/>
        <v>16/01/2026</v>
      </c>
      <c r="B651" t="str">
        <f t="shared" si="220"/>
        <v>ENTRADA</v>
      </c>
      <c r="C651" t="str">
        <f t="shared" si="221"/>
        <v>NFSE</v>
      </c>
      <c r="D651" t="str">
        <f t="shared" si="224"/>
        <v>31</v>
      </c>
      <c r="E651" t="str">
        <f t="shared" si="222"/>
        <v>1</v>
      </c>
      <c r="F651" t="str">
        <f t="shared" si="219"/>
        <v>COM</v>
      </c>
      <c r="G651" t="str">
        <f t="shared" si="225"/>
        <v>FARMÁCIA INDIANA LJ 1 (10126)</v>
      </c>
      <c r="H651" t="s">
        <v>199</v>
      </c>
      <c r="I651" t="str">
        <f t="shared" si="223"/>
        <v>14/01/2026</v>
      </c>
      <c r="J651" t="str">
        <f t="shared" si="226"/>
        <v>06/01/2026</v>
      </c>
      <c r="K651">
        <v>46038</v>
      </c>
      <c r="N651">
        <v>303</v>
      </c>
      <c r="O651" t="s">
        <v>26</v>
      </c>
      <c r="Q651">
        <v>79.290000000000006</v>
      </c>
      <c r="R651" t="str">
        <f>"FARMÁCIA INDIANA LJ 204 (10087)"</f>
        <v>FARMÁCIA INDIANA LJ 204 (10087)</v>
      </c>
      <c r="S651" t="s">
        <v>27</v>
      </c>
      <c r="T651">
        <v>4113</v>
      </c>
      <c r="U651">
        <v>3270</v>
      </c>
      <c r="V651" t="s">
        <v>22</v>
      </c>
    </row>
    <row r="652" spans="1:22">
      <c r="A652" t="str">
        <f t="shared" si="218"/>
        <v>16/01/2026</v>
      </c>
      <c r="B652" t="str">
        <f t="shared" si="220"/>
        <v>ENTRADA</v>
      </c>
      <c r="C652" t="str">
        <f t="shared" si="221"/>
        <v>NFSE</v>
      </c>
      <c r="D652" t="str">
        <f t="shared" si="224"/>
        <v>31</v>
      </c>
      <c r="E652" t="str">
        <f t="shared" si="222"/>
        <v>1</v>
      </c>
      <c r="F652" t="str">
        <f t="shared" si="219"/>
        <v>COM</v>
      </c>
      <c r="G652" t="str">
        <f t="shared" si="225"/>
        <v>FARMÁCIA INDIANA LJ 1 (10126)</v>
      </c>
      <c r="H652" t="s">
        <v>199</v>
      </c>
      <c r="I652" t="str">
        <f t="shared" si="223"/>
        <v>14/01/2026</v>
      </c>
      <c r="J652" t="str">
        <f t="shared" si="226"/>
        <v>06/01/2026</v>
      </c>
      <c r="K652">
        <v>46038</v>
      </c>
      <c r="N652">
        <v>303</v>
      </c>
      <c r="O652" t="s">
        <v>26</v>
      </c>
      <c r="Q652">
        <v>147.25</v>
      </c>
      <c r="R652" t="str">
        <f>"FARMÁCIA INDIANA LJ 207 (10088)"</f>
        <v>FARMÁCIA INDIANA LJ 207 (10088)</v>
      </c>
      <c r="S652" t="s">
        <v>27</v>
      </c>
      <c r="T652">
        <v>4113</v>
      </c>
      <c r="U652">
        <v>3270</v>
      </c>
      <c r="V652" t="s">
        <v>22</v>
      </c>
    </row>
    <row r="653" spans="1:22">
      <c r="A653" t="str">
        <f t="shared" si="218"/>
        <v>16/01/2026</v>
      </c>
      <c r="B653" t="str">
        <f t="shared" si="220"/>
        <v>ENTRADA</v>
      </c>
      <c r="C653" t="str">
        <f t="shared" si="221"/>
        <v>NFSE</v>
      </c>
      <c r="D653" t="str">
        <f t="shared" si="224"/>
        <v>31</v>
      </c>
      <c r="E653" t="str">
        <f t="shared" si="222"/>
        <v>1</v>
      </c>
      <c r="F653" t="str">
        <f t="shared" si="219"/>
        <v>COM</v>
      </c>
      <c r="G653" t="str">
        <f t="shared" si="225"/>
        <v>FARMÁCIA INDIANA LJ 1 (10126)</v>
      </c>
      <c r="H653" t="s">
        <v>199</v>
      </c>
      <c r="I653" t="str">
        <f t="shared" si="223"/>
        <v>14/01/2026</v>
      </c>
      <c r="J653" t="str">
        <f t="shared" si="226"/>
        <v>06/01/2026</v>
      </c>
      <c r="K653">
        <v>46038</v>
      </c>
      <c r="N653">
        <v>303</v>
      </c>
      <c r="O653" t="s">
        <v>26</v>
      </c>
      <c r="Q653">
        <v>124.6</v>
      </c>
      <c r="R653" t="str">
        <f>"FARMÁCIA INDIANA LJ 209 (10089)"</f>
        <v>FARMÁCIA INDIANA LJ 209 (10089)</v>
      </c>
      <c r="S653" t="s">
        <v>27</v>
      </c>
      <c r="T653">
        <v>4113</v>
      </c>
      <c r="U653">
        <v>3270</v>
      </c>
      <c r="V653" t="s">
        <v>22</v>
      </c>
    </row>
    <row r="654" spans="1:22">
      <c r="A654" t="str">
        <f t="shared" si="218"/>
        <v>16/01/2026</v>
      </c>
      <c r="B654" t="str">
        <f t="shared" si="220"/>
        <v>ENTRADA</v>
      </c>
      <c r="C654" t="str">
        <f t="shared" si="221"/>
        <v>NFSE</v>
      </c>
      <c r="D654" t="str">
        <f t="shared" si="224"/>
        <v>31</v>
      </c>
      <c r="E654" t="str">
        <f t="shared" si="222"/>
        <v>1</v>
      </c>
      <c r="F654" t="str">
        <f t="shared" si="219"/>
        <v>COM</v>
      </c>
      <c r="G654" t="str">
        <f t="shared" si="225"/>
        <v>FARMÁCIA INDIANA LJ 1 (10126)</v>
      </c>
      <c r="H654" t="s">
        <v>199</v>
      </c>
      <c r="I654" t="str">
        <f t="shared" si="223"/>
        <v>14/01/2026</v>
      </c>
      <c r="J654" t="str">
        <f t="shared" si="226"/>
        <v>06/01/2026</v>
      </c>
      <c r="K654">
        <v>46038</v>
      </c>
      <c r="N654">
        <v>303</v>
      </c>
      <c r="O654" t="s">
        <v>26</v>
      </c>
      <c r="Q654">
        <v>276.70999999999998</v>
      </c>
      <c r="R654" t="str">
        <f>"FARMÁCIA INDIANA LJ 219 (10091)"</f>
        <v>FARMÁCIA INDIANA LJ 219 (10091)</v>
      </c>
      <c r="S654" t="s">
        <v>27</v>
      </c>
      <c r="T654">
        <v>4113</v>
      </c>
      <c r="U654">
        <v>3270</v>
      </c>
      <c r="V654" t="s">
        <v>22</v>
      </c>
    </row>
    <row r="655" spans="1:22">
      <c r="A655" t="str">
        <f t="shared" si="218"/>
        <v>16/01/2026</v>
      </c>
      <c r="B655" t="str">
        <f t="shared" si="220"/>
        <v>ENTRADA</v>
      </c>
      <c r="C655" t="str">
        <f t="shared" si="221"/>
        <v>NFSE</v>
      </c>
      <c r="D655" t="str">
        <f t="shared" si="224"/>
        <v>31</v>
      </c>
      <c r="E655" t="str">
        <f t="shared" si="222"/>
        <v>1</v>
      </c>
      <c r="F655" t="str">
        <f t="shared" si="219"/>
        <v>COM</v>
      </c>
      <c r="G655" t="str">
        <f t="shared" si="225"/>
        <v>FARMÁCIA INDIANA LJ 1 (10126)</v>
      </c>
      <c r="H655" t="s">
        <v>199</v>
      </c>
      <c r="I655" t="str">
        <f t="shared" si="223"/>
        <v>14/01/2026</v>
      </c>
      <c r="J655" t="str">
        <f t="shared" si="226"/>
        <v>06/01/2026</v>
      </c>
      <c r="K655">
        <v>46038</v>
      </c>
      <c r="N655">
        <v>303</v>
      </c>
      <c r="O655" t="s">
        <v>26</v>
      </c>
      <c r="Q655">
        <v>438.52</v>
      </c>
      <c r="R655" t="str">
        <f>"FARMÁCIA INDIANA LJ 220 (10092)"</f>
        <v>FARMÁCIA INDIANA LJ 220 (10092)</v>
      </c>
      <c r="S655" t="s">
        <v>27</v>
      </c>
      <c r="T655">
        <v>4113</v>
      </c>
      <c r="U655">
        <v>3270</v>
      </c>
      <c r="V655" t="s">
        <v>22</v>
      </c>
    </row>
    <row r="656" spans="1:22">
      <c r="A656" t="str">
        <f t="shared" si="218"/>
        <v>16/01/2026</v>
      </c>
      <c r="B656" t="str">
        <f t="shared" si="220"/>
        <v>ENTRADA</v>
      </c>
      <c r="C656" t="str">
        <f t="shared" si="221"/>
        <v>NFSE</v>
      </c>
      <c r="D656" t="str">
        <f t="shared" si="224"/>
        <v>31</v>
      </c>
      <c r="E656" t="str">
        <f t="shared" si="222"/>
        <v>1</v>
      </c>
      <c r="F656" t="str">
        <f t="shared" si="219"/>
        <v>COM</v>
      </c>
      <c r="G656" t="str">
        <f t="shared" si="225"/>
        <v>FARMÁCIA INDIANA LJ 1 (10126)</v>
      </c>
      <c r="H656" t="s">
        <v>199</v>
      </c>
      <c r="I656" t="str">
        <f t="shared" si="223"/>
        <v>14/01/2026</v>
      </c>
      <c r="J656" t="str">
        <f t="shared" si="226"/>
        <v>06/01/2026</v>
      </c>
      <c r="K656">
        <v>46038</v>
      </c>
      <c r="N656">
        <v>303</v>
      </c>
      <c r="O656" t="s">
        <v>26</v>
      </c>
      <c r="Q656">
        <v>114.89</v>
      </c>
      <c r="R656" t="str">
        <f>"FARMÁCIA INDIANA LJ 185 (10141)"</f>
        <v>FARMÁCIA INDIANA LJ 185 (10141)</v>
      </c>
      <c r="S656" t="s">
        <v>27</v>
      </c>
      <c r="T656">
        <v>4113</v>
      </c>
      <c r="U656">
        <v>3270</v>
      </c>
      <c r="V656" t="s">
        <v>22</v>
      </c>
    </row>
    <row r="657" spans="1:22">
      <c r="A657" t="str">
        <f t="shared" si="218"/>
        <v>16/01/2026</v>
      </c>
      <c r="B657" t="str">
        <f t="shared" si="220"/>
        <v>ENTRADA</v>
      </c>
      <c r="C657" t="str">
        <f t="shared" si="221"/>
        <v>NFSE</v>
      </c>
      <c r="D657" t="str">
        <f t="shared" si="224"/>
        <v>31</v>
      </c>
      <c r="E657" t="str">
        <f t="shared" si="222"/>
        <v>1</v>
      </c>
      <c r="F657" t="str">
        <f t="shared" si="219"/>
        <v>COM</v>
      </c>
      <c r="G657" t="str">
        <f t="shared" si="225"/>
        <v>FARMÁCIA INDIANA LJ 1 (10126)</v>
      </c>
      <c r="H657" t="s">
        <v>199</v>
      </c>
      <c r="I657" t="str">
        <f t="shared" si="223"/>
        <v>14/01/2026</v>
      </c>
      <c r="J657" t="str">
        <f t="shared" si="226"/>
        <v>06/01/2026</v>
      </c>
      <c r="K657">
        <v>46038</v>
      </c>
      <c r="N657">
        <v>303</v>
      </c>
      <c r="O657" t="s">
        <v>26</v>
      </c>
      <c r="Q657">
        <v>106.8</v>
      </c>
      <c r="R657" t="str">
        <f>"FARMÁCIA INDIANA LJ 205 (10150)"</f>
        <v>FARMÁCIA INDIANA LJ 205 (10150)</v>
      </c>
      <c r="S657" t="s">
        <v>27</v>
      </c>
      <c r="T657">
        <v>4113</v>
      </c>
      <c r="U657">
        <v>3270</v>
      </c>
      <c r="V657" t="s">
        <v>22</v>
      </c>
    </row>
    <row r="658" spans="1:22">
      <c r="A658" t="str">
        <f t="shared" si="218"/>
        <v>16/01/2026</v>
      </c>
      <c r="B658" t="str">
        <f t="shared" si="220"/>
        <v>ENTRADA</v>
      </c>
      <c r="C658" t="str">
        <f t="shared" si="221"/>
        <v>NFSE</v>
      </c>
      <c r="D658" t="str">
        <f t="shared" si="224"/>
        <v>31</v>
      </c>
      <c r="E658" t="str">
        <f t="shared" si="222"/>
        <v>1</v>
      </c>
      <c r="F658" t="str">
        <f t="shared" si="219"/>
        <v>COM</v>
      </c>
      <c r="G658" t="str">
        <f t="shared" si="225"/>
        <v>FARMÁCIA INDIANA LJ 1 (10126)</v>
      </c>
      <c r="H658" t="s">
        <v>199</v>
      </c>
      <c r="I658" t="str">
        <f t="shared" si="223"/>
        <v>14/01/2026</v>
      </c>
      <c r="J658" t="str">
        <f t="shared" si="226"/>
        <v>06/01/2026</v>
      </c>
      <c r="K658">
        <v>46038</v>
      </c>
      <c r="N658">
        <v>303</v>
      </c>
      <c r="O658" t="s">
        <v>26</v>
      </c>
      <c r="Q658">
        <v>682.86</v>
      </c>
      <c r="R658" t="str">
        <f>"FARMÁCIA INDIANA LJ 172 (10161)"</f>
        <v>FARMÁCIA INDIANA LJ 172 (10161)</v>
      </c>
      <c r="S658" t="s">
        <v>27</v>
      </c>
      <c r="T658">
        <v>4113</v>
      </c>
      <c r="U658">
        <v>3270</v>
      </c>
      <c r="V658" t="s">
        <v>22</v>
      </c>
    </row>
    <row r="659" spans="1:22">
      <c r="A659" t="str">
        <f t="shared" si="218"/>
        <v>16/01/2026</v>
      </c>
      <c r="B659" t="str">
        <f t="shared" si="220"/>
        <v>ENTRADA</v>
      </c>
      <c r="C659" t="str">
        <f t="shared" si="221"/>
        <v>NFSE</v>
      </c>
      <c r="D659" t="str">
        <f t="shared" si="224"/>
        <v>31</v>
      </c>
      <c r="E659" t="str">
        <f t="shared" si="222"/>
        <v>1</v>
      </c>
      <c r="F659" t="str">
        <f t="shared" si="219"/>
        <v>COM</v>
      </c>
      <c r="G659" t="str">
        <f t="shared" si="225"/>
        <v>FARMÁCIA INDIANA LJ 1 (10126)</v>
      </c>
      <c r="H659" t="s">
        <v>199</v>
      </c>
      <c r="I659" t="str">
        <f t="shared" si="223"/>
        <v>14/01/2026</v>
      </c>
      <c r="J659" t="str">
        <f t="shared" si="226"/>
        <v>06/01/2026</v>
      </c>
      <c r="K659">
        <v>46038</v>
      </c>
      <c r="N659">
        <v>303</v>
      </c>
      <c r="O659" t="s">
        <v>26</v>
      </c>
      <c r="Q659">
        <v>79.290000000000006</v>
      </c>
      <c r="R659" t="str">
        <f>"FARMÁCIA INDIANA LJ 266 (10186)"</f>
        <v>FARMÁCIA INDIANA LJ 266 (10186)</v>
      </c>
      <c r="S659" t="s">
        <v>27</v>
      </c>
      <c r="T659">
        <v>4113</v>
      </c>
      <c r="U659">
        <v>3270</v>
      </c>
      <c r="V659" t="s">
        <v>22</v>
      </c>
    </row>
    <row r="660" spans="1:22">
      <c r="A660" t="str">
        <f t="shared" si="218"/>
        <v>16/01/2026</v>
      </c>
      <c r="B660" t="str">
        <f t="shared" si="220"/>
        <v>ENTRADA</v>
      </c>
      <c r="C660" t="str">
        <f t="shared" si="221"/>
        <v>NFSE</v>
      </c>
      <c r="D660" t="str">
        <f t="shared" si="224"/>
        <v>31</v>
      </c>
      <c r="E660" t="str">
        <f t="shared" si="222"/>
        <v>1</v>
      </c>
      <c r="F660" t="str">
        <f t="shared" si="219"/>
        <v>COM</v>
      </c>
      <c r="G660" t="str">
        <f t="shared" si="225"/>
        <v>FARMÁCIA INDIANA LJ 1 (10126)</v>
      </c>
      <c r="H660" t="s">
        <v>199</v>
      </c>
      <c r="I660" t="str">
        <f t="shared" si="223"/>
        <v>14/01/2026</v>
      </c>
      <c r="J660" t="str">
        <f t="shared" si="226"/>
        <v>06/01/2026</v>
      </c>
      <c r="K660">
        <v>46038</v>
      </c>
      <c r="N660">
        <v>303</v>
      </c>
      <c r="O660" t="s">
        <v>26</v>
      </c>
      <c r="Q660">
        <v>142.4</v>
      </c>
      <c r="R660" t="str">
        <f>"FARMÁCIA INDIANA LJ 134 (10271)"</f>
        <v>FARMÁCIA INDIANA LJ 134 (10271)</v>
      </c>
      <c r="S660" t="s">
        <v>27</v>
      </c>
      <c r="T660">
        <v>4113</v>
      </c>
      <c r="U660">
        <v>3270</v>
      </c>
      <c r="V660" t="s">
        <v>22</v>
      </c>
    </row>
    <row r="661" spans="1:22">
      <c r="A661" t="str">
        <f t="shared" si="218"/>
        <v>16/01/2026</v>
      </c>
      <c r="B661" t="str">
        <f t="shared" si="220"/>
        <v>ENTRADA</v>
      </c>
      <c r="C661" t="str">
        <f t="shared" si="221"/>
        <v>NFSE</v>
      </c>
      <c r="D661" t="str">
        <f t="shared" si="224"/>
        <v>31</v>
      </c>
      <c r="E661" t="str">
        <f t="shared" si="222"/>
        <v>1</v>
      </c>
      <c r="F661" t="str">
        <f t="shared" si="219"/>
        <v>COM</v>
      </c>
      <c r="G661" t="str">
        <f t="shared" si="225"/>
        <v>FARMÁCIA INDIANA LJ 1 (10126)</v>
      </c>
      <c r="H661" t="s">
        <v>199</v>
      </c>
      <c r="I661" t="str">
        <f t="shared" si="223"/>
        <v>14/01/2026</v>
      </c>
      <c r="J661" t="str">
        <f t="shared" si="226"/>
        <v>06/01/2026</v>
      </c>
      <c r="K661">
        <v>46038</v>
      </c>
      <c r="N661">
        <v>303</v>
      </c>
      <c r="O661" t="s">
        <v>26</v>
      </c>
      <c r="Q661">
        <v>142.4</v>
      </c>
      <c r="R661" t="str">
        <f>"FARMÁCIA INDIANA LJ 284 (10280)"</f>
        <v>FARMÁCIA INDIANA LJ 284 (10280)</v>
      </c>
      <c r="S661" t="s">
        <v>27</v>
      </c>
      <c r="T661">
        <v>4113</v>
      </c>
      <c r="U661">
        <v>3270</v>
      </c>
      <c r="V661" t="s">
        <v>22</v>
      </c>
    </row>
    <row r="662" spans="1:22">
      <c r="A662" t="str">
        <f t="shared" si="218"/>
        <v>16/01/2026</v>
      </c>
      <c r="B662" t="str">
        <f t="shared" si="220"/>
        <v>ENTRADA</v>
      </c>
      <c r="C662" t="str">
        <f>"APLICACAO"</f>
        <v>APLICACAO</v>
      </c>
      <c r="D662" t="str">
        <f>""</f>
        <v/>
      </c>
      <c r="F662" t="str">
        <f>"APL"</f>
        <v>APL</v>
      </c>
      <c r="G662" t="str">
        <f>""</f>
        <v/>
      </c>
      <c r="H662" t="str">
        <f>"APLIC.FINANC.AVISO PREVIO"</f>
        <v>APLIC.FINANC.AVISO PREVIO</v>
      </c>
      <c r="I662" t="str">
        <f t="shared" ref="I662:K663" si="227">("16/01/2026")</f>
        <v>16/01/2026</v>
      </c>
      <c r="J662" t="str">
        <f t="shared" si="227"/>
        <v>16/01/2026</v>
      </c>
      <c r="K662" t="str">
        <f t="shared" si="227"/>
        <v>16/01/2026</v>
      </c>
      <c r="N662">
        <v>121</v>
      </c>
      <c r="O662" t="str">
        <f>"APLICAÇÃO BANCO A"</f>
        <v>APLICAÇÃO BANCO A</v>
      </c>
      <c r="P662">
        <v>20000</v>
      </c>
      <c r="S662" t="str">
        <f>"APLICAÇÃO BANCO A (121)"</f>
        <v>APLICAÇÃO BANCO A (121)</v>
      </c>
      <c r="T662">
        <v>4145</v>
      </c>
      <c r="U662">
        <v>0</v>
      </c>
      <c r="V662" t="s">
        <v>200</v>
      </c>
    </row>
    <row r="663" spans="1:22">
      <c r="A663" t="str">
        <f t="shared" si="218"/>
        <v>16/01/2026</v>
      </c>
      <c r="B663" t="str">
        <f t="shared" ref="B663:B671" si="228">"SAÍDA"</f>
        <v>SAÍDA</v>
      </c>
      <c r="C663" t="str">
        <f>"APLICACAO"</f>
        <v>APLICACAO</v>
      </c>
      <c r="D663" t="str">
        <f>""</f>
        <v/>
      </c>
      <c r="F663" t="str">
        <f>"APL"</f>
        <v>APL</v>
      </c>
      <c r="G663" t="str">
        <f>""</f>
        <v/>
      </c>
      <c r="H663" t="str">
        <f>"APLIC.FINANC.AVISO PREVIO"</f>
        <v>APLIC.FINANC.AVISO PREVIO</v>
      </c>
      <c r="I663" t="str">
        <f t="shared" si="227"/>
        <v>16/01/2026</v>
      </c>
      <c r="J663" t="str">
        <f t="shared" si="227"/>
        <v>16/01/2026</v>
      </c>
      <c r="K663" t="str">
        <f t="shared" si="227"/>
        <v>16/01/2026</v>
      </c>
      <c r="N663">
        <v>131</v>
      </c>
      <c r="O663" t="str">
        <f>"BANCO SICREDI"</f>
        <v>BANCO SICREDI</v>
      </c>
      <c r="S663" t="str">
        <f>"BANCO SICREDI (131)"</f>
        <v>BANCO SICREDI (131)</v>
      </c>
      <c r="T663">
        <v>4145</v>
      </c>
      <c r="U663">
        <v>0</v>
      </c>
      <c r="V663" t="s">
        <v>88</v>
      </c>
    </row>
    <row r="664" spans="1:22">
      <c r="A664" t="str">
        <f>("17/01/2026")</f>
        <v>17/01/2026</v>
      </c>
      <c r="B664" t="str">
        <f t="shared" si="228"/>
        <v>SAÍDA</v>
      </c>
      <c r="C664" t="str">
        <f t="shared" ref="C664:C671" si="229">"PIX"</f>
        <v>PIX</v>
      </c>
      <c r="D664" t="str">
        <f>"1701"</f>
        <v>1701</v>
      </c>
      <c r="E664" t="str">
        <f t="shared" ref="E664:E671" si="230">"26"</f>
        <v>26</v>
      </c>
      <c r="F664" t="str">
        <f t="shared" ref="F664:F674" si="231">"COM"</f>
        <v>COM</v>
      </c>
      <c r="G664" t="str">
        <f>"YURI RODRIGUES OLIVEIRA (20064)"</f>
        <v>YURI RODRIGUES OLIVEIRA (20064)</v>
      </c>
      <c r="H664" t="str">
        <f>"COMISSAO VENDAS SETUP - PAGO PARA LUCAS GABRIEL SILVA SANTOS"</f>
        <v>COMISSAO VENDAS SETUP - PAGO PARA LUCAS GABRIEL SILVA SANTOS</v>
      </c>
      <c r="I664" t="str">
        <f>("17/01/2026")</f>
        <v>17/01/2026</v>
      </c>
      <c r="J664" t="str">
        <f>("17/01/2026")</f>
        <v>17/01/2026</v>
      </c>
      <c r="K664" t="str">
        <f>("17/01/2026")</f>
        <v>17/01/2026</v>
      </c>
      <c r="L664">
        <v>1350</v>
      </c>
      <c r="M664">
        <v>1350</v>
      </c>
      <c r="N664">
        <v>126</v>
      </c>
      <c r="O664" t="str">
        <f>"COMISSÕES DE REPRESENTANTES"</f>
        <v>COMISSÕES DE REPRESENTANTES</v>
      </c>
      <c r="P664">
        <v>1350</v>
      </c>
      <c r="S664" t="str">
        <f>"BANCO CORA (102)"</f>
        <v>BANCO CORA (102)</v>
      </c>
      <c r="T664">
        <v>4183</v>
      </c>
      <c r="U664">
        <v>3757</v>
      </c>
      <c r="V664" t="s">
        <v>22</v>
      </c>
    </row>
    <row r="665" spans="1:22">
      <c r="A665" t="str">
        <f>("17/01/2026")</f>
        <v>17/01/2026</v>
      </c>
      <c r="B665" t="str">
        <f t="shared" si="228"/>
        <v>SAÍDA</v>
      </c>
      <c r="C665" t="str">
        <f t="shared" si="229"/>
        <v>PIX</v>
      </c>
      <c r="D665" t="str">
        <f>"1701"</f>
        <v>1701</v>
      </c>
      <c r="E665" t="str">
        <f t="shared" si="230"/>
        <v>26</v>
      </c>
      <c r="F665" t="str">
        <f t="shared" si="231"/>
        <v>COM</v>
      </c>
      <c r="G665" t="str">
        <f>"YURI RODRIGUES OLIVEIRA (20064)"</f>
        <v>YURI RODRIGUES OLIVEIRA (20064)</v>
      </c>
      <c r="H665" t="s">
        <v>201</v>
      </c>
      <c r="I665" t="str">
        <f t="shared" ref="I665:J667" si="232">("17/01/2026")</f>
        <v>17/01/2026</v>
      </c>
      <c r="J665" t="str">
        <f t="shared" si="232"/>
        <v>17/01/2026</v>
      </c>
      <c r="K665">
        <v>46039</v>
      </c>
      <c r="N665">
        <v>126</v>
      </c>
      <c r="O665" t="s">
        <v>193</v>
      </c>
      <c r="Q665">
        <v>1350</v>
      </c>
      <c r="R665" t="str">
        <f>"YURI RODRIGUES OLIVEIRA (20064)"</f>
        <v>YURI RODRIGUES OLIVEIRA (20064)</v>
      </c>
      <c r="S665" t="s">
        <v>22</v>
      </c>
      <c r="T665">
        <v>4183</v>
      </c>
      <c r="U665">
        <v>3757</v>
      </c>
      <c r="V665" t="s">
        <v>22</v>
      </c>
    </row>
    <row r="666" spans="1:22">
      <c r="A666" t="str">
        <f>("17/01/2026")</f>
        <v>17/01/2026</v>
      </c>
      <c r="B666" t="str">
        <f t="shared" si="228"/>
        <v>SAÍDA</v>
      </c>
      <c r="C666" t="str">
        <f t="shared" si="229"/>
        <v>PIX</v>
      </c>
      <c r="D666" t="str">
        <f>"1701"</f>
        <v>1701</v>
      </c>
      <c r="E666" t="str">
        <f t="shared" si="230"/>
        <v>26</v>
      </c>
      <c r="F666" t="str">
        <f t="shared" si="231"/>
        <v>COM</v>
      </c>
      <c r="G666" t="str">
        <f>"YURI RODRIGUES OLIVEIRA (20064)"</f>
        <v>YURI RODRIGUES OLIVEIRA (20064)</v>
      </c>
      <c r="H666" t="str">
        <f>"COMISSAO VENDAS SETUP"</f>
        <v>COMISSAO VENDAS SETUP</v>
      </c>
      <c r="I666" t="str">
        <f t="shared" si="232"/>
        <v>17/01/2026</v>
      </c>
      <c r="J666" t="str">
        <f t="shared" si="232"/>
        <v>17/01/2026</v>
      </c>
      <c r="K666" t="str">
        <f>("17/01/2026")</f>
        <v>17/01/2026</v>
      </c>
      <c r="L666">
        <v>1350</v>
      </c>
      <c r="M666">
        <v>1350</v>
      </c>
      <c r="N666">
        <v>126</v>
      </c>
      <c r="O666" t="str">
        <f>"COMISSÕES DE REPRESENTANTES"</f>
        <v>COMISSÕES DE REPRESENTANTES</v>
      </c>
      <c r="P666">
        <v>1350</v>
      </c>
      <c r="S666" t="str">
        <f>"BANCO CORA (102)"</f>
        <v>BANCO CORA (102)</v>
      </c>
      <c r="T666">
        <v>4184</v>
      </c>
      <c r="U666">
        <v>3758</v>
      </c>
      <c r="V666" t="s">
        <v>22</v>
      </c>
    </row>
    <row r="667" spans="1:22">
      <c r="A667" t="str">
        <f>("17/01/2026")</f>
        <v>17/01/2026</v>
      </c>
      <c r="B667" t="str">
        <f t="shared" si="228"/>
        <v>SAÍDA</v>
      </c>
      <c r="C667" t="str">
        <f t="shared" si="229"/>
        <v>PIX</v>
      </c>
      <c r="D667" t="str">
        <f>"1701"</f>
        <v>1701</v>
      </c>
      <c r="E667" t="str">
        <f t="shared" si="230"/>
        <v>26</v>
      </c>
      <c r="F667" t="str">
        <f t="shared" si="231"/>
        <v>COM</v>
      </c>
      <c r="G667" t="str">
        <f>"YURI RODRIGUES OLIVEIRA (20064)"</f>
        <v>YURI RODRIGUES OLIVEIRA (20064)</v>
      </c>
      <c r="H667" t="s">
        <v>202</v>
      </c>
      <c r="I667" t="str">
        <f t="shared" si="232"/>
        <v>17/01/2026</v>
      </c>
      <c r="J667" t="str">
        <f t="shared" si="232"/>
        <v>17/01/2026</v>
      </c>
      <c r="K667">
        <v>46039</v>
      </c>
      <c r="N667">
        <v>126</v>
      </c>
      <c r="O667" t="s">
        <v>193</v>
      </c>
      <c r="Q667">
        <v>1350</v>
      </c>
      <c r="R667" t="str">
        <f>"YURI RODRIGUES OLIVEIRA (20064)"</f>
        <v>YURI RODRIGUES OLIVEIRA (20064)</v>
      </c>
      <c r="S667" t="s">
        <v>22</v>
      </c>
      <c r="T667">
        <v>4184</v>
      </c>
      <c r="U667">
        <v>3758</v>
      </c>
      <c r="V667" t="s">
        <v>22</v>
      </c>
    </row>
    <row r="668" spans="1:22">
      <c r="A668" t="str">
        <f t="shared" ref="A668:A680" si="233">("19/01/2026")</f>
        <v>19/01/2026</v>
      </c>
      <c r="B668" t="str">
        <f t="shared" si="228"/>
        <v>SAÍDA</v>
      </c>
      <c r="C668" t="str">
        <f t="shared" si="229"/>
        <v>PIX</v>
      </c>
      <c r="D668" t="str">
        <f>"1601"</f>
        <v>1601</v>
      </c>
      <c r="E668" t="str">
        <f t="shared" si="230"/>
        <v>26</v>
      </c>
      <c r="F668" t="str">
        <f t="shared" si="231"/>
        <v>COM</v>
      </c>
      <c r="G668" t="str">
        <f>"NATAN ALVES DA SILVA SA (20005)"</f>
        <v>NATAN ALVES DA SILVA SA (20005)</v>
      </c>
      <c r="H668" t="str">
        <f>"DISTRIBUIÇÃO DE LUCROS ANUAL "</f>
        <v xml:space="preserve">DISTRIBUIÇÃO DE LUCROS ANUAL </v>
      </c>
      <c r="I668" t="str">
        <f>("19/01/2026")</f>
        <v>19/01/2026</v>
      </c>
      <c r="J668" t="str">
        <f>("31/12/2025")</f>
        <v>31/12/2025</v>
      </c>
      <c r="K668" t="str">
        <f>("19/01/2026")</f>
        <v>19/01/2026</v>
      </c>
      <c r="L668">
        <v>11315.27</v>
      </c>
      <c r="M668">
        <v>11315.27</v>
      </c>
      <c r="N668">
        <v>125</v>
      </c>
      <c r="O668" t="str">
        <f>"DISTRIBUIÇÃO DE LUCRO"</f>
        <v>DISTRIBUIÇÃO DE LUCRO</v>
      </c>
      <c r="P668">
        <v>11315.27</v>
      </c>
      <c r="S668" t="str">
        <f>"BANCO SICREDI (131)"</f>
        <v>BANCO SICREDI (131)</v>
      </c>
      <c r="T668">
        <v>3934</v>
      </c>
      <c r="U668">
        <v>3463</v>
      </c>
      <c r="V668" t="s">
        <v>88</v>
      </c>
    </row>
    <row r="669" spans="1:22">
      <c r="A669" t="str">
        <f t="shared" si="233"/>
        <v>19/01/2026</v>
      </c>
      <c r="B669" t="str">
        <f t="shared" si="228"/>
        <v>SAÍDA</v>
      </c>
      <c r="C669" t="str">
        <f t="shared" si="229"/>
        <v>PIX</v>
      </c>
      <c r="D669" t="str">
        <f>"1601"</f>
        <v>1601</v>
      </c>
      <c r="E669" t="str">
        <f t="shared" si="230"/>
        <v>26</v>
      </c>
      <c r="F669" t="str">
        <f t="shared" si="231"/>
        <v>COM</v>
      </c>
      <c r="G669" t="str">
        <f>"54.235.509 ROBERT MAGDIEL DE CARVALHO (20004)"</f>
        <v>54.235.509 ROBERT MAGDIEL DE CARVALHO (20004)</v>
      </c>
      <c r="H669" t="str">
        <f>"DISTRIBUIÇÃO DE LUCROS ANUAL "</f>
        <v xml:space="preserve">DISTRIBUIÇÃO DE LUCROS ANUAL </v>
      </c>
      <c r="I669" t="str">
        <f>("19/01/2026")</f>
        <v>19/01/2026</v>
      </c>
      <c r="J669" t="str">
        <f>("31/12/2025")</f>
        <v>31/12/2025</v>
      </c>
      <c r="K669" t="str">
        <f>("19/01/2026")</f>
        <v>19/01/2026</v>
      </c>
      <c r="L669">
        <v>11315.27</v>
      </c>
      <c r="M669">
        <v>11315.27</v>
      </c>
      <c r="N669">
        <v>125</v>
      </c>
      <c r="O669" t="str">
        <f>"DISTRIBUIÇÃO DE LUCRO"</f>
        <v>DISTRIBUIÇÃO DE LUCRO</v>
      </c>
      <c r="P669">
        <v>11315.27</v>
      </c>
      <c r="S669" t="str">
        <f>"BANCO SICREDI (131)"</f>
        <v>BANCO SICREDI (131)</v>
      </c>
      <c r="T669">
        <v>3935</v>
      </c>
      <c r="U669">
        <v>3462</v>
      </c>
      <c r="V669" t="s">
        <v>88</v>
      </c>
    </row>
    <row r="670" spans="1:22">
      <c r="A670" t="str">
        <f t="shared" si="233"/>
        <v>19/01/2026</v>
      </c>
      <c r="B670" t="str">
        <f t="shared" si="228"/>
        <v>SAÍDA</v>
      </c>
      <c r="C670" t="str">
        <f t="shared" si="229"/>
        <v>PIX</v>
      </c>
      <c r="D670" t="str">
        <f>"1601"</f>
        <v>1601</v>
      </c>
      <c r="E670" t="str">
        <f t="shared" si="230"/>
        <v>26</v>
      </c>
      <c r="F670" t="str">
        <f t="shared" si="231"/>
        <v>COM</v>
      </c>
      <c r="G670" t="str">
        <f>"EDSON BARROS DOS SANTOS 10882852604 (20025)"</f>
        <v>EDSON BARROS DOS SANTOS 10882852604 (20025)</v>
      </c>
      <c r="H670" t="str">
        <f>"DISTRIBUIÇÃO DE LUCROS ANUAL "</f>
        <v xml:space="preserve">DISTRIBUIÇÃO DE LUCROS ANUAL </v>
      </c>
      <c r="I670" t="str">
        <f>("19/01/2026")</f>
        <v>19/01/2026</v>
      </c>
      <c r="J670" t="str">
        <f>("31/12/2025")</f>
        <v>31/12/2025</v>
      </c>
      <c r="K670" t="str">
        <f>("19/01/2026")</f>
        <v>19/01/2026</v>
      </c>
      <c r="L670">
        <v>11315.27</v>
      </c>
      <c r="M670">
        <v>11315.27</v>
      </c>
      <c r="N670">
        <v>125</v>
      </c>
      <c r="O670" t="str">
        <f>"DISTRIBUIÇÃO DE LUCRO"</f>
        <v>DISTRIBUIÇÃO DE LUCRO</v>
      </c>
      <c r="P670">
        <v>11315.27</v>
      </c>
      <c r="S670" t="str">
        <f>"BANCO SICREDI (131)"</f>
        <v>BANCO SICREDI (131)</v>
      </c>
      <c r="T670">
        <v>3936</v>
      </c>
      <c r="U670">
        <v>3464</v>
      </c>
      <c r="V670" t="s">
        <v>88</v>
      </c>
    </row>
    <row r="671" spans="1:22">
      <c r="A671" t="str">
        <f t="shared" si="233"/>
        <v>19/01/2026</v>
      </c>
      <c r="B671" t="str">
        <f t="shared" si="228"/>
        <v>SAÍDA</v>
      </c>
      <c r="C671" t="str">
        <f t="shared" si="229"/>
        <v>PIX</v>
      </c>
      <c r="D671" t="str">
        <f>"1601"</f>
        <v>1601</v>
      </c>
      <c r="E671" t="str">
        <f t="shared" si="230"/>
        <v>26</v>
      </c>
      <c r="F671" t="str">
        <f t="shared" si="231"/>
        <v>COM</v>
      </c>
      <c r="G671" t="str">
        <f>"ALBERTO KENNEDY ALMEIDA DE JESUS (20026)"</f>
        <v>ALBERTO KENNEDY ALMEIDA DE JESUS (20026)</v>
      </c>
      <c r="H671" t="str">
        <f>"DISTRIBUIÇÃO DE LUCROS ANUAL "</f>
        <v xml:space="preserve">DISTRIBUIÇÃO DE LUCROS ANUAL </v>
      </c>
      <c r="I671" t="str">
        <f>("19/01/2026")</f>
        <v>19/01/2026</v>
      </c>
      <c r="J671" t="str">
        <f>("31/12/2025")</f>
        <v>31/12/2025</v>
      </c>
      <c r="K671" t="str">
        <f>("19/01/2026")</f>
        <v>19/01/2026</v>
      </c>
      <c r="L671">
        <v>6986.48</v>
      </c>
      <c r="M671">
        <v>6986.48</v>
      </c>
      <c r="N671">
        <v>125</v>
      </c>
      <c r="O671" t="str">
        <f>"DISTRIBUIÇÃO DE LUCRO"</f>
        <v>DISTRIBUIÇÃO DE LUCRO</v>
      </c>
      <c r="P671">
        <v>6986.48</v>
      </c>
      <c r="S671" t="str">
        <f>"BANCO SICREDI (131)"</f>
        <v>BANCO SICREDI (131)</v>
      </c>
      <c r="T671">
        <v>3937</v>
      </c>
      <c r="U671">
        <v>3465</v>
      </c>
      <c r="V671" t="s">
        <v>88</v>
      </c>
    </row>
    <row r="672" spans="1:22">
      <c r="A672" t="str">
        <f t="shared" si="233"/>
        <v>19/01/2026</v>
      </c>
      <c r="B672" t="str">
        <f>"ENTRADA"</f>
        <v>ENTRADA</v>
      </c>
      <c r="C672" t="str">
        <f>"NFSE"</f>
        <v>NFSE</v>
      </c>
      <c r="D672" t="str">
        <f>"99"</f>
        <v>99</v>
      </c>
      <c r="E672" t="str">
        <f>"1"</f>
        <v>1</v>
      </c>
      <c r="F672" t="str">
        <f t="shared" si="231"/>
        <v>COM</v>
      </c>
      <c r="G672" t="str">
        <f>"BEM TE FAZ 01 (10283)"</f>
        <v>BEM TE FAZ 01 (10283)</v>
      </c>
      <c r="H672" t="str">
        <f>"Serv.Prest. 05/01/2026 a 11/01/2026 - RPS: 2025 - NFSe: 99"</f>
        <v>Serv.Prest. 05/01/2026 a 11/01/2026 - RPS: 2025 - NFSe: 99</v>
      </c>
      <c r="I672" t="str">
        <f>("16/01/2026")</f>
        <v>16/01/2026</v>
      </c>
      <c r="J672" t="str">
        <f>("15/01/2026")</f>
        <v>15/01/2026</v>
      </c>
      <c r="K672" t="str">
        <f>("19/01/2026")</f>
        <v>19/01/2026</v>
      </c>
      <c r="L672">
        <v>440.4</v>
      </c>
      <c r="M672">
        <v>440.4</v>
      </c>
      <c r="N672">
        <v>303</v>
      </c>
      <c r="O672" t="str">
        <f>"RECEITAS COM ENTREGAS"</f>
        <v>RECEITAS COM ENTREGAS</v>
      </c>
      <c r="P672">
        <v>440.4</v>
      </c>
      <c r="S672" t="str">
        <f>"RECEITAS COM ENTREGAS (303)"</f>
        <v>RECEITAS COM ENTREGAS (303)</v>
      </c>
      <c r="T672">
        <v>4121</v>
      </c>
      <c r="U672">
        <v>3459</v>
      </c>
      <c r="V672" t="s">
        <v>22</v>
      </c>
    </row>
    <row r="673" spans="1:22">
      <c r="A673" t="str">
        <f t="shared" si="233"/>
        <v>19/01/2026</v>
      </c>
      <c r="B673" t="str">
        <f>"ENTRADA"</f>
        <v>ENTRADA</v>
      </c>
      <c r="C673" t="str">
        <f>"NFSE"</f>
        <v>NFSE</v>
      </c>
      <c r="D673" t="str">
        <f>"99"</f>
        <v>99</v>
      </c>
      <c r="E673" t="str">
        <f>"1"</f>
        <v>1</v>
      </c>
      <c r="F673" t="str">
        <f t="shared" si="231"/>
        <v>COM</v>
      </c>
      <c r="G673" t="str">
        <f>"BEM TE FAZ 01 (10283)"</f>
        <v>BEM TE FAZ 01 (10283)</v>
      </c>
      <c r="H673" t="s">
        <v>203</v>
      </c>
      <c r="I673" t="str">
        <f>("16/01/2026")</f>
        <v>16/01/2026</v>
      </c>
      <c r="J673" t="str">
        <f>("15/01/2026")</f>
        <v>15/01/2026</v>
      </c>
      <c r="K673">
        <v>46041</v>
      </c>
      <c r="N673">
        <v>303</v>
      </c>
      <c r="O673" t="s">
        <v>26</v>
      </c>
      <c r="Q673">
        <v>250.02</v>
      </c>
      <c r="R673" t="str">
        <f>"BEM TE FAZ 01 (10283)"</f>
        <v>BEM TE FAZ 01 (10283)</v>
      </c>
      <c r="S673" t="s">
        <v>27</v>
      </c>
      <c r="T673">
        <v>4121</v>
      </c>
      <c r="U673">
        <v>3459</v>
      </c>
      <c r="V673" t="s">
        <v>22</v>
      </c>
    </row>
    <row r="674" spans="1:22">
      <c r="A674" t="str">
        <f t="shared" si="233"/>
        <v>19/01/2026</v>
      </c>
      <c r="B674" t="str">
        <f>"ENTRADA"</f>
        <v>ENTRADA</v>
      </c>
      <c r="C674" t="str">
        <f>"NFSE"</f>
        <v>NFSE</v>
      </c>
      <c r="D674" t="str">
        <f>"99"</f>
        <v>99</v>
      </c>
      <c r="E674" t="str">
        <f>"1"</f>
        <v>1</v>
      </c>
      <c r="F674" t="str">
        <f t="shared" si="231"/>
        <v>COM</v>
      </c>
      <c r="G674" t="str">
        <f>"BEM TE FAZ 01 (10283)"</f>
        <v>BEM TE FAZ 01 (10283)</v>
      </c>
      <c r="H674" t="s">
        <v>203</v>
      </c>
      <c r="I674" t="str">
        <f>("16/01/2026")</f>
        <v>16/01/2026</v>
      </c>
      <c r="J674" t="str">
        <f>("15/01/2026")</f>
        <v>15/01/2026</v>
      </c>
      <c r="K674">
        <v>46041</v>
      </c>
      <c r="N674">
        <v>303</v>
      </c>
      <c r="O674" t="s">
        <v>26</v>
      </c>
      <c r="Q674">
        <v>190.38</v>
      </c>
      <c r="R674" t="str">
        <f>"BEM TE FAZ LOJA 6 (10284)"</f>
        <v>BEM TE FAZ LOJA 6 (10284)</v>
      </c>
      <c r="S674" t="s">
        <v>27</v>
      </c>
      <c r="T674">
        <v>4121</v>
      </c>
      <c r="U674">
        <v>3459</v>
      </c>
      <c r="V674" t="s">
        <v>22</v>
      </c>
    </row>
    <row r="675" spans="1:22">
      <c r="A675" t="str">
        <f t="shared" si="233"/>
        <v>19/01/2026</v>
      </c>
      <c r="B675" t="str">
        <f>"SAÍDA"</f>
        <v>SAÍDA</v>
      </c>
      <c r="C675" t="str">
        <f>"JUROS"</f>
        <v>JUROS</v>
      </c>
      <c r="D675" t="str">
        <f>""</f>
        <v/>
      </c>
      <c r="F675" t="str">
        <f>"CXA"</f>
        <v>CXA</v>
      </c>
      <c r="G675" t="str">
        <f>""</f>
        <v/>
      </c>
      <c r="H675" t="str">
        <f>"MANUTENCAO DE TITULOS"</f>
        <v>MANUTENCAO DE TITULOS</v>
      </c>
      <c r="I675" t="str">
        <f t="shared" ref="I675:K677" si="234">("19/01/2026")</f>
        <v>19/01/2026</v>
      </c>
      <c r="J675" t="str">
        <f t="shared" si="234"/>
        <v>19/01/2026</v>
      </c>
      <c r="K675" t="str">
        <f t="shared" si="234"/>
        <v>19/01/2026</v>
      </c>
      <c r="L675">
        <v>39</v>
      </c>
      <c r="M675">
        <v>39</v>
      </c>
      <c r="N675">
        <v>401</v>
      </c>
      <c r="O675" t="str">
        <f>"IOF/JUROS/DESP.FINANCEIRA"</f>
        <v>IOF/JUROS/DESP.FINANCEIRA</v>
      </c>
      <c r="P675">
        <v>39</v>
      </c>
      <c r="S675" t="str">
        <f>"BANCO SICREDI (131)"</f>
        <v>BANCO SICREDI (131)</v>
      </c>
      <c r="T675">
        <v>4136</v>
      </c>
      <c r="U675">
        <v>0</v>
      </c>
      <c r="V675" t="s">
        <v>54</v>
      </c>
    </row>
    <row r="676" spans="1:22">
      <c r="A676" t="str">
        <f t="shared" si="233"/>
        <v>19/01/2026</v>
      </c>
      <c r="B676" t="str">
        <f>"SAÍDA"</f>
        <v>SAÍDA</v>
      </c>
      <c r="C676" t="str">
        <f>"JUROS"</f>
        <v>JUROS</v>
      </c>
      <c r="D676" t="str">
        <f>""</f>
        <v/>
      </c>
      <c r="F676" t="str">
        <f>"CXA"</f>
        <v>CXA</v>
      </c>
      <c r="G676" t="str">
        <f>""</f>
        <v/>
      </c>
      <c r="H676" t="str">
        <f>"TARIFA SERV.COBR.TITULOS"</f>
        <v>TARIFA SERV.COBR.TITULOS</v>
      </c>
      <c r="I676" t="str">
        <f t="shared" si="234"/>
        <v>19/01/2026</v>
      </c>
      <c r="J676" t="str">
        <f t="shared" si="234"/>
        <v>19/01/2026</v>
      </c>
      <c r="K676" t="str">
        <f t="shared" si="234"/>
        <v>19/01/2026</v>
      </c>
      <c r="L676">
        <v>23.63</v>
      </c>
      <c r="M676">
        <v>23.63</v>
      </c>
      <c r="N676">
        <v>401</v>
      </c>
      <c r="O676" t="str">
        <f>"IOF/JUROS/DESP.FINANCEIRA"</f>
        <v>IOF/JUROS/DESP.FINANCEIRA</v>
      </c>
      <c r="P676">
        <v>23.63</v>
      </c>
      <c r="S676" t="str">
        <f>"BANCO SICREDI (131)"</f>
        <v>BANCO SICREDI (131)</v>
      </c>
      <c r="T676">
        <v>4137</v>
      </c>
      <c r="U676">
        <v>0</v>
      </c>
      <c r="V676" t="s">
        <v>54</v>
      </c>
    </row>
    <row r="677" spans="1:22">
      <c r="A677" t="str">
        <f t="shared" si="233"/>
        <v>19/01/2026</v>
      </c>
      <c r="B677" t="str">
        <f>"SAÍDA"</f>
        <v>SAÍDA</v>
      </c>
      <c r="C677" t="str">
        <f>"BOLETO"</f>
        <v>BOLETO</v>
      </c>
      <c r="D677" t="str">
        <f>"1901"</f>
        <v>1901</v>
      </c>
      <c r="E677" t="str">
        <f>"26"</f>
        <v>26</v>
      </c>
      <c r="F677" t="str">
        <f>"COM"</f>
        <v>COM</v>
      </c>
      <c r="G677" t="str">
        <f>"CORA SOCIEDADE DE CREDITO, FINANCIAMENTO E INVESTIMENTO (20035)"</f>
        <v>CORA SOCIEDADE DE CREDITO, FINANCIAMENTO E INVESTIMENTO (20035)</v>
      </c>
      <c r="H677" t="str">
        <f>"TAXA BOLETO CORA"</f>
        <v>TAXA BOLETO CORA</v>
      </c>
      <c r="I677" t="str">
        <f t="shared" si="234"/>
        <v>19/01/2026</v>
      </c>
      <c r="J677" t="str">
        <f t="shared" si="234"/>
        <v>19/01/2026</v>
      </c>
      <c r="K677" t="str">
        <f t="shared" si="234"/>
        <v>19/01/2026</v>
      </c>
      <c r="L677">
        <v>1.7</v>
      </c>
      <c r="M677">
        <v>1.7</v>
      </c>
      <c r="N677">
        <v>401</v>
      </c>
      <c r="O677" t="str">
        <f>"IOF/JUROS/DESP.FINANCEIRA"</f>
        <v>IOF/JUROS/DESP.FINANCEIRA</v>
      </c>
      <c r="P677">
        <v>1.7</v>
      </c>
      <c r="S677" t="str">
        <f>"BANCO CORA (102)"</f>
        <v>BANCO CORA (102)</v>
      </c>
      <c r="T677">
        <v>4185</v>
      </c>
      <c r="U677">
        <v>3759</v>
      </c>
      <c r="V677" t="s">
        <v>22</v>
      </c>
    </row>
    <row r="678" spans="1:22">
      <c r="A678" t="str">
        <f t="shared" si="233"/>
        <v>19/01/2026</v>
      </c>
      <c r="B678" t="str">
        <f>"SAÍDA"</f>
        <v>SAÍDA</v>
      </c>
      <c r="C678" t="str">
        <f>"BOLETO"</f>
        <v>BOLETO</v>
      </c>
      <c r="D678" t="str">
        <f>"1901"</f>
        <v>1901</v>
      </c>
      <c r="E678" t="str">
        <f>"26"</f>
        <v>26</v>
      </c>
      <c r="F678" t="str">
        <f>"COM"</f>
        <v>COM</v>
      </c>
      <c r="G678" t="str">
        <f>"CORA SOCIEDADE DE CREDITO, FINANCIAMENTO E INVESTIMENTO (20035)"</f>
        <v>CORA SOCIEDADE DE CREDITO, FINANCIAMENTO E INVESTIMENTO (20035)</v>
      </c>
      <c r="H678" t="s">
        <v>121</v>
      </c>
      <c r="I678" t="str">
        <f t="shared" ref="I678:J680" si="235">("19/01/2026")</f>
        <v>19/01/2026</v>
      </c>
      <c r="J678" t="str">
        <f t="shared" si="235"/>
        <v>19/01/2026</v>
      </c>
      <c r="K678">
        <v>46041</v>
      </c>
      <c r="N678">
        <v>401</v>
      </c>
      <c r="O678" t="s">
        <v>58</v>
      </c>
      <c r="Q678">
        <v>1.7</v>
      </c>
      <c r="R678" t="str">
        <f>"CORA SOCIEDADE DE CREDITO, FINANCIAMENTO E INVESTIMENTO (20035)"</f>
        <v>CORA SOCIEDADE DE CREDITO, FINANCIAMENTO E INVESTIMENTO (20035)</v>
      </c>
      <c r="S678" t="s">
        <v>22</v>
      </c>
      <c r="T678">
        <v>4185</v>
      </c>
      <c r="U678">
        <v>3759</v>
      </c>
      <c r="V678" t="s">
        <v>22</v>
      </c>
    </row>
    <row r="679" spans="1:22">
      <c r="A679" t="str">
        <f t="shared" si="233"/>
        <v>19/01/2026</v>
      </c>
      <c r="B679" t="str">
        <f>"SAÍDA"</f>
        <v>SAÍDA</v>
      </c>
      <c r="C679" t="str">
        <f>"RESGATE"</f>
        <v>RESGATE</v>
      </c>
      <c r="D679" t="str">
        <f>""</f>
        <v/>
      </c>
      <c r="F679" t="str">
        <f>"RES"</f>
        <v>RES</v>
      </c>
      <c r="G679" t="str">
        <f>""</f>
        <v/>
      </c>
      <c r="H679" t="str">
        <f>"RESGATE APLICAÇÃO FINANCEIRA SICREDI"</f>
        <v>RESGATE APLICAÇÃO FINANCEIRA SICREDI</v>
      </c>
      <c r="I679" t="str">
        <f t="shared" si="235"/>
        <v>19/01/2026</v>
      </c>
      <c r="J679" t="str">
        <f t="shared" si="235"/>
        <v>19/01/2026</v>
      </c>
      <c r="K679" t="str">
        <f>("19/01/2026")</f>
        <v>19/01/2026</v>
      </c>
      <c r="N679">
        <v>121</v>
      </c>
      <c r="O679" t="str">
        <f>"APLICAÇÃO BANCO A"</f>
        <v>APLICAÇÃO BANCO A</v>
      </c>
      <c r="P679">
        <v>23000</v>
      </c>
      <c r="S679" t="str">
        <f>"APLICAÇÃO BANCO A (121)"</f>
        <v>APLICAÇÃO BANCO A (121)</v>
      </c>
      <c r="T679">
        <v>4218</v>
      </c>
      <c r="U679">
        <v>0</v>
      </c>
      <c r="V679" t="s">
        <v>200</v>
      </c>
    </row>
    <row r="680" spans="1:22">
      <c r="A680" t="str">
        <f t="shared" si="233"/>
        <v>19/01/2026</v>
      </c>
      <c r="B680" t="str">
        <f>"ENTRADA"</f>
        <v>ENTRADA</v>
      </c>
      <c r="C680" t="str">
        <f>"RESGATE"</f>
        <v>RESGATE</v>
      </c>
      <c r="D680" t="str">
        <f>""</f>
        <v/>
      </c>
      <c r="F680" t="str">
        <f>"RES"</f>
        <v>RES</v>
      </c>
      <c r="G680" t="str">
        <f>""</f>
        <v/>
      </c>
      <c r="H680" t="str">
        <f>"RESGATE APLICAÇÃO FINANCEIRA SICREDI"</f>
        <v>RESGATE APLICAÇÃO FINANCEIRA SICREDI</v>
      </c>
      <c r="I680" t="str">
        <f t="shared" si="235"/>
        <v>19/01/2026</v>
      </c>
      <c r="J680" t="str">
        <f t="shared" si="235"/>
        <v>19/01/2026</v>
      </c>
      <c r="K680" t="str">
        <f>("19/01/2026")</f>
        <v>19/01/2026</v>
      </c>
      <c r="N680">
        <v>131</v>
      </c>
      <c r="O680" t="str">
        <f>"BANCO SICREDI"</f>
        <v>BANCO SICREDI</v>
      </c>
      <c r="S680" t="str">
        <f>"BANCO SICREDI (131)"</f>
        <v>BANCO SICREDI (131)</v>
      </c>
      <c r="T680">
        <v>4218</v>
      </c>
      <c r="U680">
        <v>0</v>
      </c>
      <c r="V680" t="s">
        <v>88</v>
      </c>
    </row>
    <row r="681" spans="1:22">
      <c r="A681" t="str">
        <f t="shared" ref="A681:A700" si="236">("20/01/2026")</f>
        <v>20/01/2026</v>
      </c>
      <c r="B681" t="str">
        <f t="shared" ref="B681:B686" si="237">"SAÍDA"</f>
        <v>SAÍDA</v>
      </c>
      <c r="C681" t="str">
        <f t="shared" ref="C681:C686" si="238">"BOLETO"</f>
        <v>BOLETO</v>
      </c>
      <c r="D681" t="str">
        <f>"2658"</f>
        <v>2658</v>
      </c>
      <c r="E681" t="str">
        <f>""</f>
        <v/>
      </c>
      <c r="F681" t="str">
        <f t="shared" ref="F681:F692" si="239">"COM"</f>
        <v>COM</v>
      </c>
      <c r="G681" t="str">
        <f>"INFINITY BRASIL LTDA (20020)"</f>
        <v>INFINITY BRASIL LTDA (20020)</v>
      </c>
      <c r="H681" t="str">
        <f>"SERVIDOR FLUX FARMA PERIODO DEZEMBRO/25"</f>
        <v>SERVIDOR FLUX FARMA PERIODO DEZEMBRO/25</v>
      </c>
      <c r="I681" t="str">
        <f t="shared" ref="I681:I686" si="240">("20/01/2026")</f>
        <v>20/01/2026</v>
      </c>
      <c r="J681" t="str">
        <f>("30/12/2025")</f>
        <v>30/12/2025</v>
      </c>
      <c r="K681" t="str">
        <f>("20/01/2026")</f>
        <v>20/01/2026</v>
      </c>
      <c r="L681">
        <v>579.36</v>
      </c>
      <c r="M681">
        <v>579.36</v>
      </c>
      <c r="N681">
        <v>104</v>
      </c>
      <c r="O681" t="str">
        <f>"SOFTWARE / LICENÇAS"</f>
        <v>SOFTWARE / LICENÇAS</v>
      </c>
      <c r="P681">
        <v>579.36</v>
      </c>
      <c r="S681" t="str">
        <f>"BANCO CORA (102)"</f>
        <v>BANCO CORA (102)</v>
      </c>
      <c r="T681">
        <v>3938</v>
      </c>
      <c r="U681">
        <v>3187</v>
      </c>
      <c r="V681" t="s">
        <v>22</v>
      </c>
    </row>
    <row r="682" spans="1:22">
      <c r="A682" t="str">
        <f t="shared" si="236"/>
        <v>20/01/2026</v>
      </c>
      <c r="B682" t="str">
        <f t="shared" si="237"/>
        <v>SAÍDA</v>
      </c>
      <c r="C682" t="str">
        <f t="shared" si="238"/>
        <v>BOLETO</v>
      </c>
      <c r="D682" t="str">
        <f>"2658"</f>
        <v>2658</v>
      </c>
      <c r="E682" t="str">
        <f>""</f>
        <v/>
      </c>
      <c r="F682" t="str">
        <f t="shared" si="239"/>
        <v>COM</v>
      </c>
      <c r="G682" t="str">
        <f>"INFINITY BRASIL LTDA (20020)"</f>
        <v>INFINITY BRASIL LTDA (20020)</v>
      </c>
      <c r="H682" t="s">
        <v>204</v>
      </c>
      <c r="I682" t="str">
        <f t="shared" si="240"/>
        <v>20/01/2026</v>
      </c>
      <c r="J682" t="str">
        <f>("30/12/2025")</f>
        <v>30/12/2025</v>
      </c>
      <c r="K682">
        <v>46042</v>
      </c>
      <c r="N682">
        <v>104</v>
      </c>
      <c r="O682" t="s">
        <v>145</v>
      </c>
      <c r="Q682">
        <v>579.36</v>
      </c>
      <c r="R682" t="str">
        <f>"INFINITY BRASIL LTDA (20020)"</f>
        <v>INFINITY BRASIL LTDA (20020)</v>
      </c>
      <c r="S682" t="s">
        <v>22</v>
      </c>
      <c r="T682">
        <v>3938</v>
      </c>
      <c r="U682">
        <v>3187</v>
      </c>
      <c r="V682" t="s">
        <v>22</v>
      </c>
    </row>
    <row r="683" spans="1:22">
      <c r="A683" t="str">
        <f t="shared" si="236"/>
        <v>20/01/2026</v>
      </c>
      <c r="B683" t="str">
        <f t="shared" si="237"/>
        <v>SAÍDA</v>
      </c>
      <c r="C683" t="str">
        <f t="shared" si="238"/>
        <v>BOLETO</v>
      </c>
      <c r="D683" t="str">
        <f>"071625352681731"</f>
        <v>071625352681731</v>
      </c>
      <c r="E683" t="str">
        <f>""</f>
        <v/>
      </c>
      <c r="F683" t="str">
        <f t="shared" si="239"/>
        <v>COM</v>
      </c>
      <c r="G683" t="str">
        <f>"MINISTERIO DA FAZENDA (20009)"</f>
        <v>MINISTERIO DA FAZENDA (20009)</v>
      </c>
      <c r="H683" t="str">
        <f>"INSS SOBRE PROLABORE"</f>
        <v>INSS SOBRE PROLABORE</v>
      </c>
      <c r="I683" t="str">
        <f t="shared" si="240"/>
        <v>20/01/2026</v>
      </c>
      <c r="J683" t="str">
        <f>("02/01/2026")</f>
        <v>02/01/2026</v>
      </c>
      <c r="K683" t="str">
        <f>("20/01/2026")</f>
        <v>20/01/2026</v>
      </c>
      <c r="L683">
        <v>333.96</v>
      </c>
      <c r="M683">
        <v>333.96</v>
      </c>
      <c r="N683">
        <v>112</v>
      </c>
      <c r="O683" t="str">
        <f>"INSS - PRO-LABORE"</f>
        <v>INSS - PRO-LABORE</v>
      </c>
      <c r="P683">
        <v>333.96</v>
      </c>
      <c r="S683" t="str">
        <f>"BANCO CORA (102)"</f>
        <v>BANCO CORA (102)</v>
      </c>
      <c r="T683">
        <v>3939</v>
      </c>
      <c r="U683">
        <v>3188</v>
      </c>
      <c r="V683" t="s">
        <v>22</v>
      </c>
    </row>
    <row r="684" spans="1:22">
      <c r="A684" t="str">
        <f t="shared" si="236"/>
        <v>20/01/2026</v>
      </c>
      <c r="B684" t="str">
        <f t="shared" si="237"/>
        <v>SAÍDA</v>
      </c>
      <c r="C684" t="str">
        <f t="shared" si="238"/>
        <v>BOLETO</v>
      </c>
      <c r="D684" t="str">
        <f>"071625352681731"</f>
        <v>071625352681731</v>
      </c>
      <c r="E684" t="str">
        <f>""</f>
        <v/>
      </c>
      <c r="F684" t="str">
        <f t="shared" si="239"/>
        <v>COM</v>
      </c>
      <c r="G684" t="str">
        <f>"MINISTERIO DA FAZENDA (20009)"</f>
        <v>MINISTERIO DA FAZENDA (20009)</v>
      </c>
      <c r="H684" t="s">
        <v>205</v>
      </c>
      <c r="I684" t="str">
        <f t="shared" si="240"/>
        <v>20/01/2026</v>
      </c>
      <c r="J684" t="str">
        <f>("02/01/2026")</f>
        <v>02/01/2026</v>
      </c>
      <c r="K684">
        <v>46042</v>
      </c>
      <c r="N684">
        <v>112</v>
      </c>
      <c r="O684" t="s">
        <v>206</v>
      </c>
      <c r="Q684">
        <v>333.96</v>
      </c>
      <c r="R684" t="str">
        <f>"MINISTERIO DA FAZENDA (20009)"</f>
        <v>MINISTERIO DA FAZENDA (20009)</v>
      </c>
      <c r="S684" t="s">
        <v>22</v>
      </c>
      <c r="T684">
        <v>3939</v>
      </c>
      <c r="U684">
        <v>3188</v>
      </c>
      <c r="V684" t="s">
        <v>22</v>
      </c>
    </row>
    <row r="685" spans="1:22">
      <c r="A685" t="str">
        <f t="shared" si="236"/>
        <v>20/01/2026</v>
      </c>
      <c r="B685" t="str">
        <f t="shared" si="237"/>
        <v>SAÍDA</v>
      </c>
      <c r="C685" t="str">
        <f t="shared" si="238"/>
        <v>BOLETO</v>
      </c>
      <c r="D685" t="str">
        <f>"072026019382781"</f>
        <v>072026019382781</v>
      </c>
      <c r="E685" t="str">
        <f t="shared" ref="E685:E692" si="241">"1"</f>
        <v>1</v>
      </c>
      <c r="F685" t="str">
        <f t="shared" si="239"/>
        <v>COM</v>
      </c>
      <c r="G685" t="str">
        <f>"MINISTERIO DA FAZENDA (20009)"</f>
        <v>MINISTERIO DA FAZENDA (20009)</v>
      </c>
      <c r="H685" t="str">
        <f>"SIMPLES NACIONAL MES DEZEMBRO/2025"</f>
        <v>SIMPLES NACIONAL MES DEZEMBRO/2025</v>
      </c>
      <c r="I685" t="str">
        <f t="shared" si="240"/>
        <v>20/01/2026</v>
      </c>
      <c r="J685" t="str">
        <f>("16/01/2026")</f>
        <v>16/01/2026</v>
      </c>
      <c r="K685" t="str">
        <f>("20/01/2026")</f>
        <v>20/01/2026</v>
      </c>
      <c r="L685">
        <v>23838.84</v>
      </c>
      <c r="M685">
        <v>23838.84</v>
      </c>
      <c r="N685">
        <v>144</v>
      </c>
      <c r="O685" t="str">
        <f>"SIMPLES NACIONAL (DASN)"</f>
        <v>SIMPLES NACIONAL (DASN)</v>
      </c>
      <c r="P685">
        <v>23838.84</v>
      </c>
      <c r="S685" t="str">
        <f>"BANCO CORA (102)"</f>
        <v>BANCO CORA (102)</v>
      </c>
      <c r="T685">
        <v>3940</v>
      </c>
      <c r="U685">
        <v>3513</v>
      </c>
      <c r="V685" t="s">
        <v>22</v>
      </c>
    </row>
    <row r="686" spans="1:22">
      <c r="A686" t="str">
        <f t="shared" si="236"/>
        <v>20/01/2026</v>
      </c>
      <c r="B686" t="str">
        <f t="shared" si="237"/>
        <v>SAÍDA</v>
      </c>
      <c r="C686" t="str">
        <f t="shared" si="238"/>
        <v>BOLETO</v>
      </c>
      <c r="D686" t="str">
        <f>"072026019382781"</f>
        <v>072026019382781</v>
      </c>
      <c r="E686" t="str">
        <f t="shared" si="241"/>
        <v>1</v>
      </c>
      <c r="F686" t="str">
        <f t="shared" si="239"/>
        <v>COM</v>
      </c>
      <c r="G686" t="str">
        <f>"MINISTERIO DA FAZENDA (20009)"</f>
        <v>MINISTERIO DA FAZENDA (20009)</v>
      </c>
      <c r="H686" t="s">
        <v>207</v>
      </c>
      <c r="I686" t="str">
        <f t="shared" si="240"/>
        <v>20/01/2026</v>
      </c>
      <c r="J686" t="str">
        <f>("16/01/2026")</f>
        <v>16/01/2026</v>
      </c>
      <c r="K686">
        <v>46042</v>
      </c>
      <c r="N686">
        <v>144</v>
      </c>
      <c r="O686" t="s">
        <v>208</v>
      </c>
      <c r="Q686">
        <v>23838.84</v>
      </c>
      <c r="R686" t="str">
        <f>"MINISTERIO DA FAZENDA (20009)"</f>
        <v>MINISTERIO DA FAZENDA (20009)</v>
      </c>
      <c r="S686" t="s">
        <v>22</v>
      </c>
      <c r="T686">
        <v>3940</v>
      </c>
      <c r="U686">
        <v>3513</v>
      </c>
      <c r="V686" t="s">
        <v>22</v>
      </c>
    </row>
    <row r="687" spans="1:22">
      <c r="A687" t="str">
        <f t="shared" si="236"/>
        <v>20/01/2026</v>
      </c>
      <c r="B687" t="str">
        <f t="shared" ref="B687:B692" si="242">"ENTRADA"</f>
        <v>ENTRADA</v>
      </c>
      <c r="C687" t="str">
        <f t="shared" ref="C687:C692" si="243">"NFSE"</f>
        <v>NFSE</v>
      </c>
      <c r="D687" t="str">
        <f t="shared" ref="D687:D692" si="244">"98"</f>
        <v>98</v>
      </c>
      <c r="E687" t="str">
        <f t="shared" si="241"/>
        <v>1</v>
      </c>
      <c r="F687" t="str">
        <f t="shared" si="239"/>
        <v>COM</v>
      </c>
      <c r="G687" t="str">
        <f t="shared" ref="G687:G692" si="245">"DROGALIDER 31 (10256)"</f>
        <v>DROGALIDER 31 (10256)</v>
      </c>
      <c r="H687" t="str">
        <f>"Serv.Prest. 05/01/2026 a 11/01/2026 - RPS: 2024 - NFSe: 98"</f>
        <v>Serv.Prest. 05/01/2026 a 11/01/2026 - RPS: 2024 - NFSe: 98</v>
      </c>
      <c r="I687" t="str">
        <f t="shared" ref="I687:I692" si="246">("19/01/2026")</f>
        <v>19/01/2026</v>
      </c>
      <c r="J687" t="str">
        <f t="shared" ref="J687:J692" si="247">("15/01/2026")</f>
        <v>15/01/2026</v>
      </c>
      <c r="K687" t="str">
        <f>("20/01/2026")</f>
        <v>20/01/2026</v>
      </c>
      <c r="L687">
        <v>300</v>
      </c>
      <c r="M687">
        <v>300</v>
      </c>
      <c r="N687">
        <v>303</v>
      </c>
      <c r="O687" t="str">
        <f>"RECEITAS COM ENTREGAS"</f>
        <v>RECEITAS COM ENTREGAS</v>
      </c>
      <c r="P687">
        <v>300</v>
      </c>
      <c r="S687" t="str">
        <f>"RECEITAS COM ENTREGAS (303)"</f>
        <v>RECEITAS COM ENTREGAS (303)</v>
      </c>
      <c r="T687">
        <v>4019</v>
      </c>
      <c r="U687">
        <v>3458</v>
      </c>
      <c r="V687" t="s">
        <v>88</v>
      </c>
    </row>
    <row r="688" spans="1:22">
      <c r="A688" t="str">
        <f t="shared" si="236"/>
        <v>20/01/2026</v>
      </c>
      <c r="B688" t="str">
        <f t="shared" si="242"/>
        <v>ENTRADA</v>
      </c>
      <c r="C688" t="str">
        <f t="shared" si="243"/>
        <v>NFSE</v>
      </c>
      <c r="D688" t="str">
        <f t="shared" si="244"/>
        <v>98</v>
      </c>
      <c r="E688" t="str">
        <f t="shared" si="241"/>
        <v>1</v>
      </c>
      <c r="F688" t="str">
        <f t="shared" si="239"/>
        <v>COM</v>
      </c>
      <c r="G688" t="str">
        <f t="shared" si="245"/>
        <v>DROGALIDER 31 (10256)</v>
      </c>
      <c r="H688" t="s">
        <v>209</v>
      </c>
      <c r="I688" t="str">
        <f t="shared" si="246"/>
        <v>19/01/2026</v>
      </c>
      <c r="J688" t="str">
        <f t="shared" si="247"/>
        <v>15/01/2026</v>
      </c>
      <c r="K688">
        <v>46042</v>
      </c>
      <c r="N688">
        <v>303</v>
      </c>
      <c r="O688" t="s">
        <v>26</v>
      </c>
      <c r="Q688">
        <v>49.5</v>
      </c>
      <c r="R688" t="str">
        <f>"DROGALIDER 42 (10247)"</f>
        <v>DROGALIDER 42 (10247)</v>
      </c>
      <c r="S688" t="s">
        <v>27</v>
      </c>
      <c r="T688">
        <v>4019</v>
      </c>
      <c r="U688">
        <v>3458</v>
      </c>
      <c r="V688" t="s">
        <v>88</v>
      </c>
    </row>
    <row r="689" spans="1:22">
      <c r="A689" t="str">
        <f t="shared" si="236"/>
        <v>20/01/2026</v>
      </c>
      <c r="B689" t="str">
        <f t="shared" si="242"/>
        <v>ENTRADA</v>
      </c>
      <c r="C689" t="str">
        <f t="shared" si="243"/>
        <v>NFSE</v>
      </c>
      <c r="D689" t="str">
        <f t="shared" si="244"/>
        <v>98</v>
      </c>
      <c r="E689" t="str">
        <f t="shared" si="241"/>
        <v>1</v>
      </c>
      <c r="F689" t="str">
        <f t="shared" si="239"/>
        <v>COM</v>
      </c>
      <c r="G689" t="str">
        <f t="shared" si="245"/>
        <v>DROGALIDER 31 (10256)</v>
      </c>
      <c r="H689" t="s">
        <v>209</v>
      </c>
      <c r="I689" t="str">
        <f t="shared" si="246"/>
        <v>19/01/2026</v>
      </c>
      <c r="J689" t="str">
        <f t="shared" si="247"/>
        <v>15/01/2026</v>
      </c>
      <c r="K689">
        <v>46042</v>
      </c>
      <c r="N689">
        <v>303</v>
      </c>
      <c r="O689" t="s">
        <v>26</v>
      </c>
      <c r="Q689">
        <v>55.5</v>
      </c>
      <c r="R689" t="str">
        <f>"DROGALIDER 55 (10249)"</f>
        <v>DROGALIDER 55 (10249)</v>
      </c>
      <c r="S689" t="s">
        <v>27</v>
      </c>
      <c r="T689">
        <v>4019</v>
      </c>
      <c r="U689">
        <v>3458</v>
      </c>
      <c r="V689" t="s">
        <v>88</v>
      </c>
    </row>
    <row r="690" spans="1:22">
      <c r="A690" t="str">
        <f t="shared" si="236"/>
        <v>20/01/2026</v>
      </c>
      <c r="B690" t="str">
        <f t="shared" si="242"/>
        <v>ENTRADA</v>
      </c>
      <c r="C690" t="str">
        <f t="shared" si="243"/>
        <v>NFSE</v>
      </c>
      <c r="D690" t="str">
        <f t="shared" si="244"/>
        <v>98</v>
      </c>
      <c r="E690" t="str">
        <f t="shared" si="241"/>
        <v>1</v>
      </c>
      <c r="F690" t="str">
        <f t="shared" si="239"/>
        <v>COM</v>
      </c>
      <c r="G690" t="str">
        <f t="shared" si="245"/>
        <v>DROGALIDER 31 (10256)</v>
      </c>
      <c r="H690" t="s">
        <v>209</v>
      </c>
      <c r="I690" t="str">
        <f t="shared" si="246"/>
        <v>19/01/2026</v>
      </c>
      <c r="J690" t="str">
        <f t="shared" si="247"/>
        <v>15/01/2026</v>
      </c>
      <c r="K690">
        <v>46042</v>
      </c>
      <c r="N690">
        <v>303</v>
      </c>
      <c r="O690" t="s">
        <v>26</v>
      </c>
      <c r="Q690">
        <v>50.25</v>
      </c>
      <c r="R690" t="str">
        <f>"DROGALIDER 67 (10252)"</f>
        <v>DROGALIDER 67 (10252)</v>
      </c>
      <c r="S690" t="s">
        <v>27</v>
      </c>
      <c r="T690">
        <v>4019</v>
      </c>
      <c r="U690">
        <v>3458</v>
      </c>
      <c r="V690" t="s">
        <v>88</v>
      </c>
    </row>
    <row r="691" spans="1:22">
      <c r="A691" t="str">
        <f t="shared" si="236"/>
        <v>20/01/2026</v>
      </c>
      <c r="B691" t="str">
        <f t="shared" si="242"/>
        <v>ENTRADA</v>
      </c>
      <c r="C691" t="str">
        <f t="shared" si="243"/>
        <v>NFSE</v>
      </c>
      <c r="D691" t="str">
        <f t="shared" si="244"/>
        <v>98</v>
      </c>
      <c r="E691" t="str">
        <f t="shared" si="241"/>
        <v>1</v>
      </c>
      <c r="F691" t="str">
        <f t="shared" si="239"/>
        <v>COM</v>
      </c>
      <c r="G691" t="str">
        <f t="shared" si="245"/>
        <v>DROGALIDER 31 (10256)</v>
      </c>
      <c r="H691" t="s">
        <v>209</v>
      </c>
      <c r="I691" t="str">
        <f t="shared" si="246"/>
        <v>19/01/2026</v>
      </c>
      <c r="J691" t="str">
        <f t="shared" si="247"/>
        <v>15/01/2026</v>
      </c>
      <c r="K691">
        <v>46042</v>
      </c>
      <c r="N691">
        <v>303</v>
      </c>
      <c r="O691" t="s">
        <v>26</v>
      </c>
      <c r="Q691">
        <v>45</v>
      </c>
      <c r="R691" t="str">
        <f>"DROGALIDER 68 (10253)"</f>
        <v>DROGALIDER 68 (10253)</v>
      </c>
      <c r="S691" t="s">
        <v>27</v>
      </c>
      <c r="T691">
        <v>4019</v>
      </c>
      <c r="U691">
        <v>3458</v>
      </c>
      <c r="V691" t="s">
        <v>88</v>
      </c>
    </row>
    <row r="692" spans="1:22">
      <c r="A692" t="str">
        <f t="shared" si="236"/>
        <v>20/01/2026</v>
      </c>
      <c r="B692" t="str">
        <f t="shared" si="242"/>
        <v>ENTRADA</v>
      </c>
      <c r="C692" t="str">
        <f t="shared" si="243"/>
        <v>NFSE</v>
      </c>
      <c r="D692" t="str">
        <f t="shared" si="244"/>
        <v>98</v>
      </c>
      <c r="E692" t="str">
        <f t="shared" si="241"/>
        <v>1</v>
      </c>
      <c r="F692" t="str">
        <f t="shared" si="239"/>
        <v>COM</v>
      </c>
      <c r="G692" t="str">
        <f t="shared" si="245"/>
        <v>DROGALIDER 31 (10256)</v>
      </c>
      <c r="H692" t="s">
        <v>209</v>
      </c>
      <c r="I692" t="str">
        <f t="shared" si="246"/>
        <v>19/01/2026</v>
      </c>
      <c r="J692" t="str">
        <f t="shared" si="247"/>
        <v>15/01/2026</v>
      </c>
      <c r="K692">
        <v>46042</v>
      </c>
      <c r="N692">
        <v>303</v>
      </c>
      <c r="O692" t="s">
        <v>26</v>
      </c>
      <c r="Q692">
        <v>99.75</v>
      </c>
      <c r="R692" t="str">
        <f>"DROGALIDER 31 (10256)"</f>
        <v>DROGALIDER 31 (10256)</v>
      </c>
      <c r="S692" t="s">
        <v>27</v>
      </c>
      <c r="T692">
        <v>4019</v>
      </c>
      <c r="U692">
        <v>3458</v>
      </c>
      <c r="V692" t="s">
        <v>88</v>
      </c>
    </row>
    <row r="693" spans="1:22">
      <c r="A693" t="str">
        <f t="shared" si="236"/>
        <v>20/01/2026</v>
      </c>
      <c r="B693" t="str">
        <f>"SAÍDA"</f>
        <v>SAÍDA</v>
      </c>
      <c r="C693" t="str">
        <f>"JUROS"</f>
        <v>JUROS</v>
      </c>
      <c r="D693" t="str">
        <f>""</f>
        <v/>
      </c>
      <c r="F693" t="str">
        <f>"CXA"</f>
        <v>CXA</v>
      </c>
      <c r="G693" t="str">
        <f>""</f>
        <v/>
      </c>
      <c r="H693" t="str">
        <f>"TARIFA SERV.COBR.TITULOS"</f>
        <v>TARIFA SERV.COBR.TITULOS</v>
      </c>
      <c r="I693" t="str">
        <f t="shared" ref="I693:K700" si="248">("20/01/2026")</f>
        <v>20/01/2026</v>
      </c>
      <c r="J693" t="str">
        <f t="shared" si="248"/>
        <v>20/01/2026</v>
      </c>
      <c r="K693" t="str">
        <f t="shared" si="248"/>
        <v>20/01/2026</v>
      </c>
      <c r="L693">
        <v>6.95</v>
      </c>
      <c r="M693">
        <v>6.95</v>
      </c>
      <c r="N693">
        <v>401</v>
      </c>
      <c r="O693" t="str">
        <f>"IOF/JUROS/DESP.FINANCEIRA"</f>
        <v>IOF/JUROS/DESP.FINANCEIRA</v>
      </c>
      <c r="P693">
        <v>6.95</v>
      </c>
      <c r="S693" t="str">
        <f>"BANCO SICREDI (131)"</f>
        <v>BANCO SICREDI (131)</v>
      </c>
      <c r="T693">
        <v>4138</v>
      </c>
      <c r="U693">
        <v>0</v>
      </c>
      <c r="V693" t="s">
        <v>54</v>
      </c>
    </row>
    <row r="694" spans="1:22">
      <c r="A694" t="str">
        <f t="shared" si="236"/>
        <v>20/01/2026</v>
      </c>
      <c r="B694" t="str">
        <f>"SAÍDA"</f>
        <v>SAÍDA</v>
      </c>
      <c r="C694" t="str">
        <f>"JUROS"</f>
        <v>JUROS</v>
      </c>
      <c r="D694" t="str">
        <f>""</f>
        <v/>
      </c>
      <c r="F694" t="str">
        <f>"CXA"</f>
        <v>CXA</v>
      </c>
      <c r="G694" t="str">
        <f>""</f>
        <v/>
      </c>
      <c r="H694" t="str">
        <f>"TARIFA SERV.COBR.TITULOS"</f>
        <v>TARIFA SERV.COBR.TITULOS</v>
      </c>
      <c r="I694" t="str">
        <f t="shared" si="248"/>
        <v>20/01/2026</v>
      </c>
      <c r="J694" t="str">
        <f t="shared" si="248"/>
        <v>20/01/2026</v>
      </c>
      <c r="K694" t="str">
        <f t="shared" si="248"/>
        <v>20/01/2026</v>
      </c>
      <c r="L694">
        <v>29.19</v>
      </c>
      <c r="M694">
        <v>29.19</v>
      </c>
      <c r="N694">
        <v>401</v>
      </c>
      <c r="O694" t="str">
        <f>"IOF/JUROS/DESP.FINANCEIRA"</f>
        <v>IOF/JUROS/DESP.FINANCEIRA</v>
      </c>
      <c r="P694">
        <v>29.19</v>
      </c>
      <c r="S694" t="str">
        <f>"BANCO SICREDI (131)"</f>
        <v>BANCO SICREDI (131)</v>
      </c>
      <c r="T694">
        <v>4139</v>
      </c>
      <c r="U694">
        <v>0</v>
      </c>
      <c r="V694" t="s">
        <v>54</v>
      </c>
    </row>
    <row r="695" spans="1:22">
      <c r="A695" t="str">
        <f t="shared" si="236"/>
        <v>20/01/2026</v>
      </c>
      <c r="B695" t="str">
        <f>"SAÍDA"</f>
        <v>SAÍDA</v>
      </c>
      <c r="C695" t="str">
        <f>"TRANSFERENCIA"</f>
        <v>TRANSFERENCIA</v>
      </c>
      <c r="D695" t="str">
        <f>""</f>
        <v/>
      </c>
      <c r="F695" t="str">
        <f>"TRF"</f>
        <v>TRF</v>
      </c>
      <c r="G695" t="str">
        <f>""</f>
        <v/>
      </c>
      <c r="H695" t="str">
        <f>"TRANSFERENCIA APOIO DE CAIXA COOPERATIVA (102-&gt;120)"</f>
        <v>TRANSFERENCIA APOIO DE CAIXA COOPERATIVA (102-&gt;120)</v>
      </c>
      <c r="I695" t="str">
        <f t="shared" si="248"/>
        <v>20/01/2026</v>
      </c>
      <c r="J695" t="str">
        <f t="shared" si="248"/>
        <v>20/01/2026</v>
      </c>
      <c r="K695" t="str">
        <f t="shared" si="248"/>
        <v>20/01/2026</v>
      </c>
      <c r="N695">
        <v>102</v>
      </c>
      <c r="O695" t="str">
        <f>"BANCO CORA"</f>
        <v>BANCO CORA</v>
      </c>
      <c r="P695">
        <v>2000</v>
      </c>
      <c r="S695" t="str">
        <f>"BANCO CORA (102)"</f>
        <v>BANCO CORA (102)</v>
      </c>
      <c r="T695">
        <v>4186</v>
      </c>
      <c r="U695">
        <v>0</v>
      </c>
      <c r="V695" t="s">
        <v>22</v>
      </c>
    </row>
    <row r="696" spans="1:22">
      <c r="A696" t="str">
        <f t="shared" si="236"/>
        <v>20/01/2026</v>
      </c>
      <c r="B696" t="str">
        <f>"ENTRADA"</f>
        <v>ENTRADA</v>
      </c>
      <c r="C696" t="str">
        <f>"TRANSFERENCIA"</f>
        <v>TRANSFERENCIA</v>
      </c>
      <c r="D696" t="str">
        <f>""</f>
        <v/>
      </c>
      <c r="F696" t="str">
        <f>"TRF"</f>
        <v>TRF</v>
      </c>
      <c r="G696" t="str">
        <f>""</f>
        <v/>
      </c>
      <c r="H696" t="str">
        <f>"TRANSFERENCIA APOIO DE CAIXA COOPERATIVA (102-&gt;120)"</f>
        <v>TRANSFERENCIA APOIO DE CAIXA COOPERATIVA (102-&gt;120)</v>
      </c>
      <c r="I696" t="str">
        <f t="shared" si="248"/>
        <v>20/01/2026</v>
      </c>
      <c r="J696" t="str">
        <f t="shared" si="248"/>
        <v>20/01/2026</v>
      </c>
      <c r="K696" t="str">
        <f t="shared" si="248"/>
        <v>20/01/2026</v>
      </c>
      <c r="N696">
        <v>120</v>
      </c>
      <c r="O696" t="str">
        <f>"CAIXA - COOPERATIVA"</f>
        <v>CAIXA - COOPERATIVA</v>
      </c>
      <c r="S696" t="str">
        <f>"CAIXA - COOPERATIVA (120)"</f>
        <v>CAIXA - COOPERATIVA (120)</v>
      </c>
      <c r="T696">
        <v>4186</v>
      </c>
      <c r="U696">
        <v>0</v>
      </c>
      <c r="V696" t="s">
        <v>56</v>
      </c>
    </row>
    <row r="697" spans="1:22">
      <c r="A697" t="str">
        <f t="shared" si="236"/>
        <v>20/01/2026</v>
      </c>
      <c r="B697" t="str">
        <f>"ENTRADA"</f>
        <v>ENTRADA</v>
      </c>
      <c r="C697" t="str">
        <f>"TRANSFERENCIA"</f>
        <v>TRANSFERENCIA</v>
      </c>
      <c r="D697" t="str">
        <f>""</f>
        <v/>
      </c>
      <c r="F697" t="str">
        <f>"TRF"</f>
        <v>TRF</v>
      </c>
      <c r="G697" t="str">
        <f>""</f>
        <v/>
      </c>
      <c r="H697" t="str">
        <f>"TRANSFERENCIA ENTRE CONTAS (131-&gt;102)"</f>
        <v>TRANSFERENCIA ENTRE CONTAS (131-&gt;102)</v>
      </c>
      <c r="I697" t="str">
        <f t="shared" si="248"/>
        <v>20/01/2026</v>
      </c>
      <c r="J697" t="str">
        <f t="shared" si="248"/>
        <v>20/01/2026</v>
      </c>
      <c r="K697" t="str">
        <f t="shared" si="248"/>
        <v>20/01/2026</v>
      </c>
      <c r="N697">
        <v>102</v>
      </c>
      <c r="O697" t="str">
        <f>"BANCO CORA"</f>
        <v>BANCO CORA</v>
      </c>
      <c r="P697">
        <v>23000</v>
      </c>
      <c r="S697" t="str">
        <f>"BANCO CORA (102)"</f>
        <v>BANCO CORA (102)</v>
      </c>
      <c r="T697">
        <v>4187</v>
      </c>
      <c r="U697">
        <v>0</v>
      </c>
      <c r="V697" t="s">
        <v>22</v>
      </c>
    </row>
    <row r="698" spans="1:22">
      <c r="A698" t="str">
        <f t="shared" si="236"/>
        <v>20/01/2026</v>
      </c>
      <c r="B698" t="str">
        <f>"SAÍDA"</f>
        <v>SAÍDA</v>
      </c>
      <c r="C698" t="str">
        <f>"TRANSFERENCIA"</f>
        <v>TRANSFERENCIA</v>
      </c>
      <c r="D698" t="str">
        <f>""</f>
        <v/>
      </c>
      <c r="F698" t="str">
        <f>"TRF"</f>
        <v>TRF</v>
      </c>
      <c r="G698" t="str">
        <f>""</f>
        <v/>
      </c>
      <c r="H698" t="str">
        <f>"TRANSFERENCIA ENTRE CONTAS (131-&gt;102)"</f>
        <v>TRANSFERENCIA ENTRE CONTAS (131-&gt;102)</v>
      </c>
      <c r="I698" t="str">
        <f t="shared" si="248"/>
        <v>20/01/2026</v>
      </c>
      <c r="J698" t="str">
        <f t="shared" si="248"/>
        <v>20/01/2026</v>
      </c>
      <c r="K698" t="str">
        <f t="shared" si="248"/>
        <v>20/01/2026</v>
      </c>
      <c r="N698">
        <v>131</v>
      </c>
      <c r="O698" t="str">
        <f>"BANCO SICREDI"</f>
        <v>BANCO SICREDI</v>
      </c>
      <c r="S698" t="str">
        <f>"BANCO SICREDI (131)"</f>
        <v>BANCO SICREDI (131)</v>
      </c>
      <c r="T698">
        <v>4187</v>
      </c>
      <c r="U698">
        <v>0</v>
      </c>
      <c r="V698" t="s">
        <v>88</v>
      </c>
    </row>
    <row r="699" spans="1:22">
      <c r="A699" t="str">
        <f t="shared" si="236"/>
        <v>20/01/2026</v>
      </c>
      <c r="B699" t="str">
        <f>"SAÍDA"</f>
        <v>SAÍDA</v>
      </c>
      <c r="C699" t="str">
        <f>"RESGATE"</f>
        <v>RESGATE</v>
      </c>
      <c r="D699" t="str">
        <f>""</f>
        <v/>
      </c>
      <c r="F699" t="str">
        <f>"RES"</f>
        <v>RES</v>
      </c>
      <c r="G699" t="str">
        <f>""</f>
        <v/>
      </c>
      <c r="H699" t="str">
        <f>"RESGATE APLICAÇAO FINANCEIRA SICREDI"</f>
        <v>RESGATE APLICAÇAO FINANCEIRA SICREDI</v>
      </c>
      <c r="I699" t="str">
        <f t="shared" si="248"/>
        <v>20/01/2026</v>
      </c>
      <c r="J699" t="str">
        <f t="shared" si="248"/>
        <v>20/01/2026</v>
      </c>
      <c r="K699" t="str">
        <f t="shared" si="248"/>
        <v>20/01/2026</v>
      </c>
      <c r="N699">
        <v>121</v>
      </c>
      <c r="O699" t="str">
        <f>"APLICAÇÃO BANCO A"</f>
        <v>APLICAÇÃO BANCO A</v>
      </c>
      <c r="P699">
        <v>23000</v>
      </c>
      <c r="S699" t="str">
        <f>"APLICAÇÃO BANCO A (121)"</f>
        <v>APLICAÇÃO BANCO A (121)</v>
      </c>
      <c r="T699">
        <v>4219</v>
      </c>
      <c r="U699">
        <v>0</v>
      </c>
      <c r="V699" t="s">
        <v>200</v>
      </c>
    </row>
    <row r="700" spans="1:22">
      <c r="A700" t="str">
        <f t="shared" si="236"/>
        <v>20/01/2026</v>
      </c>
      <c r="B700" t="str">
        <f t="shared" ref="B700:B731" si="249">"ENTRADA"</f>
        <v>ENTRADA</v>
      </c>
      <c r="C700" t="str">
        <f>"RESGATE"</f>
        <v>RESGATE</v>
      </c>
      <c r="D700" t="str">
        <f>""</f>
        <v/>
      </c>
      <c r="F700" t="str">
        <f>"RES"</f>
        <v>RES</v>
      </c>
      <c r="G700" t="str">
        <f>""</f>
        <v/>
      </c>
      <c r="H700" t="str">
        <f>"RESGATE APLICAÇAO FINANCEIRA SICREDI"</f>
        <v>RESGATE APLICAÇAO FINANCEIRA SICREDI</v>
      </c>
      <c r="I700" t="str">
        <f t="shared" si="248"/>
        <v>20/01/2026</v>
      </c>
      <c r="J700" t="str">
        <f t="shared" si="248"/>
        <v>20/01/2026</v>
      </c>
      <c r="K700" t="str">
        <f t="shared" si="248"/>
        <v>20/01/2026</v>
      </c>
      <c r="N700">
        <v>131</v>
      </c>
      <c r="O700" t="str">
        <f>"BANCO SICREDI"</f>
        <v>BANCO SICREDI</v>
      </c>
      <c r="S700" t="str">
        <f>"BANCO SICREDI (131)"</f>
        <v>BANCO SICREDI (131)</v>
      </c>
      <c r="T700">
        <v>4219</v>
      </c>
      <c r="U700">
        <v>0</v>
      </c>
      <c r="V700" t="s">
        <v>88</v>
      </c>
    </row>
    <row r="701" spans="1:22">
      <c r="A701" t="str">
        <f t="shared" ref="A701:A732" si="250">("21/01/2026")</f>
        <v>21/01/2026</v>
      </c>
      <c r="B701" t="str">
        <f t="shared" si="249"/>
        <v>ENTRADA</v>
      </c>
      <c r="C701" t="str">
        <f t="shared" ref="C701:C732" si="251">"NFSE"</f>
        <v>NFSE</v>
      </c>
      <c r="D701" t="str">
        <f t="shared" ref="D701:D718" si="252">"93"</f>
        <v>93</v>
      </c>
      <c r="E701" t="str">
        <f t="shared" ref="E701:E732" si="253">"1"</f>
        <v>1</v>
      </c>
      <c r="F701" t="str">
        <f t="shared" ref="F701:F732" si="254">"COM"</f>
        <v>COM</v>
      </c>
      <c r="G701" t="str">
        <f t="shared" ref="G701:G718" si="255">"FARMÁCIA INDIANA LJ 30 (10127)"</f>
        <v>FARMÁCIA INDIANA LJ 30 (10127)</v>
      </c>
      <c r="H701" t="str">
        <f>"Serv.Prest. 05/01/2026 a 11/01/2026 - RPS: 2019 - NFSe: 93"</f>
        <v>Serv.Prest. 05/01/2026 a 11/01/2026 - RPS: 2019 - NFSe: 93</v>
      </c>
      <c r="I701" t="str">
        <f t="shared" ref="I701:I732" si="256">("21/01/2026")</f>
        <v>21/01/2026</v>
      </c>
      <c r="J701" t="str">
        <f t="shared" ref="J701:J732" si="257">("13/01/2026")</f>
        <v>13/01/2026</v>
      </c>
      <c r="K701" t="str">
        <f>("21/01/2026")</f>
        <v>21/01/2026</v>
      </c>
      <c r="L701">
        <v>3363.7</v>
      </c>
      <c r="M701">
        <v>3363.7</v>
      </c>
      <c r="N701">
        <v>303</v>
      </c>
      <c r="O701" t="str">
        <f>"RECEITAS COM ENTREGAS"</f>
        <v>RECEITAS COM ENTREGAS</v>
      </c>
      <c r="P701">
        <v>3363.7</v>
      </c>
      <c r="S701" t="str">
        <f>"RECEITAS COM ENTREGAS (303)"</f>
        <v>RECEITAS COM ENTREGAS (303)</v>
      </c>
      <c r="T701">
        <v>4110</v>
      </c>
      <c r="U701">
        <v>3374</v>
      </c>
      <c r="V701" t="s">
        <v>22</v>
      </c>
    </row>
    <row r="702" spans="1:22">
      <c r="A702" t="str">
        <f t="shared" si="250"/>
        <v>21/01/2026</v>
      </c>
      <c r="B702" t="str">
        <f t="shared" si="249"/>
        <v>ENTRADA</v>
      </c>
      <c r="C702" t="str">
        <f t="shared" si="251"/>
        <v>NFSE</v>
      </c>
      <c r="D702" t="str">
        <f t="shared" si="252"/>
        <v>93</v>
      </c>
      <c r="E702" t="str">
        <f t="shared" si="253"/>
        <v>1</v>
      </c>
      <c r="F702" t="str">
        <f t="shared" si="254"/>
        <v>COM</v>
      </c>
      <c r="G702" t="str">
        <f t="shared" si="255"/>
        <v>FARMÁCIA INDIANA LJ 30 (10127)</v>
      </c>
      <c r="H702" t="s">
        <v>210</v>
      </c>
      <c r="I702" t="str">
        <f t="shared" si="256"/>
        <v>21/01/2026</v>
      </c>
      <c r="J702" t="str">
        <f t="shared" si="257"/>
        <v>13/01/2026</v>
      </c>
      <c r="K702">
        <v>46043</v>
      </c>
      <c r="N702">
        <v>303</v>
      </c>
      <c r="O702" t="s">
        <v>26</v>
      </c>
      <c r="Q702">
        <v>343.43</v>
      </c>
      <c r="R702" t="str">
        <f>"FARMÁCIA INDIANA LJ 34 (10014)"</f>
        <v>FARMÁCIA INDIANA LJ 34 (10014)</v>
      </c>
      <c r="S702" t="s">
        <v>27</v>
      </c>
      <c r="T702">
        <v>4110</v>
      </c>
      <c r="U702">
        <v>3374</v>
      </c>
      <c r="V702" t="s">
        <v>22</v>
      </c>
    </row>
    <row r="703" spans="1:22">
      <c r="A703" t="str">
        <f t="shared" si="250"/>
        <v>21/01/2026</v>
      </c>
      <c r="B703" t="str">
        <f t="shared" si="249"/>
        <v>ENTRADA</v>
      </c>
      <c r="C703" t="str">
        <f t="shared" si="251"/>
        <v>NFSE</v>
      </c>
      <c r="D703" t="str">
        <f t="shared" si="252"/>
        <v>93</v>
      </c>
      <c r="E703" t="str">
        <f t="shared" si="253"/>
        <v>1</v>
      </c>
      <c r="F703" t="str">
        <f t="shared" si="254"/>
        <v>COM</v>
      </c>
      <c r="G703" t="str">
        <f t="shared" si="255"/>
        <v>FARMÁCIA INDIANA LJ 30 (10127)</v>
      </c>
      <c r="H703" t="s">
        <v>210</v>
      </c>
      <c r="I703" t="str">
        <f t="shared" si="256"/>
        <v>21/01/2026</v>
      </c>
      <c r="J703" t="str">
        <f t="shared" si="257"/>
        <v>13/01/2026</v>
      </c>
      <c r="K703">
        <v>46043</v>
      </c>
      <c r="N703">
        <v>303</v>
      </c>
      <c r="O703" t="s">
        <v>26</v>
      </c>
      <c r="Q703">
        <v>167.85</v>
      </c>
      <c r="R703" t="str">
        <f>"FARMÁCIA INDIANA LJ 35 (10015)"</f>
        <v>FARMÁCIA INDIANA LJ 35 (10015)</v>
      </c>
      <c r="S703" t="s">
        <v>27</v>
      </c>
      <c r="T703">
        <v>4110</v>
      </c>
      <c r="U703">
        <v>3374</v>
      </c>
      <c r="V703" t="s">
        <v>22</v>
      </c>
    </row>
    <row r="704" spans="1:22">
      <c r="A704" t="str">
        <f t="shared" si="250"/>
        <v>21/01/2026</v>
      </c>
      <c r="B704" t="str">
        <f t="shared" si="249"/>
        <v>ENTRADA</v>
      </c>
      <c r="C704" t="str">
        <f t="shared" si="251"/>
        <v>NFSE</v>
      </c>
      <c r="D704" t="str">
        <f t="shared" si="252"/>
        <v>93</v>
      </c>
      <c r="E704" t="str">
        <f t="shared" si="253"/>
        <v>1</v>
      </c>
      <c r="F704" t="str">
        <f t="shared" si="254"/>
        <v>COM</v>
      </c>
      <c r="G704" t="str">
        <f t="shared" si="255"/>
        <v>FARMÁCIA INDIANA LJ 30 (10127)</v>
      </c>
      <c r="H704" t="s">
        <v>210</v>
      </c>
      <c r="I704" t="str">
        <f t="shared" si="256"/>
        <v>21/01/2026</v>
      </c>
      <c r="J704" t="str">
        <f t="shared" si="257"/>
        <v>13/01/2026</v>
      </c>
      <c r="K704">
        <v>46043</v>
      </c>
      <c r="N704">
        <v>303</v>
      </c>
      <c r="O704" t="s">
        <v>26</v>
      </c>
      <c r="Q704">
        <v>287.60000000000002</v>
      </c>
      <c r="R704" t="str">
        <f>"FARMÁCIA INDIANA LJ 48 (10018)"</f>
        <v>FARMÁCIA INDIANA LJ 48 (10018)</v>
      </c>
      <c r="S704" t="s">
        <v>27</v>
      </c>
      <c r="T704">
        <v>4110</v>
      </c>
      <c r="U704">
        <v>3374</v>
      </c>
      <c r="V704" t="s">
        <v>22</v>
      </c>
    </row>
    <row r="705" spans="1:22">
      <c r="A705" t="str">
        <f t="shared" si="250"/>
        <v>21/01/2026</v>
      </c>
      <c r="B705" t="str">
        <f t="shared" si="249"/>
        <v>ENTRADA</v>
      </c>
      <c r="C705" t="str">
        <f t="shared" si="251"/>
        <v>NFSE</v>
      </c>
      <c r="D705" t="str">
        <f t="shared" si="252"/>
        <v>93</v>
      </c>
      <c r="E705" t="str">
        <f t="shared" si="253"/>
        <v>1</v>
      </c>
      <c r="F705" t="str">
        <f t="shared" si="254"/>
        <v>COM</v>
      </c>
      <c r="G705" t="str">
        <f t="shared" si="255"/>
        <v>FARMÁCIA INDIANA LJ 30 (10127)</v>
      </c>
      <c r="H705" t="s">
        <v>210</v>
      </c>
      <c r="I705" t="str">
        <f t="shared" si="256"/>
        <v>21/01/2026</v>
      </c>
      <c r="J705" t="str">
        <f t="shared" si="257"/>
        <v>13/01/2026</v>
      </c>
      <c r="K705">
        <v>46043</v>
      </c>
      <c r="N705">
        <v>303</v>
      </c>
      <c r="O705" t="s">
        <v>26</v>
      </c>
      <c r="Q705">
        <v>348.82</v>
      </c>
      <c r="R705" t="str">
        <f>"FARMÁCIA INDIANA LJ 65 (10030)"</f>
        <v>FARMÁCIA INDIANA LJ 65 (10030)</v>
      </c>
      <c r="S705" t="s">
        <v>27</v>
      </c>
      <c r="T705">
        <v>4110</v>
      </c>
      <c r="U705">
        <v>3374</v>
      </c>
      <c r="V705" t="s">
        <v>22</v>
      </c>
    </row>
    <row r="706" spans="1:22">
      <c r="A706" t="str">
        <f t="shared" si="250"/>
        <v>21/01/2026</v>
      </c>
      <c r="B706" t="str">
        <f t="shared" si="249"/>
        <v>ENTRADA</v>
      </c>
      <c r="C706" t="str">
        <f t="shared" si="251"/>
        <v>NFSE</v>
      </c>
      <c r="D706" t="str">
        <f t="shared" si="252"/>
        <v>93</v>
      </c>
      <c r="E706" t="str">
        <f t="shared" si="253"/>
        <v>1</v>
      </c>
      <c r="F706" t="str">
        <f t="shared" si="254"/>
        <v>COM</v>
      </c>
      <c r="G706" t="str">
        <f t="shared" si="255"/>
        <v>FARMÁCIA INDIANA LJ 30 (10127)</v>
      </c>
      <c r="H706" t="s">
        <v>210</v>
      </c>
      <c r="I706" t="str">
        <f t="shared" si="256"/>
        <v>21/01/2026</v>
      </c>
      <c r="J706" t="str">
        <f t="shared" si="257"/>
        <v>13/01/2026</v>
      </c>
      <c r="K706">
        <v>46043</v>
      </c>
      <c r="N706">
        <v>303</v>
      </c>
      <c r="O706" t="s">
        <v>26</v>
      </c>
      <c r="Q706">
        <v>85.77</v>
      </c>
      <c r="R706" t="str">
        <f>"FARMÁCIA INDIANA LJ 77 (10034)"</f>
        <v>FARMÁCIA INDIANA LJ 77 (10034)</v>
      </c>
      <c r="S706" t="s">
        <v>27</v>
      </c>
      <c r="T706">
        <v>4110</v>
      </c>
      <c r="U706">
        <v>3374</v>
      </c>
      <c r="V706" t="s">
        <v>22</v>
      </c>
    </row>
    <row r="707" spans="1:22">
      <c r="A707" t="str">
        <f t="shared" si="250"/>
        <v>21/01/2026</v>
      </c>
      <c r="B707" t="str">
        <f t="shared" si="249"/>
        <v>ENTRADA</v>
      </c>
      <c r="C707" t="str">
        <f t="shared" si="251"/>
        <v>NFSE</v>
      </c>
      <c r="D707" t="str">
        <f t="shared" si="252"/>
        <v>93</v>
      </c>
      <c r="E707" t="str">
        <f t="shared" si="253"/>
        <v>1</v>
      </c>
      <c r="F707" t="str">
        <f t="shared" si="254"/>
        <v>COM</v>
      </c>
      <c r="G707" t="str">
        <f t="shared" si="255"/>
        <v>FARMÁCIA INDIANA LJ 30 (10127)</v>
      </c>
      <c r="H707" t="s">
        <v>210</v>
      </c>
      <c r="I707" t="str">
        <f t="shared" si="256"/>
        <v>21/01/2026</v>
      </c>
      <c r="J707" t="str">
        <f t="shared" si="257"/>
        <v>13/01/2026</v>
      </c>
      <c r="K707">
        <v>46043</v>
      </c>
      <c r="N707">
        <v>303</v>
      </c>
      <c r="O707" t="s">
        <v>26</v>
      </c>
      <c r="Q707">
        <v>635.07000000000005</v>
      </c>
      <c r="R707" t="str">
        <f>"FARMÁCIA INDIANA LJ 91 (10037)"</f>
        <v>FARMÁCIA INDIANA LJ 91 (10037)</v>
      </c>
      <c r="S707" t="s">
        <v>27</v>
      </c>
      <c r="T707">
        <v>4110</v>
      </c>
      <c r="U707">
        <v>3374</v>
      </c>
      <c r="V707" t="s">
        <v>22</v>
      </c>
    </row>
    <row r="708" spans="1:22">
      <c r="A708" t="str">
        <f t="shared" si="250"/>
        <v>21/01/2026</v>
      </c>
      <c r="B708" t="str">
        <f t="shared" si="249"/>
        <v>ENTRADA</v>
      </c>
      <c r="C708" t="str">
        <f t="shared" si="251"/>
        <v>NFSE</v>
      </c>
      <c r="D708" t="str">
        <f t="shared" si="252"/>
        <v>93</v>
      </c>
      <c r="E708" t="str">
        <f t="shared" si="253"/>
        <v>1</v>
      </c>
      <c r="F708" t="str">
        <f t="shared" si="254"/>
        <v>COM</v>
      </c>
      <c r="G708" t="str">
        <f t="shared" si="255"/>
        <v>FARMÁCIA INDIANA LJ 30 (10127)</v>
      </c>
      <c r="H708" t="s">
        <v>210</v>
      </c>
      <c r="I708" t="str">
        <f t="shared" si="256"/>
        <v>21/01/2026</v>
      </c>
      <c r="J708" t="str">
        <f t="shared" si="257"/>
        <v>13/01/2026</v>
      </c>
      <c r="K708">
        <v>46043</v>
      </c>
      <c r="N708">
        <v>303</v>
      </c>
      <c r="O708" t="s">
        <v>26</v>
      </c>
      <c r="Q708">
        <v>193.75</v>
      </c>
      <c r="R708" t="str">
        <f>"FARMÁCIA INDIANA LJ 95 (10039)"</f>
        <v>FARMÁCIA INDIANA LJ 95 (10039)</v>
      </c>
      <c r="S708" t="s">
        <v>27</v>
      </c>
      <c r="T708">
        <v>4110</v>
      </c>
      <c r="U708">
        <v>3374</v>
      </c>
      <c r="V708" t="s">
        <v>22</v>
      </c>
    </row>
    <row r="709" spans="1:22">
      <c r="A709" t="str">
        <f t="shared" si="250"/>
        <v>21/01/2026</v>
      </c>
      <c r="B709" t="str">
        <f t="shared" si="249"/>
        <v>ENTRADA</v>
      </c>
      <c r="C709" t="str">
        <f t="shared" si="251"/>
        <v>NFSE</v>
      </c>
      <c r="D709" t="str">
        <f t="shared" si="252"/>
        <v>93</v>
      </c>
      <c r="E709" t="str">
        <f t="shared" si="253"/>
        <v>1</v>
      </c>
      <c r="F709" t="str">
        <f t="shared" si="254"/>
        <v>COM</v>
      </c>
      <c r="G709" t="str">
        <f t="shared" si="255"/>
        <v>FARMÁCIA INDIANA LJ 30 (10127)</v>
      </c>
      <c r="H709" t="s">
        <v>210</v>
      </c>
      <c r="I709" t="str">
        <f t="shared" si="256"/>
        <v>21/01/2026</v>
      </c>
      <c r="J709" t="str">
        <f t="shared" si="257"/>
        <v>13/01/2026</v>
      </c>
      <c r="K709">
        <v>46043</v>
      </c>
      <c r="N709">
        <v>303</v>
      </c>
      <c r="O709" t="s">
        <v>26</v>
      </c>
      <c r="Q709">
        <v>146.32</v>
      </c>
      <c r="R709" t="str">
        <f>"FARMÁCIA INDIANA LJ 145 (10068)"</f>
        <v>FARMÁCIA INDIANA LJ 145 (10068)</v>
      </c>
      <c r="S709" t="s">
        <v>27</v>
      </c>
      <c r="T709">
        <v>4110</v>
      </c>
      <c r="U709">
        <v>3374</v>
      </c>
      <c r="V709" t="s">
        <v>22</v>
      </c>
    </row>
    <row r="710" spans="1:22">
      <c r="A710" t="str">
        <f t="shared" si="250"/>
        <v>21/01/2026</v>
      </c>
      <c r="B710" t="str">
        <f t="shared" si="249"/>
        <v>ENTRADA</v>
      </c>
      <c r="C710" t="str">
        <f t="shared" si="251"/>
        <v>NFSE</v>
      </c>
      <c r="D710" t="str">
        <f t="shared" si="252"/>
        <v>93</v>
      </c>
      <c r="E710" t="str">
        <f t="shared" si="253"/>
        <v>1</v>
      </c>
      <c r="F710" t="str">
        <f t="shared" si="254"/>
        <v>COM</v>
      </c>
      <c r="G710" t="str">
        <f t="shared" si="255"/>
        <v>FARMÁCIA INDIANA LJ 30 (10127)</v>
      </c>
      <c r="H710" t="s">
        <v>210</v>
      </c>
      <c r="I710" t="str">
        <f t="shared" si="256"/>
        <v>21/01/2026</v>
      </c>
      <c r="J710" t="str">
        <f t="shared" si="257"/>
        <v>13/01/2026</v>
      </c>
      <c r="K710">
        <v>46043</v>
      </c>
      <c r="N710">
        <v>303</v>
      </c>
      <c r="O710" t="s">
        <v>26</v>
      </c>
      <c r="Q710">
        <v>142.96</v>
      </c>
      <c r="R710" t="str">
        <f>"FARMÁCIA INDIANA LJ 169 (10073)"</f>
        <v>FARMÁCIA INDIANA LJ 169 (10073)</v>
      </c>
      <c r="S710" t="s">
        <v>27</v>
      </c>
      <c r="T710">
        <v>4110</v>
      </c>
      <c r="U710">
        <v>3374</v>
      </c>
      <c r="V710" t="s">
        <v>22</v>
      </c>
    </row>
    <row r="711" spans="1:22">
      <c r="A711" t="str">
        <f t="shared" si="250"/>
        <v>21/01/2026</v>
      </c>
      <c r="B711" t="str">
        <f t="shared" si="249"/>
        <v>ENTRADA</v>
      </c>
      <c r="C711" t="str">
        <f t="shared" si="251"/>
        <v>NFSE</v>
      </c>
      <c r="D711" t="str">
        <f t="shared" si="252"/>
        <v>93</v>
      </c>
      <c r="E711" t="str">
        <f t="shared" si="253"/>
        <v>1</v>
      </c>
      <c r="F711" t="str">
        <f t="shared" si="254"/>
        <v>COM</v>
      </c>
      <c r="G711" t="str">
        <f t="shared" si="255"/>
        <v>FARMÁCIA INDIANA LJ 30 (10127)</v>
      </c>
      <c r="H711" t="s">
        <v>210</v>
      </c>
      <c r="I711" t="str">
        <f t="shared" si="256"/>
        <v>21/01/2026</v>
      </c>
      <c r="J711" t="str">
        <f t="shared" si="257"/>
        <v>13/01/2026</v>
      </c>
      <c r="K711">
        <v>46043</v>
      </c>
      <c r="N711">
        <v>303</v>
      </c>
      <c r="O711" t="s">
        <v>26</v>
      </c>
      <c r="Q711">
        <v>174.24</v>
      </c>
      <c r="R711" t="str">
        <f>"FARMÁCIA INDIANA LJ 173 (10075)"</f>
        <v>FARMÁCIA INDIANA LJ 173 (10075)</v>
      </c>
      <c r="S711" t="s">
        <v>27</v>
      </c>
      <c r="T711">
        <v>4110</v>
      </c>
      <c r="U711">
        <v>3374</v>
      </c>
      <c r="V711" t="s">
        <v>22</v>
      </c>
    </row>
    <row r="712" spans="1:22">
      <c r="A712" t="str">
        <f t="shared" si="250"/>
        <v>21/01/2026</v>
      </c>
      <c r="B712" t="str">
        <f t="shared" si="249"/>
        <v>ENTRADA</v>
      </c>
      <c r="C712" t="str">
        <f t="shared" si="251"/>
        <v>NFSE</v>
      </c>
      <c r="D712" t="str">
        <f t="shared" si="252"/>
        <v>93</v>
      </c>
      <c r="E712" t="str">
        <f t="shared" si="253"/>
        <v>1</v>
      </c>
      <c r="F712" t="str">
        <f t="shared" si="254"/>
        <v>COM</v>
      </c>
      <c r="G712" t="str">
        <f t="shared" si="255"/>
        <v>FARMÁCIA INDIANA LJ 30 (10127)</v>
      </c>
      <c r="H712" t="s">
        <v>210</v>
      </c>
      <c r="I712" t="str">
        <f t="shared" si="256"/>
        <v>21/01/2026</v>
      </c>
      <c r="J712" t="str">
        <f t="shared" si="257"/>
        <v>13/01/2026</v>
      </c>
      <c r="K712">
        <v>46043</v>
      </c>
      <c r="N712">
        <v>303</v>
      </c>
      <c r="O712" t="s">
        <v>26</v>
      </c>
      <c r="Q712">
        <v>99.9</v>
      </c>
      <c r="R712" t="str">
        <f>"FARMÁCIA INDIANA LJ 213 (10090)"</f>
        <v>FARMÁCIA INDIANA LJ 213 (10090)</v>
      </c>
      <c r="S712" t="s">
        <v>27</v>
      </c>
      <c r="T712">
        <v>4110</v>
      </c>
      <c r="U712">
        <v>3374</v>
      </c>
      <c r="V712" t="s">
        <v>22</v>
      </c>
    </row>
    <row r="713" spans="1:22">
      <c r="A713" t="str">
        <f t="shared" si="250"/>
        <v>21/01/2026</v>
      </c>
      <c r="B713" t="str">
        <f t="shared" si="249"/>
        <v>ENTRADA</v>
      </c>
      <c r="C713" t="str">
        <f t="shared" si="251"/>
        <v>NFSE</v>
      </c>
      <c r="D713" t="str">
        <f t="shared" si="252"/>
        <v>93</v>
      </c>
      <c r="E713" t="str">
        <f t="shared" si="253"/>
        <v>1</v>
      </c>
      <c r="F713" t="str">
        <f t="shared" si="254"/>
        <v>COM</v>
      </c>
      <c r="G713" t="str">
        <f t="shared" si="255"/>
        <v>FARMÁCIA INDIANA LJ 30 (10127)</v>
      </c>
      <c r="H713" t="s">
        <v>210</v>
      </c>
      <c r="I713" t="str">
        <f t="shared" si="256"/>
        <v>21/01/2026</v>
      </c>
      <c r="J713" t="str">
        <f t="shared" si="257"/>
        <v>13/01/2026</v>
      </c>
      <c r="K713">
        <v>46043</v>
      </c>
      <c r="N713">
        <v>303</v>
      </c>
      <c r="O713" t="s">
        <v>26</v>
      </c>
      <c r="Q713">
        <v>135.88999999999999</v>
      </c>
      <c r="R713" t="str">
        <f>"FARMÁCIA INDIANA LJ 200 (10155)"</f>
        <v>FARMÁCIA INDIANA LJ 200 (10155)</v>
      </c>
      <c r="S713" t="s">
        <v>27</v>
      </c>
      <c r="T713">
        <v>4110</v>
      </c>
      <c r="U713">
        <v>3374</v>
      </c>
      <c r="V713" t="s">
        <v>22</v>
      </c>
    </row>
    <row r="714" spans="1:22">
      <c r="A714" t="str">
        <f t="shared" si="250"/>
        <v>21/01/2026</v>
      </c>
      <c r="B714" t="str">
        <f t="shared" si="249"/>
        <v>ENTRADA</v>
      </c>
      <c r="C714" t="str">
        <f t="shared" si="251"/>
        <v>NFSE</v>
      </c>
      <c r="D714" t="str">
        <f t="shared" si="252"/>
        <v>93</v>
      </c>
      <c r="E714" t="str">
        <f t="shared" si="253"/>
        <v>1</v>
      </c>
      <c r="F714" t="str">
        <f t="shared" si="254"/>
        <v>COM</v>
      </c>
      <c r="G714" t="str">
        <f t="shared" si="255"/>
        <v>FARMÁCIA INDIANA LJ 30 (10127)</v>
      </c>
      <c r="H714" t="s">
        <v>210</v>
      </c>
      <c r="I714" t="str">
        <f t="shared" si="256"/>
        <v>21/01/2026</v>
      </c>
      <c r="J714" t="str">
        <f t="shared" si="257"/>
        <v>13/01/2026</v>
      </c>
      <c r="K714">
        <v>46043</v>
      </c>
      <c r="N714">
        <v>303</v>
      </c>
      <c r="O714" t="s">
        <v>26</v>
      </c>
      <c r="Q714">
        <v>123.78</v>
      </c>
      <c r="R714" t="str">
        <f>"FARMÁCIA INDIANA LJ 33 (10187)"</f>
        <v>FARMÁCIA INDIANA LJ 33 (10187)</v>
      </c>
      <c r="S714" t="s">
        <v>27</v>
      </c>
      <c r="T714">
        <v>4110</v>
      </c>
      <c r="U714">
        <v>3374</v>
      </c>
      <c r="V714" t="s">
        <v>22</v>
      </c>
    </row>
    <row r="715" spans="1:22">
      <c r="A715" t="str">
        <f t="shared" si="250"/>
        <v>21/01/2026</v>
      </c>
      <c r="B715" t="str">
        <f t="shared" si="249"/>
        <v>ENTRADA</v>
      </c>
      <c r="C715" t="str">
        <f t="shared" si="251"/>
        <v>NFSE</v>
      </c>
      <c r="D715" t="str">
        <f t="shared" si="252"/>
        <v>93</v>
      </c>
      <c r="E715" t="str">
        <f t="shared" si="253"/>
        <v>1</v>
      </c>
      <c r="F715" t="str">
        <f t="shared" si="254"/>
        <v>COM</v>
      </c>
      <c r="G715" t="str">
        <f t="shared" si="255"/>
        <v>FARMÁCIA INDIANA LJ 30 (10127)</v>
      </c>
      <c r="H715" t="s">
        <v>210</v>
      </c>
      <c r="I715" t="str">
        <f t="shared" si="256"/>
        <v>21/01/2026</v>
      </c>
      <c r="J715" t="str">
        <f t="shared" si="257"/>
        <v>13/01/2026</v>
      </c>
      <c r="K715">
        <v>46043</v>
      </c>
      <c r="N715">
        <v>303</v>
      </c>
      <c r="O715" t="s">
        <v>26</v>
      </c>
      <c r="Q715">
        <v>99.9</v>
      </c>
      <c r="R715" t="str">
        <f>"FARMÁCIA INDIANA LJ 283 (10268)"</f>
        <v>FARMÁCIA INDIANA LJ 283 (10268)</v>
      </c>
      <c r="S715" t="s">
        <v>27</v>
      </c>
      <c r="T715">
        <v>4110</v>
      </c>
      <c r="U715">
        <v>3374</v>
      </c>
      <c r="V715" t="s">
        <v>22</v>
      </c>
    </row>
    <row r="716" spans="1:22">
      <c r="A716" t="str">
        <f t="shared" si="250"/>
        <v>21/01/2026</v>
      </c>
      <c r="B716" t="str">
        <f t="shared" si="249"/>
        <v>ENTRADA</v>
      </c>
      <c r="C716" t="str">
        <f t="shared" si="251"/>
        <v>NFSE</v>
      </c>
      <c r="D716" t="str">
        <f t="shared" si="252"/>
        <v>93</v>
      </c>
      <c r="E716" t="str">
        <f t="shared" si="253"/>
        <v>1</v>
      </c>
      <c r="F716" t="str">
        <f t="shared" si="254"/>
        <v>COM</v>
      </c>
      <c r="G716" t="str">
        <f t="shared" si="255"/>
        <v>FARMÁCIA INDIANA LJ 30 (10127)</v>
      </c>
      <c r="H716" t="s">
        <v>210</v>
      </c>
      <c r="I716" t="str">
        <f t="shared" si="256"/>
        <v>21/01/2026</v>
      </c>
      <c r="J716" t="str">
        <f t="shared" si="257"/>
        <v>13/01/2026</v>
      </c>
      <c r="K716">
        <v>46043</v>
      </c>
      <c r="N716">
        <v>303</v>
      </c>
      <c r="O716" t="s">
        <v>26</v>
      </c>
      <c r="Q716">
        <v>139.93</v>
      </c>
      <c r="R716" t="str">
        <f>"FARMÁCIA INDIANA LJ 155 (10273)"</f>
        <v>FARMÁCIA INDIANA LJ 155 (10273)</v>
      </c>
      <c r="S716" t="s">
        <v>27</v>
      </c>
      <c r="T716">
        <v>4110</v>
      </c>
      <c r="U716">
        <v>3374</v>
      </c>
      <c r="V716" t="s">
        <v>22</v>
      </c>
    </row>
    <row r="717" spans="1:22">
      <c r="A717" t="str">
        <f t="shared" si="250"/>
        <v>21/01/2026</v>
      </c>
      <c r="B717" t="str">
        <f t="shared" si="249"/>
        <v>ENTRADA</v>
      </c>
      <c r="C717" t="str">
        <f t="shared" si="251"/>
        <v>NFSE</v>
      </c>
      <c r="D717" t="str">
        <f t="shared" si="252"/>
        <v>93</v>
      </c>
      <c r="E717" t="str">
        <f t="shared" si="253"/>
        <v>1</v>
      </c>
      <c r="F717" t="str">
        <f t="shared" si="254"/>
        <v>COM</v>
      </c>
      <c r="G717" t="str">
        <f t="shared" si="255"/>
        <v>FARMÁCIA INDIANA LJ 30 (10127)</v>
      </c>
      <c r="H717" t="s">
        <v>210</v>
      </c>
      <c r="I717" t="str">
        <f t="shared" si="256"/>
        <v>21/01/2026</v>
      </c>
      <c r="J717" t="str">
        <f t="shared" si="257"/>
        <v>13/01/2026</v>
      </c>
      <c r="K717">
        <v>46043</v>
      </c>
      <c r="N717">
        <v>303</v>
      </c>
      <c r="O717" t="s">
        <v>26</v>
      </c>
      <c r="Q717">
        <v>114.03</v>
      </c>
      <c r="R717" t="str">
        <f>"FARMÁCIA INDIANA LJ 158 (10275)"</f>
        <v>FARMÁCIA INDIANA LJ 158 (10275)</v>
      </c>
      <c r="S717" t="s">
        <v>27</v>
      </c>
      <c r="T717">
        <v>4110</v>
      </c>
      <c r="U717">
        <v>3374</v>
      </c>
      <c r="V717" t="s">
        <v>22</v>
      </c>
    </row>
    <row r="718" spans="1:22">
      <c r="A718" t="str">
        <f t="shared" si="250"/>
        <v>21/01/2026</v>
      </c>
      <c r="B718" t="str">
        <f t="shared" si="249"/>
        <v>ENTRADA</v>
      </c>
      <c r="C718" t="str">
        <f t="shared" si="251"/>
        <v>NFSE</v>
      </c>
      <c r="D718" t="str">
        <f t="shared" si="252"/>
        <v>93</v>
      </c>
      <c r="E718" t="str">
        <f t="shared" si="253"/>
        <v>1</v>
      </c>
      <c r="F718" t="str">
        <f t="shared" si="254"/>
        <v>COM</v>
      </c>
      <c r="G718" t="str">
        <f t="shared" si="255"/>
        <v>FARMÁCIA INDIANA LJ 30 (10127)</v>
      </c>
      <c r="H718" t="s">
        <v>210</v>
      </c>
      <c r="I718" t="str">
        <f t="shared" si="256"/>
        <v>21/01/2026</v>
      </c>
      <c r="J718" t="str">
        <f t="shared" si="257"/>
        <v>13/01/2026</v>
      </c>
      <c r="K718">
        <v>46043</v>
      </c>
      <c r="N718">
        <v>303</v>
      </c>
      <c r="O718" t="s">
        <v>26</v>
      </c>
      <c r="Q718">
        <v>124.46</v>
      </c>
      <c r="R718" t="str">
        <f>"FARMÁCIA INDIANA LJ 92 (10281)"</f>
        <v>FARMÁCIA INDIANA LJ 92 (10281)</v>
      </c>
      <c r="S718" t="s">
        <v>27</v>
      </c>
      <c r="T718">
        <v>4110</v>
      </c>
      <c r="U718">
        <v>3374</v>
      </c>
      <c r="V718" t="s">
        <v>22</v>
      </c>
    </row>
    <row r="719" spans="1:22">
      <c r="A719" t="str">
        <f t="shared" si="250"/>
        <v>21/01/2026</v>
      </c>
      <c r="B719" t="str">
        <f t="shared" si="249"/>
        <v>ENTRADA</v>
      </c>
      <c r="C719" t="str">
        <f t="shared" si="251"/>
        <v>NFSE</v>
      </c>
      <c r="D719" t="str">
        <f t="shared" ref="D719:D730" si="258">"94"</f>
        <v>94</v>
      </c>
      <c r="E719" t="str">
        <f t="shared" si="253"/>
        <v>1</v>
      </c>
      <c r="F719" t="str">
        <f t="shared" si="254"/>
        <v>COM</v>
      </c>
      <c r="G719" t="str">
        <f t="shared" ref="G719:G730" si="259">"FARMÁCIA INDIANA LJ 85 (10128)"</f>
        <v>FARMÁCIA INDIANA LJ 85 (10128)</v>
      </c>
      <c r="H719" t="str">
        <f>"Serv.Prest. 05/01/2026 a 11/01/2026 - RPS: 2020 - NFSe: 94"</f>
        <v>Serv.Prest. 05/01/2026 a 11/01/2026 - RPS: 2020 - NFSe: 94</v>
      </c>
      <c r="I719" t="str">
        <f t="shared" si="256"/>
        <v>21/01/2026</v>
      </c>
      <c r="J719" t="str">
        <f t="shared" si="257"/>
        <v>13/01/2026</v>
      </c>
      <c r="K719" t="str">
        <f>("21/01/2026")</f>
        <v>21/01/2026</v>
      </c>
      <c r="L719">
        <v>1209.0999999999999</v>
      </c>
      <c r="M719">
        <v>1209.0999999999999</v>
      </c>
      <c r="N719">
        <v>303</v>
      </c>
      <c r="O719" t="str">
        <f>"RECEITAS COM ENTREGAS"</f>
        <v>RECEITAS COM ENTREGAS</v>
      </c>
      <c r="P719">
        <v>1209.0999999999999</v>
      </c>
      <c r="S719" t="str">
        <f>"RECEITAS COM ENTREGAS (303)"</f>
        <v>RECEITAS COM ENTREGAS (303)</v>
      </c>
      <c r="T719">
        <v>4111</v>
      </c>
      <c r="U719">
        <v>3375</v>
      </c>
      <c r="V719" t="s">
        <v>22</v>
      </c>
    </row>
    <row r="720" spans="1:22">
      <c r="A720" t="str">
        <f t="shared" si="250"/>
        <v>21/01/2026</v>
      </c>
      <c r="B720" t="str">
        <f t="shared" si="249"/>
        <v>ENTRADA</v>
      </c>
      <c r="C720" t="str">
        <f t="shared" si="251"/>
        <v>NFSE</v>
      </c>
      <c r="D720" t="str">
        <f t="shared" si="258"/>
        <v>94</v>
      </c>
      <c r="E720" t="str">
        <f t="shared" si="253"/>
        <v>1</v>
      </c>
      <c r="F720" t="str">
        <f t="shared" si="254"/>
        <v>COM</v>
      </c>
      <c r="G720" t="str">
        <f t="shared" si="259"/>
        <v>FARMÁCIA INDIANA LJ 85 (10128)</v>
      </c>
      <c r="H720" t="s">
        <v>211</v>
      </c>
      <c r="I720" t="str">
        <f t="shared" si="256"/>
        <v>21/01/2026</v>
      </c>
      <c r="J720" t="str">
        <f t="shared" si="257"/>
        <v>13/01/2026</v>
      </c>
      <c r="K720">
        <v>46043</v>
      </c>
      <c r="N720">
        <v>303</v>
      </c>
      <c r="O720" t="s">
        <v>26</v>
      </c>
      <c r="Q720">
        <v>245.56</v>
      </c>
      <c r="R720" t="str">
        <f>"FARMÁCIA INDIANA LJ 119 (10053)"</f>
        <v>FARMÁCIA INDIANA LJ 119 (10053)</v>
      </c>
      <c r="S720" t="s">
        <v>27</v>
      </c>
      <c r="T720">
        <v>4111</v>
      </c>
      <c r="U720">
        <v>3375</v>
      </c>
      <c r="V720" t="s">
        <v>22</v>
      </c>
    </row>
    <row r="721" spans="1:22">
      <c r="A721" t="str">
        <f t="shared" si="250"/>
        <v>21/01/2026</v>
      </c>
      <c r="B721" t="str">
        <f t="shared" si="249"/>
        <v>ENTRADA</v>
      </c>
      <c r="C721" t="str">
        <f t="shared" si="251"/>
        <v>NFSE</v>
      </c>
      <c r="D721" t="str">
        <f t="shared" si="258"/>
        <v>94</v>
      </c>
      <c r="E721" t="str">
        <f t="shared" si="253"/>
        <v>1</v>
      </c>
      <c r="F721" t="str">
        <f t="shared" si="254"/>
        <v>COM</v>
      </c>
      <c r="G721" t="str">
        <f t="shared" si="259"/>
        <v>FARMÁCIA INDIANA LJ 85 (10128)</v>
      </c>
      <c r="H721" t="s">
        <v>211</v>
      </c>
      <c r="I721" t="str">
        <f t="shared" si="256"/>
        <v>21/01/2026</v>
      </c>
      <c r="J721" t="str">
        <f t="shared" si="257"/>
        <v>13/01/2026</v>
      </c>
      <c r="K721">
        <v>46043</v>
      </c>
      <c r="N721">
        <v>303</v>
      </c>
      <c r="O721" t="s">
        <v>26</v>
      </c>
      <c r="Q721">
        <v>116.8</v>
      </c>
      <c r="R721" t="str">
        <f>"FARMÁCIA INDIANA LJ 163 (10072)"</f>
        <v>FARMÁCIA INDIANA LJ 163 (10072)</v>
      </c>
      <c r="S721" t="s">
        <v>27</v>
      </c>
      <c r="T721">
        <v>4111</v>
      </c>
      <c r="U721">
        <v>3375</v>
      </c>
      <c r="V721" t="s">
        <v>22</v>
      </c>
    </row>
    <row r="722" spans="1:22">
      <c r="A722" t="str">
        <f t="shared" si="250"/>
        <v>21/01/2026</v>
      </c>
      <c r="B722" t="str">
        <f t="shared" si="249"/>
        <v>ENTRADA</v>
      </c>
      <c r="C722" t="str">
        <f t="shared" si="251"/>
        <v>NFSE</v>
      </c>
      <c r="D722" t="str">
        <f t="shared" si="258"/>
        <v>94</v>
      </c>
      <c r="E722" t="str">
        <f t="shared" si="253"/>
        <v>1</v>
      </c>
      <c r="F722" t="str">
        <f t="shared" si="254"/>
        <v>COM</v>
      </c>
      <c r="G722" t="str">
        <f t="shared" si="259"/>
        <v>FARMÁCIA INDIANA LJ 85 (10128)</v>
      </c>
      <c r="H722" t="s">
        <v>211</v>
      </c>
      <c r="I722" t="str">
        <f t="shared" si="256"/>
        <v>21/01/2026</v>
      </c>
      <c r="J722" t="str">
        <f t="shared" si="257"/>
        <v>13/01/2026</v>
      </c>
      <c r="K722">
        <v>46043</v>
      </c>
      <c r="N722">
        <v>303</v>
      </c>
      <c r="O722" t="s">
        <v>26</v>
      </c>
      <c r="Q722">
        <v>178.83</v>
      </c>
      <c r="R722" t="str">
        <f>"FARMÁCIA INDIANA LJ 181 (10078)"</f>
        <v>FARMÁCIA INDIANA LJ 181 (10078)</v>
      </c>
      <c r="S722" t="s">
        <v>27</v>
      </c>
      <c r="T722">
        <v>4111</v>
      </c>
      <c r="U722">
        <v>3375</v>
      </c>
      <c r="V722" t="s">
        <v>22</v>
      </c>
    </row>
    <row r="723" spans="1:22">
      <c r="A723" t="str">
        <f t="shared" si="250"/>
        <v>21/01/2026</v>
      </c>
      <c r="B723" t="str">
        <f t="shared" si="249"/>
        <v>ENTRADA</v>
      </c>
      <c r="C723" t="str">
        <f t="shared" si="251"/>
        <v>NFSE</v>
      </c>
      <c r="D723" t="str">
        <f t="shared" si="258"/>
        <v>94</v>
      </c>
      <c r="E723" t="str">
        <f t="shared" si="253"/>
        <v>1</v>
      </c>
      <c r="F723" t="str">
        <f t="shared" si="254"/>
        <v>COM</v>
      </c>
      <c r="G723" t="str">
        <f t="shared" si="259"/>
        <v>FARMÁCIA INDIANA LJ 85 (10128)</v>
      </c>
      <c r="H723" t="s">
        <v>211</v>
      </c>
      <c r="I723" t="str">
        <f t="shared" si="256"/>
        <v>21/01/2026</v>
      </c>
      <c r="J723" t="str">
        <f t="shared" si="257"/>
        <v>13/01/2026</v>
      </c>
      <c r="K723">
        <v>46043</v>
      </c>
      <c r="N723">
        <v>303</v>
      </c>
      <c r="O723" t="s">
        <v>26</v>
      </c>
      <c r="Q723">
        <v>107.85</v>
      </c>
      <c r="R723" t="str">
        <f>"FARMÁCIA INDIANA LJ 221 (10093)"</f>
        <v>FARMÁCIA INDIANA LJ 221 (10093)</v>
      </c>
      <c r="S723" t="s">
        <v>27</v>
      </c>
      <c r="T723">
        <v>4111</v>
      </c>
      <c r="U723">
        <v>3375</v>
      </c>
      <c r="V723" t="s">
        <v>22</v>
      </c>
    </row>
    <row r="724" spans="1:22">
      <c r="A724" t="str">
        <f t="shared" si="250"/>
        <v>21/01/2026</v>
      </c>
      <c r="B724" t="str">
        <f t="shared" si="249"/>
        <v>ENTRADA</v>
      </c>
      <c r="C724" t="str">
        <f t="shared" si="251"/>
        <v>NFSE</v>
      </c>
      <c r="D724" t="str">
        <f t="shared" si="258"/>
        <v>94</v>
      </c>
      <c r="E724" t="str">
        <f t="shared" si="253"/>
        <v>1</v>
      </c>
      <c r="F724" t="str">
        <f t="shared" si="254"/>
        <v>COM</v>
      </c>
      <c r="G724" t="str">
        <f t="shared" si="259"/>
        <v>FARMÁCIA INDIANA LJ 85 (10128)</v>
      </c>
      <c r="H724" t="s">
        <v>211</v>
      </c>
      <c r="I724" t="str">
        <f t="shared" si="256"/>
        <v>21/01/2026</v>
      </c>
      <c r="J724" t="str">
        <f t="shared" si="257"/>
        <v>13/01/2026</v>
      </c>
      <c r="K724">
        <v>46043</v>
      </c>
      <c r="N724">
        <v>303</v>
      </c>
      <c r="O724" t="s">
        <v>26</v>
      </c>
      <c r="Q724">
        <v>120.91</v>
      </c>
      <c r="R724" t="str">
        <f>"FARMÁCIA INDIANA LJ 243 (10142)"</f>
        <v>FARMÁCIA INDIANA LJ 243 (10142)</v>
      </c>
      <c r="S724" t="s">
        <v>27</v>
      </c>
      <c r="T724">
        <v>4111</v>
      </c>
      <c r="U724">
        <v>3375</v>
      </c>
      <c r="V724" t="s">
        <v>22</v>
      </c>
    </row>
    <row r="725" spans="1:22">
      <c r="A725" t="str">
        <f t="shared" si="250"/>
        <v>21/01/2026</v>
      </c>
      <c r="B725" t="str">
        <f t="shared" si="249"/>
        <v>ENTRADA</v>
      </c>
      <c r="C725" t="str">
        <f t="shared" si="251"/>
        <v>NFSE</v>
      </c>
      <c r="D725" t="str">
        <f t="shared" si="258"/>
        <v>94</v>
      </c>
      <c r="E725" t="str">
        <f t="shared" si="253"/>
        <v>1</v>
      </c>
      <c r="F725" t="str">
        <f t="shared" si="254"/>
        <v>COM</v>
      </c>
      <c r="G725" t="str">
        <f t="shared" si="259"/>
        <v>FARMÁCIA INDIANA LJ 85 (10128)</v>
      </c>
      <c r="H725" t="s">
        <v>211</v>
      </c>
      <c r="I725" t="str">
        <f t="shared" si="256"/>
        <v>21/01/2026</v>
      </c>
      <c r="J725" t="str">
        <f t="shared" si="257"/>
        <v>13/01/2026</v>
      </c>
      <c r="K725">
        <v>46043</v>
      </c>
      <c r="N725">
        <v>303</v>
      </c>
      <c r="O725" t="s">
        <v>26</v>
      </c>
      <c r="Q725">
        <v>58.28</v>
      </c>
      <c r="R725" t="str">
        <f>"FARMÁCIA INDIANA LJ 211 (10168)"</f>
        <v>FARMÁCIA INDIANA LJ 211 (10168)</v>
      </c>
      <c r="S725" t="s">
        <v>27</v>
      </c>
      <c r="T725">
        <v>4111</v>
      </c>
      <c r="U725">
        <v>3375</v>
      </c>
      <c r="V725" t="s">
        <v>22</v>
      </c>
    </row>
    <row r="726" spans="1:22">
      <c r="A726" t="str">
        <f t="shared" si="250"/>
        <v>21/01/2026</v>
      </c>
      <c r="B726" t="str">
        <f t="shared" si="249"/>
        <v>ENTRADA</v>
      </c>
      <c r="C726" t="str">
        <f t="shared" si="251"/>
        <v>NFSE</v>
      </c>
      <c r="D726" t="str">
        <f t="shared" si="258"/>
        <v>94</v>
      </c>
      <c r="E726" t="str">
        <f t="shared" si="253"/>
        <v>1</v>
      </c>
      <c r="F726" t="str">
        <f t="shared" si="254"/>
        <v>COM</v>
      </c>
      <c r="G726" t="str">
        <f t="shared" si="259"/>
        <v>FARMÁCIA INDIANA LJ 85 (10128)</v>
      </c>
      <c r="H726" t="s">
        <v>211</v>
      </c>
      <c r="I726" t="str">
        <f t="shared" si="256"/>
        <v>21/01/2026</v>
      </c>
      <c r="J726" t="str">
        <f t="shared" si="257"/>
        <v>13/01/2026</v>
      </c>
      <c r="K726">
        <v>46043</v>
      </c>
      <c r="N726">
        <v>303</v>
      </c>
      <c r="O726" t="s">
        <v>26</v>
      </c>
      <c r="Q726">
        <v>56.59</v>
      </c>
      <c r="R726" t="str">
        <f>"FARMÁCIA INDIANA LJ 236 (10169)"</f>
        <v>FARMÁCIA INDIANA LJ 236 (10169)</v>
      </c>
      <c r="S726" t="s">
        <v>27</v>
      </c>
      <c r="T726">
        <v>4111</v>
      </c>
      <c r="U726">
        <v>3375</v>
      </c>
      <c r="V726" t="s">
        <v>22</v>
      </c>
    </row>
    <row r="727" spans="1:22">
      <c r="A727" t="str">
        <f t="shared" si="250"/>
        <v>21/01/2026</v>
      </c>
      <c r="B727" t="str">
        <f t="shared" si="249"/>
        <v>ENTRADA</v>
      </c>
      <c r="C727" t="str">
        <f t="shared" si="251"/>
        <v>NFSE</v>
      </c>
      <c r="D727" t="str">
        <f t="shared" si="258"/>
        <v>94</v>
      </c>
      <c r="E727" t="str">
        <f t="shared" si="253"/>
        <v>1</v>
      </c>
      <c r="F727" t="str">
        <f t="shared" si="254"/>
        <v>COM</v>
      </c>
      <c r="G727" t="str">
        <f t="shared" si="259"/>
        <v>FARMÁCIA INDIANA LJ 85 (10128)</v>
      </c>
      <c r="H727" t="s">
        <v>211</v>
      </c>
      <c r="I727" t="str">
        <f t="shared" si="256"/>
        <v>21/01/2026</v>
      </c>
      <c r="J727" t="str">
        <f t="shared" si="257"/>
        <v>13/01/2026</v>
      </c>
      <c r="K727">
        <v>46043</v>
      </c>
      <c r="N727">
        <v>303</v>
      </c>
      <c r="O727" t="s">
        <v>26</v>
      </c>
      <c r="Q727">
        <v>114.86</v>
      </c>
      <c r="R727" t="str">
        <f>"FARMÁCIA INDIANA LJ 188 (10176)"</f>
        <v>FARMÁCIA INDIANA LJ 188 (10176)</v>
      </c>
      <c r="S727" t="s">
        <v>27</v>
      </c>
      <c r="T727">
        <v>4111</v>
      </c>
      <c r="U727">
        <v>3375</v>
      </c>
      <c r="V727" t="s">
        <v>22</v>
      </c>
    </row>
    <row r="728" spans="1:22">
      <c r="A728" t="str">
        <f t="shared" si="250"/>
        <v>21/01/2026</v>
      </c>
      <c r="B728" t="str">
        <f t="shared" si="249"/>
        <v>ENTRADA</v>
      </c>
      <c r="C728" t="str">
        <f t="shared" si="251"/>
        <v>NFSE</v>
      </c>
      <c r="D728" t="str">
        <f t="shared" si="258"/>
        <v>94</v>
      </c>
      <c r="E728" t="str">
        <f t="shared" si="253"/>
        <v>1</v>
      </c>
      <c r="F728" t="str">
        <f t="shared" si="254"/>
        <v>COM</v>
      </c>
      <c r="G728" t="str">
        <f t="shared" si="259"/>
        <v>FARMÁCIA INDIANA LJ 85 (10128)</v>
      </c>
      <c r="H728" t="s">
        <v>211</v>
      </c>
      <c r="I728" t="str">
        <f t="shared" si="256"/>
        <v>21/01/2026</v>
      </c>
      <c r="J728" t="str">
        <f t="shared" si="257"/>
        <v>13/01/2026</v>
      </c>
      <c r="K728">
        <v>46043</v>
      </c>
      <c r="N728">
        <v>303</v>
      </c>
      <c r="O728" t="s">
        <v>26</v>
      </c>
      <c r="Q728">
        <v>135.06</v>
      </c>
      <c r="R728" t="str">
        <f>"FARMÁCIA INDIANA LJ 273 (10188)"</f>
        <v>FARMÁCIA INDIANA LJ 273 (10188)</v>
      </c>
      <c r="S728" t="s">
        <v>27</v>
      </c>
      <c r="T728">
        <v>4111</v>
      </c>
      <c r="U728">
        <v>3375</v>
      </c>
      <c r="V728" t="s">
        <v>22</v>
      </c>
    </row>
    <row r="729" spans="1:22">
      <c r="A729" t="str">
        <f t="shared" si="250"/>
        <v>21/01/2026</v>
      </c>
      <c r="B729" t="str">
        <f t="shared" si="249"/>
        <v>ENTRADA</v>
      </c>
      <c r="C729" t="str">
        <f t="shared" si="251"/>
        <v>NFSE</v>
      </c>
      <c r="D729" t="str">
        <f t="shared" si="258"/>
        <v>94</v>
      </c>
      <c r="E729" t="str">
        <f t="shared" si="253"/>
        <v>1</v>
      </c>
      <c r="F729" t="str">
        <f t="shared" si="254"/>
        <v>COM</v>
      </c>
      <c r="G729" t="str">
        <f t="shared" si="259"/>
        <v>FARMÁCIA INDIANA LJ 85 (10128)</v>
      </c>
      <c r="H729" t="s">
        <v>211</v>
      </c>
      <c r="I729" t="str">
        <f t="shared" si="256"/>
        <v>21/01/2026</v>
      </c>
      <c r="J729" t="str">
        <f t="shared" si="257"/>
        <v>13/01/2026</v>
      </c>
      <c r="K729">
        <v>46043</v>
      </c>
      <c r="N729">
        <v>303</v>
      </c>
      <c r="O729" t="s">
        <v>26</v>
      </c>
      <c r="Q729">
        <v>18.02</v>
      </c>
      <c r="R729" t="str">
        <f>"FARMÁCIA INDIANA LJ 235 (10190)"</f>
        <v>FARMÁCIA INDIANA LJ 235 (10190)</v>
      </c>
      <c r="S729" t="s">
        <v>27</v>
      </c>
      <c r="T729">
        <v>4111</v>
      </c>
      <c r="U729">
        <v>3375</v>
      </c>
      <c r="V729" t="s">
        <v>22</v>
      </c>
    </row>
    <row r="730" spans="1:22">
      <c r="A730" t="str">
        <f t="shared" si="250"/>
        <v>21/01/2026</v>
      </c>
      <c r="B730" t="str">
        <f t="shared" si="249"/>
        <v>ENTRADA</v>
      </c>
      <c r="C730" t="str">
        <f t="shared" si="251"/>
        <v>NFSE</v>
      </c>
      <c r="D730" t="str">
        <f t="shared" si="258"/>
        <v>94</v>
      </c>
      <c r="E730" t="str">
        <f t="shared" si="253"/>
        <v>1</v>
      </c>
      <c r="F730" t="str">
        <f t="shared" si="254"/>
        <v>COM</v>
      </c>
      <c r="G730" t="str">
        <f t="shared" si="259"/>
        <v>FARMÁCIA INDIANA LJ 85 (10128)</v>
      </c>
      <c r="H730" t="s">
        <v>211</v>
      </c>
      <c r="I730" t="str">
        <f t="shared" si="256"/>
        <v>21/01/2026</v>
      </c>
      <c r="J730" t="str">
        <f t="shared" si="257"/>
        <v>13/01/2026</v>
      </c>
      <c r="K730">
        <v>46043</v>
      </c>
      <c r="N730">
        <v>303</v>
      </c>
      <c r="O730" t="s">
        <v>26</v>
      </c>
      <c r="Q730">
        <v>56.34</v>
      </c>
      <c r="R730" t="str">
        <f>"FARMÁCIA INDIANA LJ 292 (10282)"</f>
        <v>FARMÁCIA INDIANA LJ 292 (10282)</v>
      </c>
      <c r="S730" t="s">
        <v>27</v>
      </c>
      <c r="T730">
        <v>4111</v>
      </c>
      <c r="U730">
        <v>3375</v>
      </c>
      <c r="V730" t="s">
        <v>22</v>
      </c>
    </row>
    <row r="731" spans="1:22">
      <c r="A731" t="str">
        <f t="shared" si="250"/>
        <v>21/01/2026</v>
      </c>
      <c r="B731" t="str">
        <f t="shared" si="249"/>
        <v>ENTRADA</v>
      </c>
      <c r="C731" t="str">
        <f t="shared" si="251"/>
        <v>NFSE</v>
      </c>
      <c r="D731" t="str">
        <f t="shared" ref="D731:D762" si="260">"96"</f>
        <v>96</v>
      </c>
      <c r="E731" t="str">
        <f t="shared" si="253"/>
        <v>1</v>
      </c>
      <c r="F731" t="str">
        <f t="shared" si="254"/>
        <v>COM</v>
      </c>
      <c r="G731" t="str">
        <f t="shared" ref="G731:G762" si="261">"FARMÁCIA INDIANA LJ 1 (10126)"</f>
        <v>FARMÁCIA INDIANA LJ 1 (10126)</v>
      </c>
      <c r="H731" t="str">
        <f>"Serv.Prest. 05/01/2026 a 11/01/2026 - RPS: 2022 - NFSe: 96"</f>
        <v>Serv.Prest. 05/01/2026 a 11/01/2026 - RPS: 2022 - NFSe: 96</v>
      </c>
      <c r="I731" t="str">
        <f t="shared" si="256"/>
        <v>21/01/2026</v>
      </c>
      <c r="J731" t="str">
        <f t="shared" si="257"/>
        <v>13/01/2026</v>
      </c>
      <c r="K731" t="str">
        <f>("21/01/2026")</f>
        <v>21/01/2026</v>
      </c>
      <c r="L731">
        <v>13785.69</v>
      </c>
      <c r="M731">
        <v>13785.69</v>
      </c>
      <c r="N731">
        <v>303</v>
      </c>
      <c r="O731" t="str">
        <f>"RECEITAS COM ENTREGAS"</f>
        <v>RECEITAS COM ENTREGAS</v>
      </c>
      <c r="P731">
        <v>13785.69</v>
      </c>
      <c r="S731" t="str">
        <f>"RECEITAS COM ENTREGAS (303)"</f>
        <v>RECEITAS COM ENTREGAS (303)</v>
      </c>
      <c r="T731">
        <v>4112</v>
      </c>
      <c r="U731">
        <v>3377</v>
      </c>
      <c r="V731" t="s">
        <v>22</v>
      </c>
    </row>
    <row r="732" spans="1:22">
      <c r="A732" t="str">
        <f t="shared" si="250"/>
        <v>21/01/2026</v>
      </c>
      <c r="B732" t="str">
        <f t="shared" ref="B732:B763" si="262">"ENTRADA"</f>
        <v>ENTRADA</v>
      </c>
      <c r="C732" t="str">
        <f t="shared" si="251"/>
        <v>NFSE</v>
      </c>
      <c r="D732" t="str">
        <f t="shared" si="260"/>
        <v>96</v>
      </c>
      <c r="E732" t="str">
        <f t="shared" si="253"/>
        <v>1</v>
      </c>
      <c r="F732" t="str">
        <f t="shared" si="254"/>
        <v>COM</v>
      </c>
      <c r="G732" t="str">
        <f t="shared" si="261"/>
        <v>FARMÁCIA INDIANA LJ 1 (10126)</v>
      </c>
      <c r="H732" t="s">
        <v>212</v>
      </c>
      <c r="I732" t="str">
        <f t="shared" si="256"/>
        <v>21/01/2026</v>
      </c>
      <c r="J732" t="str">
        <f t="shared" si="257"/>
        <v>13/01/2026</v>
      </c>
      <c r="K732">
        <v>46043</v>
      </c>
      <c r="N732">
        <v>303</v>
      </c>
      <c r="O732" t="s">
        <v>26</v>
      </c>
      <c r="Q732">
        <v>1983.72</v>
      </c>
      <c r="R732" t="str">
        <f>"FARMÁCIA INDIANA LJ 06 (10006)"</f>
        <v>FARMÁCIA INDIANA LJ 06 (10006)</v>
      </c>
      <c r="S732" t="s">
        <v>27</v>
      </c>
      <c r="T732">
        <v>4112</v>
      </c>
      <c r="U732">
        <v>3377</v>
      </c>
      <c r="V732" t="s">
        <v>22</v>
      </c>
    </row>
    <row r="733" spans="1:22">
      <c r="A733" t="str">
        <f t="shared" ref="A733:A764" si="263">("21/01/2026")</f>
        <v>21/01/2026</v>
      </c>
      <c r="B733" t="str">
        <f t="shared" si="262"/>
        <v>ENTRADA</v>
      </c>
      <c r="C733" t="str">
        <f t="shared" ref="C733:C764" si="264">"NFSE"</f>
        <v>NFSE</v>
      </c>
      <c r="D733" t="str">
        <f t="shared" si="260"/>
        <v>96</v>
      </c>
      <c r="E733" t="str">
        <f t="shared" ref="E733:E764" si="265">"1"</f>
        <v>1</v>
      </c>
      <c r="F733" t="str">
        <f t="shared" ref="F733:F764" si="266">"COM"</f>
        <v>COM</v>
      </c>
      <c r="G733" t="str">
        <f t="shared" si="261"/>
        <v>FARMÁCIA INDIANA LJ 1 (10126)</v>
      </c>
      <c r="H733" t="s">
        <v>212</v>
      </c>
      <c r="I733" t="str">
        <f t="shared" ref="I733:I764" si="267">("21/01/2026")</f>
        <v>21/01/2026</v>
      </c>
      <c r="J733" t="str">
        <f t="shared" ref="J733:J764" si="268">("13/01/2026")</f>
        <v>13/01/2026</v>
      </c>
      <c r="K733">
        <v>46043</v>
      </c>
      <c r="N733">
        <v>303</v>
      </c>
      <c r="O733" t="s">
        <v>26</v>
      </c>
      <c r="Q733">
        <v>1515.05</v>
      </c>
      <c r="R733" t="str">
        <f>"FARMÁCIA INDIANA LJ 07 (10007)"</f>
        <v>FARMÁCIA INDIANA LJ 07 (10007)</v>
      </c>
      <c r="S733" t="s">
        <v>27</v>
      </c>
      <c r="T733">
        <v>4112</v>
      </c>
      <c r="U733">
        <v>3377</v>
      </c>
      <c r="V733" t="s">
        <v>22</v>
      </c>
    </row>
    <row r="734" spans="1:22">
      <c r="A734" t="str">
        <f t="shared" si="263"/>
        <v>21/01/2026</v>
      </c>
      <c r="B734" t="str">
        <f t="shared" si="262"/>
        <v>ENTRADA</v>
      </c>
      <c r="C734" t="str">
        <f t="shared" si="264"/>
        <v>NFSE</v>
      </c>
      <c r="D734" t="str">
        <f t="shared" si="260"/>
        <v>96</v>
      </c>
      <c r="E734" t="str">
        <f t="shared" si="265"/>
        <v>1</v>
      </c>
      <c r="F734" t="str">
        <f t="shared" si="266"/>
        <v>COM</v>
      </c>
      <c r="G734" t="str">
        <f t="shared" si="261"/>
        <v>FARMÁCIA INDIANA LJ 1 (10126)</v>
      </c>
      <c r="H734" t="s">
        <v>212</v>
      </c>
      <c r="I734" t="str">
        <f t="shared" si="267"/>
        <v>21/01/2026</v>
      </c>
      <c r="J734" t="str">
        <f t="shared" si="268"/>
        <v>13/01/2026</v>
      </c>
      <c r="K734">
        <v>46043</v>
      </c>
      <c r="N734">
        <v>303</v>
      </c>
      <c r="O734" t="s">
        <v>26</v>
      </c>
      <c r="Q734">
        <v>1049.0899999999999</v>
      </c>
      <c r="R734" t="str">
        <f>"FARMÁCIA INDIANA LJ 11 (10008)"</f>
        <v>FARMÁCIA INDIANA LJ 11 (10008)</v>
      </c>
      <c r="S734" t="s">
        <v>27</v>
      </c>
      <c r="T734">
        <v>4112</v>
      </c>
      <c r="U734">
        <v>3377</v>
      </c>
      <c r="V734" t="s">
        <v>22</v>
      </c>
    </row>
    <row r="735" spans="1:22">
      <c r="A735" t="str">
        <f t="shared" si="263"/>
        <v>21/01/2026</v>
      </c>
      <c r="B735" t="str">
        <f t="shared" si="262"/>
        <v>ENTRADA</v>
      </c>
      <c r="C735" t="str">
        <f t="shared" si="264"/>
        <v>NFSE</v>
      </c>
      <c r="D735" t="str">
        <f t="shared" si="260"/>
        <v>96</v>
      </c>
      <c r="E735" t="str">
        <f t="shared" si="265"/>
        <v>1</v>
      </c>
      <c r="F735" t="str">
        <f t="shared" si="266"/>
        <v>COM</v>
      </c>
      <c r="G735" t="str">
        <f t="shared" si="261"/>
        <v>FARMÁCIA INDIANA LJ 1 (10126)</v>
      </c>
      <c r="H735" t="s">
        <v>212</v>
      </c>
      <c r="I735" t="str">
        <f t="shared" si="267"/>
        <v>21/01/2026</v>
      </c>
      <c r="J735" t="str">
        <f t="shared" si="268"/>
        <v>13/01/2026</v>
      </c>
      <c r="K735">
        <v>46043</v>
      </c>
      <c r="N735">
        <v>303</v>
      </c>
      <c r="O735" t="s">
        <v>26</v>
      </c>
      <c r="Q735">
        <v>464.58</v>
      </c>
      <c r="R735" t="str">
        <f>"FARMÁCIA INDIANA LJ 14 (10009)"</f>
        <v>FARMÁCIA INDIANA LJ 14 (10009)</v>
      </c>
      <c r="S735" t="s">
        <v>27</v>
      </c>
      <c r="T735">
        <v>4112</v>
      </c>
      <c r="U735">
        <v>3377</v>
      </c>
      <c r="V735" t="s">
        <v>22</v>
      </c>
    </row>
    <row r="736" spans="1:22">
      <c r="A736" t="str">
        <f t="shared" si="263"/>
        <v>21/01/2026</v>
      </c>
      <c r="B736" t="str">
        <f t="shared" si="262"/>
        <v>ENTRADA</v>
      </c>
      <c r="C736" t="str">
        <f t="shared" si="264"/>
        <v>NFSE</v>
      </c>
      <c r="D736" t="str">
        <f t="shared" si="260"/>
        <v>96</v>
      </c>
      <c r="E736" t="str">
        <f t="shared" si="265"/>
        <v>1</v>
      </c>
      <c r="F736" t="str">
        <f t="shared" si="266"/>
        <v>COM</v>
      </c>
      <c r="G736" t="str">
        <f t="shared" si="261"/>
        <v>FARMÁCIA INDIANA LJ 1 (10126)</v>
      </c>
      <c r="H736" t="s">
        <v>212</v>
      </c>
      <c r="I736" t="str">
        <f t="shared" si="267"/>
        <v>21/01/2026</v>
      </c>
      <c r="J736" t="str">
        <f t="shared" si="268"/>
        <v>13/01/2026</v>
      </c>
      <c r="K736">
        <v>46043</v>
      </c>
      <c r="N736">
        <v>303</v>
      </c>
      <c r="O736" t="s">
        <v>26</v>
      </c>
      <c r="Q736">
        <v>301.91000000000003</v>
      </c>
      <c r="R736" t="str">
        <f>"FARMÁCIA INDIANA LJ 18 (10011)"</f>
        <v>FARMÁCIA INDIANA LJ 18 (10011)</v>
      </c>
      <c r="S736" t="s">
        <v>27</v>
      </c>
      <c r="T736">
        <v>4112</v>
      </c>
      <c r="U736">
        <v>3377</v>
      </c>
      <c r="V736" t="s">
        <v>22</v>
      </c>
    </row>
    <row r="737" spans="1:22">
      <c r="A737" t="str">
        <f t="shared" si="263"/>
        <v>21/01/2026</v>
      </c>
      <c r="B737" t="str">
        <f t="shared" si="262"/>
        <v>ENTRADA</v>
      </c>
      <c r="C737" t="str">
        <f t="shared" si="264"/>
        <v>NFSE</v>
      </c>
      <c r="D737" t="str">
        <f t="shared" si="260"/>
        <v>96</v>
      </c>
      <c r="E737" t="str">
        <f t="shared" si="265"/>
        <v>1</v>
      </c>
      <c r="F737" t="str">
        <f t="shared" si="266"/>
        <v>COM</v>
      </c>
      <c r="G737" t="str">
        <f t="shared" si="261"/>
        <v>FARMÁCIA INDIANA LJ 1 (10126)</v>
      </c>
      <c r="H737" t="s">
        <v>212</v>
      </c>
      <c r="I737" t="str">
        <f t="shared" si="267"/>
        <v>21/01/2026</v>
      </c>
      <c r="J737" t="str">
        <f t="shared" si="268"/>
        <v>13/01/2026</v>
      </c>
      <c r="K737">
        <v>46043</v>
      </c>
      <c r="N737">
        <v>303</v>
      </c>
      <c r="O737" t="s">
        <v>26</v>
      </c>
      <c r="Q737">
        <v>376.35</v>
      </c>
      <c r="R737" t="str">
        <f>"FARMÁCIA INDIANA LJ 19 (10012)"</f>
        <v>FARMÁCIA INDIANA LJ 19 (10012)</v>
      </c>
      <c r="S737" t="s">
        <v>27</v>
      </c>
      <c r="T737">
        <v>4112</v>
      </c>
      <c r="U737">
        <v>3377</v>
      </c>
      <c r="V737" t="s">
        <v>22</v>
      </c>
    </row>
    <row r="738" spans="1:22">
      <c r="A738" t="str">
        <f t="shared" si="263"/>
        <v>21/01/2026</v>
      </c>
      <c r="B738" t="str">
        <f t="shared" si="262"/>
        <v>ENTRADA</v>
      </c>
      <c r="C738" t="str">
        <f t="shared" si="264"/>
        <v>NFSE</v>
      </c>
      <c r="D738" t="str">
        <f t="shared" si="260"/>
        <v>96</v>
      </c>
      <c r="E738" t="str">
        <f t="shared" si="265"/>
        <v>1</v>
      </c>
      <c r="F738" t="str">
        <f t="shared" si="266"/>
        <v>COM</v>
      </c>
      <c r="G738" t="str">
        <f t="shared" si="261"/>
        <v>FARMÁCIA INDIANA LJ 1 (10126)</v>
      </c>
      <c r="H738" t="s">
        <v>212</v>
      </c>
      <c r="I738" t="str">
        <f t="shared" si="267"/>
        <v>21/01/2026</v>
      </c>
      <c r="J738" t="str">
        <f t="shared" si="268"/>
        <v>13/01/2026</v>
      </c>
      <c r="K738">
        <v>46043</v>
      </c>
      <c r="N738">
        <v>303</v>
      </c>
      <c r="O738" t="s">
        <v>26</v>
      </c>
      <c r="Q738">
        <v>552.80999999999995</v>
      </c>
      <c r="R738" t="str">
        <f>"FARMÁCIA INDIANA LJ 40 (10016)"</f>
        <v>FARMÁCIA INDIANA LJ 40 (10016)</v>
      </c>
      <c r="S738" t="s">
        <v>27</v>
      </c>
      <c r="T738">
        <v>4112</v>
      </c>
      <c r="U738">
        <v>3377</v>
      </c>
      <c r="V738" t="s">
        <v>22</v>
      </c>
    </row>
    <row r="739" spans="1:22">
      <c r="A739" t="str">
        <f t="shared" si="263"/>
        <v>21/01/2026</v>
      </c>
      <c r="B739" t="str">
        <f t="shared" si="262"/>
        <v>ENTRADA</v>
      </c>
      <c r="C739" t="str">
        <f t="shared" si="264"/>
        <v>NFSE</v>
      </c>
      <c r="D739" t="str">
        <f t="shared" si="260"/>
        <v>96</v>
      </c>
      <c r="E739" t="str">
        <f t="shared" si="265"/>
        <v>1</v>
      </c>
      <c r="F739" t="str">
        <f t="shared" si="266"/>
        <v>COM</v>
      </c>
      <c r="G739" t="str">
        <f t="shared" si="261"/>
        <v>FARMÁCIA INDIANA LJ 1 (10126)</v>
      </c>
      <c r="H739" t="s">
        <v>212</v>
      </c>
      <c r="I739" t="str">
        <f t="shared" si="267"/>
        <v>21/01/2026</v>
      </c>
      <c r="J739" t="str">
        <f t="shared" si="268"/>
        <v>13/01/2026</v>
      </c>
      <c r="K739">
        <v>46043</v>
      </c>
      <c r="N739">
        <v>303</v>
      </c>
      <c r="O739" t="s">
        <v>26</v>
      </c>
      <c r="Q739">
        <v>248.14</v>
      </c>
      <c r="R739" t="str">
        <f>"FARMÁCIA INDIANA LJ 59 (10026)"</f>
        <v>FARMÁCIA INDIANA LJ 59 (10026)</v>
      </c>
      <c r="S739" t="s">
        <v>27</v>
      </c>
      <c r="T739">
        <v>4112</v>
      </c>
      <c r="U739">
        <v>3377</v>
      </c>
      <c r="V739" t="s">
        <v>22</v>
      </c>
    </row>
    <row r="740" spans="1:22">
      <c r="A740" t="str">
        <f t="shared" si="263"/>
        <v>21/01/2026</v>
      </c>
      <c r="B740" t="str">
        <f t="shared" si="262"/>
        <v>ENTRADA</v>
      </c>
      <c r="C740" t="str">
        <f t="shared" si="264"/>
        <v>NFSE</v>
      </c>
      <c r="D740" t="str">
        <f t="shared" si="260"/>
        <v>96</v>
      </c>
      <c r="E740" t="str">
        <f t="shared" si="265"/>
        <v>1</v>
      </c>
      <c r="F740" t="str">
        <f t="shared" si="266"/>
        <v>COM</v>
      </c>
      <c r="G740" t="str">
        <f t="shared" si="261"/>
        <v>FARMÁCIA INDIANA LJ 1 (10126)</v>
      </c>
      <c r="H740" t="s">
        <v>212</v>
      </c>
      <c r="I740" t="str">
        <f t="shared" si="267"/>
        <v>21/01/2026</v>
      </c>
      <c r="J740" t="str">
        <f t="shared" si="268"/>
        <v>13/01/2026</v>
      </c>
      <c r="K740">
        <v>46043</v>
      </c>
      <c r="N740">
        <v>303</v>
      </c>
      <c r="O740" t="s">
        <v>26</v>
      </c>
      <c r="Q740">
        <v>540.4</v>
      </c>
      <c r="R740" t="str">
        <f>"FARMÁCIA INDIANA LJ 61 (10027)"</f>
        <v>FARMÁCIA INDIANA LJ 61 (10027)</v>
      </c>
      <c r="S740" t="s">
        <v>27</v>
      </c>
      <c r="T740">
        <v>4112</v>
      </c>
      <c r="U740">
        <v>3377</v>
      </c>
      <c r="V740" t="s">
        <v>22</v>
      </c>
    </row>
    <row r="741" spans="1:22">
      <c r="A741" t="str">
        <f t="shared" si="263"/>
        <v>21/01/2026</v>
      </c>
      <c r="B741" t="str">
        <f t="shared" si="262"/>
        <v>ENTRADA</v>
      </c>
      <c r="C741" t="str">
        <f t="shared" si="264"/>
        <v>NFSE</v>
      </c>
      <c r="D741" t="str">
        <f t="shared" si="260"/>
        <v>96</v>
      </c>
      <c r="E741" t="str">
        <f t="shared" si="265"/>
        <v>1</v>
      </c>
      <c r="F741" t="str">
        <f t="shared" si="266"/>
        <v>COM</v>
      </c>
      <c r="G741" t="str">
        <f t="shared" si="261"/>
        <v>FARMÁCIA INDIANA LJ 1 (10126)</v>
      </c>
      <c r="H741" t="s">
        <v>212</v>
      </c>
      <c r="I741" t="str">
        <f t="shared" si="267"/>
        <v>21/01/2026</v>
      </c>
      <c r="J741" t="str">
        <f t="shared" si="268"/>
        <v>13/01/2026</v>
      </c>
      <c r="K741">
        <v>46043</v>
      </c>
      <c r="N741">
        <v>303</v>
      </c>
      <c r="O741" t="s">
        <v>26</v>
      </c>
      <c r="Q741">
        <v>190.24</v>
      </c>
      <c r="R741" t="str">
        <f>"FARMÁCIA INDIANA LJ 62 (10028)"</f>
        <v>FARMÁCIA INDIANA LJ 62 (10028)</v>
      </c>
      <c r="S741" t="s">
        <v>27</v>
      </c>
      <c r="T741">
        <v>4112</v>
      </c>
      <c r="U741">
        <v>3377</v>
      </c>
      <c r="V741" t="s">
        <v>22</v>
      </c>
    </row>
    <row r="742" spans="1:22">
      <c r="A742" t="str">
        <f t="shared" si="263"/>
        <v>21/01/2026</v>
      </c>
      <c r="B742" t="str">
        <f t="shared" si="262"/>
        <v>ENTRADA</v>
      </c>
      <c r="C742" t="str">
        <f t="shared" si="264"/>
        <v>NFSE</v>
      </c>
      <c r="D742" t="str">
        <f t="shared" si="260"/>
        <v>96</v>
      </c>
      <c r="E742" t="str">
        <f t="shared" si="265"/>
        <v>1</v>
      </c>
      <c r="F742" t="str">
        <f t="shared" si="266"/>
        <v>COM</v>
      </c>
      <c r="G742" t="str">
        <f t="shared" si="261"/>
        <v>FARMÁCIA INDIANA LJ 1 (10126)</v>
      </c>
      <c r="H742" t="s">
        <v>212</v>
      </c>
      <c r="I742" t="str">
        <f t="shared" si="267"/>
        <v>21/01/2026</v>
      </c>
      <c r="J742" t="str">
        <f t="shared" si="268"/>
        <v>13/01/2026</v>
      </c>
      <c r="K742">
        <v>46043</v>
      </c>
      <c r="N742">
        <v>303</v>
      </c>
      <c r="O742" t="s">
        <v>26</v>
      </c>
      <c r="Q742">
        <v>85.47</v>
      </c>
      <c r="R742" t="str">
        <f>"FARMÁCIA INDIANA LJ 64 (10029)"</f>
        <v>FARMÁCIA INDIANA LJ 64 (10029)</v>
      </c>
      <c r="S742" t="s">
        <v>27</v>
      </c>
      <c r="T742">
        <v>4112</v>
      </c>
      <c r="U742">
        <v>3377</v>
      </c>
      <c r="V742" t="s">
        <v>22</v>
      </c>
    </row>
    <row r="743" spans="1:22">
      <c r="A743" t="str">
        <f t="shared" si="263"/>
        <v>21/01/2026</v>
      </c>
      <c r="B743" t="str">
        <f t="shared" si="262"/>
        <v>ENTRADA</v>
      </c>
      <c r="C743" t="str">
        <f t="shared" si="264"/>
        <v>NFSE</v>
      </c>
      <c r="D743" t="str">
        <f t="shared" si="260"/>
        <v>96</v>
      </c>
      <c r="E743" t="str">
        <f t="shared" si="265"/>
        <v>1</v>
      </c>
      <c r="F743" t="str">
        <f t="shared" si="266"/>
        <v>COM</v>
      </c>
      <c r="G743" t="str">
        <f t="shared" si="261"/>
        <v>FARMÁCIA INDIANA LJ 1 (10126)</v>
      </c>
      <c r="H743" t="s">
        <v>212</v>
      </c>
      <c r="I743" t="str">
        <f t="shared" si="267"/>
        <v>21/01/2026</v>
      </c>
      <c r="J743" t="str">
        <f t="shared" si="268"/>
        <v>13/01/2026</v>
      </c>
      <c r="K743">
        <v>46043</v>
      </c>
      <c r="N743">
        <v>303</v>
      </c>
      <c r="O743" t="s">
        <v>26</v>
      </c>
      <c r="Q743">
        <v>67.55</v>
      </c>
      <c r="R743" t="str">
        <f>"FARMÁCIA INDIANA LJ 97 (10040)"</f>
        <v>FARMÁCIA INDIANA LJ 97 (10040)</v>
      </c>
      <c r="S743" t="s">
        <v>27</v>
      </c>
      <c r="T743">
        <v>4112</v>
      </c>
      <c r="U743">
        <v>3377</v>
      </c>
      <c r="V743" t="s">
        <v>22</v>
      </c>
    </row>
    <row r="744" spans="1:22">
      <c r="A744" t="str">
        <f t="shared" si="263"/>
        <v>21/01/2026</v>
      </c>
      <c r="B744" t="str">
        <f t="shared" si="262"/>
        <v>ENTRADA</v>
      </c>
      <c r="C744" t="str">
        <f t="shared" si="264"/>
        <v>NFSE</v>
      </c>
      <c r="D744" t="str">
        <f t="shared" si="260"/>
        <v>96</v>
      </c>
      <c r="E744" t="str">
        <f t="shared" si="265"/>
        <v>1</v>
      </c>
      <c r="F744" t="str">
        <f t="shared" si="266"/>
        <v>COM</v>
      </c>
      <c r="G744" t="str">
        <f t="shared" si="261"/>
        <v>FARMÁCIA INDIANA LJ 1 (10126)</v>
      </c>
      <c r="H744" t="s">
        <v>212</v>
      </c>
      <c r="I744" t="str">
        <f t="shared" si="267"/>
        <v>21/01/2026</v>
      </c>
      <c r="J744" t="str">
        <f t="shared" si="268"/>
        <v>13/01/2026</v>
      </c>
      <c r="K744">
        <v>46043</v>
      </c>
      <c r="N744">
        <v>303</v>
      </c>
      <c r="O744" t="s">
        <v>26</v>
      </c>
      <c r="Q744">
        <v>199.89</v>
      </c>
      <c r="R744" t="str">
        <f>"FARMÁCIA INDIANA LJ 100 (10042)"</f>
        <v>FARMÁCIA INDIANA LJ 100 (10042)</v>
      </c>
      <c r="S744" t="s">
        <v>27</v>
      </c>
      <c r="T744">
        <v>4112</v>
      </c>
      <c r="U744">
        <v>3377</v>
      </c>
      <c r="V744" t="s">
        <v>22</v>
      </c>
    </row>
    <row r="745" spans="1:22">
      <c r="A745" t="str">
        <f t="shared" si="263"/>
        <v>21/01/2026</v>
      </c>
      <c r="B745" t="str">
        <f t="shared" si="262"/>
        <v>ENTRADA</v>
      </c>
      <c r="C745" t="str">
        <f t="shared" si="264"/>
        <v>NFSE</v>
      </c>
      <c r="D745" t="str">
        <f t="shared" si="260"/>
        <v>96</v>
      </c>
      <c r="E745" t="str">
        <f t="shared" si="265"/>
        <v>1</v>
      </c>
      <c r="F745" t="str">
        <f t="shared" si="266"/>
        <v>COM</v>
      </c>
      <c r="G745" t="str">
        <f t="shared" si="261"/>
        <v>FARMÁCIA INDIANA LJ 1 (10126)</v>
      </c>
      <c r="H745" t="s">
        <v>212</v>
      </c>
      <c r="I745" t="str">
        <f t="shared" si="267"/>
        <v>21/01/2026</v>
      </c>
      <c r="J745" t="str">
        <f t="shared" si="268"/>
        <v>13/01/2026</v>
      </c>
      <c r="K745">
        <v>46043</v>
      </c>
      <c r="N745">
        <v>303</v>
      </c>
      <c r="O745" t="s">
        <v>26</v>
      </c>
      <c r="Q745">
        <v>767.86</v>
      </c>
      <c r="R745" t="str">
        <f>"FARMÁCIA INDIANA LJ 101 (10043)"</f>
        <v>FARMÁCIA INDIANA LJ 101 (10043)</v>
      </c>
      <c r="S745" t="s">
        <v>27</v>
      </c>
      <c r="T745">
        <v>4112</v>
      </c>
      <c r="U745">
        <v>3377</v>
      </c>
      <c r="V745" t="s">
        <v>22</v>
      </c>
    </row>
    <row r="746" spans="1:22">
      <c r="A746" t="str">
        <f t="shared" si="263"/>
        <v>21/01/2026</v>
      </c>
      <c r="B746" t="str">
        <f t="shared" si="262"/>
        <v>ENTRADA</v>
      </c>
      <c r="C746" t="str">
        <f t="shared" si="264"/>
        <v>NFSE</v>
      </c>
      <c r="D746" t="str">
        <f t="shared" si="260"/>
        <v>96</v>
      </c>
      <c r="E746" t="str">
        <f t="shared" si="265"/>
        <v>1</v>
      </c>
      <c r="F746" t="str">
        <f t="shared" si="266"/>
        <v>COM</v>
      </c>
      <c r="G746" t="str">
        <f t="shared" si="261"/>
        <v>FARMÁCIA INDIANA LJ 1 (10126)</v>
      </c>
      <c r="H746" t="s">
        <v>212</v>
      </c>
      <c r="I746" t="str">
        <f t="shared" si="267"/>
        <v>21/01/2026</v>
      </c>
      <c r="J746" t="str">
        <f t="shared" si="268"/>
        <v>13/01/2026</v>
      </c>
      <c r="K746">
        <v>46043</v>
      </c>
      <c r="N746">
        <v>303</v>
      </c>
      <c r="O746" t="s">
        <v>26</v>
      </c>
      <c r="Q746">
        <v>60.66</v>
      </c>
      <c r="R746" t="str">
        <f>"FARMÁCIA INDIANA LJ 103 (10044)"</f>
        <v>FARMÁCIA INDIANA LJ 103 (10044)</v>
      </c>
      <c r="S746" t="s">
        <v>27</v>
      </c>
      <c r="T746">
        <v>4112</v>
      </c>
      <c r="U746">
        <v>3377</v>
      </c>
      <c r="V746" t="s">
        <v>22</v>
      </c>
    </row>
    <row r="747" spans="1:22">
      <c r="A747" t="str">
        <f t="shared" si="263"/>
        <v>21/01/2026</v>
      </c>
      <c r="B747" t="str">
        <f t="shared" si="262"/>
        <v>ENTRADA</v>
      </c>
      <c r="C747" t="str">
        <f t="shared" si="264"/>
        <v>NFSE</v>
      </c>
      <c r="D747" t="str">
        <f t="shared" si="260"/>
        <v>96</v>
      </c>
      <c r="E747" t="str">
        <f t="shared" si="265"/>
        <v>1</v>
      </c>
      <c r="F747" t="str">
        <f t="shared" si="266"/>
        <v>COM</v>
      </c>
      <c r="G747" t="str">
        <f t="shared" si="261"/>
        <v>FARMÁCIA INDIANA LJ 1 (10126)</v>
      </c>
      <c r="H747" t="s">
        <v>212</v>
      </c>
      <c r="I747" t="str">
        <f t="shared" si="267"/>
        <v>21/01/2026</v>
      </c>
      <c r="J747" t="str">
        <f t="shared" si="268"/>
        <v>13/01/2026</v>
      </c>
      <c r="K747">
        <v>46043</v>
      </c>
      <c r="N747">
        <v>303</v>
      </c>
      <c r="O747" t="s">
        <v>26</v>
      </c>
      <c r="Q747">
        <v>219.19</v>
      </c>
      <c r="R747" t="str">
        <f>"FARMÁCIA INDIANA LJ 109 (10047)"</f>
        <v>FARMÁCIA INDIANA LJ 109 (10047)</v>
      </c>
      <c r="S747" t="s">
        <v>27</v>
      </c>
      <c r="T747">
        <v>4112</v>
      </c>
      <c r="U747">
        <v>3377</v>
      </c>
      <c r="V747" t="s">
        <v>22</v>
      </c>
    </row>
    <row r="748" spans="1:22">
      <c r="A748" t="str">
        <f t="shared" si="263"/>
        <v>21/01/2026</v>
      </c>
      <c r="B748" t="str">
        <f t="shared" si="262"/>
        <v>ENTRADA</v>
      </c>
      <c r="C748" t="str">
        <f t="shared" si="264"/>
        <v>NFSE</v>
      </c>
      <c r="D748" t="str">
        <f t="shared" si="260"/>
        <v>96</v>
      </c>
      <c r="E748" t="str">
        <f t="shared" si="265"/>
        <v>1</v>
      </c>
      <c r="F748" t="str">
        <f t="shared" si="266"/>
        <v>COM</v>
      </c>
      <c r="G748" t="str">
        <f t="shared" si="261"/>
        <v>FARMÁCIA INDIANA LJ 1 (10126)</v>
      </c>
      <c r="H748" t="s">
        <v>212</v>
      </c>
      <c r="I748" t="str">
        <f t="shared" si="267"/>
        <v>21/01/2026</v>
      </c>
      <c r="J748" t="str">
        <f t="shared" si="268"/>
        <v>13/01/2026</v>
      </c>
      <c r="K748">
        <v>46043</v>
      </c>
      <c r="N748">
        <v>303</v>
      </c>
      <c r="O748" t="s">
        <v>26</v>
      </c>
      <c r="Q748">
        <v>395.65</v>
      </c>
      <c r="R748" t="str">
        <f>"FARMÁCIA INDIANA LJ 110 (10048)"</f>
        <v>FARMÁCIA INDIANA LJ 110 (10048)</v>
      </c>
      <c r="S748" t="s">
        <v>27</v>
      </c>
      <c r="T748">
        <v>4112</v>
      </c>
      <c r="U748">
        <v>3377</v>
      </c>
      <c r="V748" t="s">
        <v>22</v>
      </c>
    </row>
    <row r="749" spans="1:22">
      <c r="A749" t="str">
        <f t="shared" si="263"/>
        <v>21/01/2026</v>
      </c>
      <c r="B749" t="str">
        <f t="shared" si="262"/>
        <v>ENTRADA</v>
      </c>
      <c r="C749" t="str">
        <f t="shared" si="264"/>
        <v>NFSE</v>
      </c>
      <c r="D749" t="str">
        <f t="shared" si="260"/>
        <v>96</v>
      </c>
      <c r="E749" t="str">
        <f t="shared" si="265"/>
        <v>1</v>
      </c>
      <c r="F749" t="str">
        <f t="shared" si="266"/>
        <v>COM</v>
      </c>
      <c r="G749" t="str">
        <f t="shared" si="261"/>
        <v>FARMÁCIA INDIANA LJ 1 (10126)</v>
      </c>
      <c r="H749" t="s">
        <v>212</v>
      </c>
      <c r="I749" t="str">
        <f t="shared" si="267"/>
        <v>21/01/2026</v>
      </c>
      <c r="J749" t="str">
        <f t="shared" si="268"/>
        <v>13/01/2026</v>
      </c>
      <c r="K749">
        <v>46043</v>
      </c>
      <c r="N749">
        <v>303</v>
      </c>
      <c r="O749" t="s">
        <v>26</v>
      </c>
      <c r="Q749">
        <v>66.17</v>
      </c>
      <c r="R749" t="str">
        <f>"FARMÁCIA INDIANA LJ 111 (10049)"</f>
        <v>FARMÁCIA INDIANA LJ 111 (10049)</v>
      </c>
      <c r="S749" t="s">
        <v>27</v>
      </c>
      <c r="T749">
        <v>4112</v>
      </c>
      <c r="U749">
        <v>3377</v>
      </c>
      <c r="V749" t="s">
        <v>22</v>
      </c>
    </row>
    <row r="750" spans="1:22">
      <c r="A750" t="str">
        <f t="shared" si="263"/>
        <v>21/01/2026</v>
      </c>
      <c r="B750" t="str">
        <f t="shared" si="262"/>
        <v>ENTRADA</v>
      </c>
      <c r="C750" t="str">
        <f t="shared" si="264"/>
        <v>NFSE</v>
      </c>
      <c r="D750" t="str">
        <f t="shared" si="260"/>
        <v>96</v>
      </c>
      <c r="E750" t="str">
        <f t="shared" si="265"/>
        <v>1</v>
      </c>
      <c r="F750" t="str">
        <f t="shared" si="266"/>
        <v>COM</v>
      </c>
      <c r="G750" t="str">
        <f t="shared" si="261"/>
        <v>FARMÁCIA INDIANA LJ 1 (10126)</v>
      </c>
      <c r="H750" t="s">
        <v>212</v>
      </c>
      <c r="I750" t="str">
        <f t="shared" si="267"/>
        <v>21/01/2026</v>
      </c>
      <c r="J750" t="str">
        <f t="shared" si="268"/>
        <v>13/01/2026</v>
      </c>
      <c r="K750">
        <v>46043</v>
      </c>
      <c r="N750">
        <v>303</v>
      </c>
      <c r="O750" t="s">
        <v>26</v>
      </c>
      <c r="Q750">
        <v>100.64</v>
      </c>
      <c r="R750" t="str">
        <f>"FARMÁCIA INDIANA LJ 112 (10050)"</f>
        <v>FARMÁCIA INDIANA LJ 112 (10050)</v>
      </c>
      <c r="S750" t="s">
        <v>27</v>
      </c>
      <c r="T750">
        <v>4112</v>
      </c>
      <c r="U750">
        <v>3377</v>
      </c>
      <c r="V750" t="s">
        <v>22</v>
      </c>
    </row>
    <row r="751" spans="1:22">
      <c r="A751" t="str">
        <f t="shared" si="263"/>
        <v>21/01/2026</v>
      </c>
      <c r="B751" t="str">
        <f t="shared" si="262"/>
        <v>ENTRADA</v>
      </c>
      <c r="C751" t="str">
        <f t="shared" si="264"/>
        <v>NFSE</v>
      </c>
      <c r="D751" t="str">
        <f t="shared" si="260"/>
        <v>96</v>
      </c>
      <c r="E751" t="str">
        <f t="shared" si="265"/>
        <v>1</v>
      </c>
      <c r="F751" t="str">
        <f t="shared" si="266"/>
        <v>COM</v>
      </c>
      <c r="G751" t="str">
        <f t="shared" si="261"/>
        <v>FARMÁCIA INDIANA LJ 1 (10126)</v>
      </c>
      <c r="H751" t="s">
        <v>212</v>
      </c>
      <c r="I751" t="str">
        <f t="shared" si="267"/>
        <v>21/01/2026</v>
      </c>
      <c r="J751" t="str">
        <f t="shared" si="268"/>
        <v>13/01/2026</v>
      </c>
      <c r="K751">
        <v>46043</v>
      </c>
      <c r="N751">
        <v>303</v>
      </c>
      <c r="O751" t="s">
        <v>26</v>
      </c>
      <c r="Q751">
        <v>100.64</v>
      </c>
      <c r="R751" t="str">
        <f>"FARMÁCIA INDIANA LJ 116 (10051)"</f>
        <v>FARMÁCIA INDIANA LJ 116 (10051)</v>
      </c>
      <c r="S751" t="s">
        <v>27</v>
      </c>
      <c r="T751">
        <v>4112</v>
      </c>
      <c r="U751">
        <v>3377</v>
      </c>
      <c r="V751" t="s">
        <v>22</v>
      </c>
    </row>
    <row r="752" spans="1:22">
      <c r="A752" t="str">
        <f t="shared" si="263"/>
        <v>21/01/2026</v>
      </c>
      <c r="B752" t="str">
        <f t="shared" si="262"/>
        <v>ENTRADA</v>
      </c>
      <c r="C752" t="str">
        <f t="shared" si="264"/>
        <v>NFSE</v>
      </c>
      <c r="D752" t="str">
        <f t="shared" si="260"/>
        <v>96</v>
      </c>
      <c r="E752" t="str">
        <f t="shared" si="265"/>
        <v>1</v>
      </c>
      <c r="F752" t="str">
        <f t="shared" si="266"/>
        <v>COM</v>
      </c>
      <c r="G752" t="str">
        <f t="shared" si="261"/>
        <v>FARMÁCIA INDIANA LJ 1 (10126)</v>
      </c>
      <c r="H752" t="s">
        <v>212</v>
      </c>
      <c r="I752" t="str">
        <f t="shared" si="267"/>
        <v>21/01/2026</v>
      </c>
      <c r="J752" t="str">
        <f t="shared" si="268"/>
        <v>13/01/2026</v>
      </c>
      <c r="K752">
        <v>46043</v>
      </c>
      <c r="N752">
        <v>303</v>
      </c>
      <c r="O752" t="s">
        <v>26</v>
      </c>
      <c r="Q752">
        <v>121.31</v>
      </c>
      <c r="R752" t="str">
        <f>"FARMÁCIA INDIANA LJ 118 (10052)"</f>
        <v>FARMÁCIA INDIANA LJ 118 (10052)</v>
      </c>
      <c r="S752" t="s">
        <v>27</v>
      </c>
      <c r="T752">
        <v>4112</v>
      </c>
      <c r="U752">
        <v>3377</v>
      </c>
      <c r="V752" t="s">
        <v>22</v>
      </c>
    </row>
    <row r="753" spans="1:22">
      <c r="A753" t="str">
        <f t="shared" si="263"/>
        <v>21/01/2026</v>
      </c>
      <c r="B753" t="str">
        <f t="shared" si="262"/>
        <v>ENTRADA</v>
      </c>
      <c r="C753" t="str">
        <f t="shared" si="264"/>
        <v>NFSE</v>
      </c>
      <c r="D753" t="str">
        <f t="shared" si="260"/>
        <v>96</v>
      </c>
      <c r="E753" t="str">
        <f t="shared" si="265"/>
        <v>1</v>
      </c>
      <c r="F753" t="str">
        <f t="shared" si="266"/>
        <v>COM</v>
      </c>
      <c r="G753" t="str">
        <f t="shared" si="261"/>
        <v>FARMÁCIA INDIANA LJ 1 (10126)</v>
      </c>
      <c r="H753" t="s">
        <v>212</v>
      </c>
      <c r="I753" t="str">
        <f t="shared" si="267"/>
        <v>21/01/2026</v>
      </c>
      <c r="J753" t="str">
        <f t="shared" si="268"/>
        <v>13/01/2026</v>
      </c>
      <c r="K753">
        <v>46043</v>
      </c>
      <c r="N753">
        <v>303</v>
      </c>
      <c r="O753" t="s">
        <v>26</v>
      </c>
      <c r="Q753">
        <v>100.64</v>
      </c>
      <c r="R753" t="str">
        <f>"FARMÁCIA INDIANA LJ 121 (10054)"</f>
        <v>FARMÁCIA INDIANA LJ 121 (10054)</v>
      </c>
      <c r="S753" t="s">
        <v>27</v>
      </c>
      <c r="T753">
        <v>4112</v>
      </c>
      <c r="U753">
        <v>3377</v>
      </c>
      <c r="V753" t="s">
        <v>22</v>
      </c>
    </row>
    <row r="754" spans="1:22">
      <c r="A754" t="str">
        <f t="shared" si="263"/>
        <v>21/01/2026</v>
      </c>
      <c r="B754" t="str">
        <f t="shared" si="262"/>
        <v>ENTRADA</v>
      </c>
      <c r="C754" t="str">
        <f t="shared" si="264"/>
        <v>NFSE</v>
      </c>
      <c r="D754" t="str">
        <f t="shared" si="260"/>
        <v>96</v>
      </c>
      <c r="E754" t="str">
        <f t="shared" si="265"/>
        <v>1</v>
      </c>
      <c r="F754" t="str">
        <f t="shared" si="266"/>
        <v>COM</v>
      </c>
      <c r="G754" t="str">
        <f t="shared" si="261"/>
        <v>FARMÁCIA INDIANA LJ 1 (10126)</v>
      </c>
      <c r="H754" t="s">
        <v>212</v>
      </c>
      <c r="I754" t="str">
        <f t="shared" si="267"/>
        <v>21/01/2026</v>
      </c>
      <c r="J754" t="str">
        <f t="shared" si="268"/>
        <v>13/01/2026</v>
      </c>
      <c r="K754">
        <v>46043</v>
      </c>
      <c r="N754">
        <v>303</v>
      </c>
      <c r="O754" t="s">
        <v>26</v>
      </c>
      <c r="Q754">
        <v>100.64</v>
      </c>
      <c r="R754" t="str">
        <f>"FARMÁCIA INDIANA LJ 128 (10057)"</f>
        <v>FARMÁCIA INDIANA LJ 128 (10057)</v>
      </c>
      <c r="S754" t="s">
        <v>27</v>
      </c>
      <c r="T754">
        <v>4112</v>
      </c>
      <c r="U754">
        <v>3377</v>
      </c>
      <c r="V754" t="s">
        <v>22</v>
      </c>
    </row>
    <row r="755" spans="1:22">
      <c r="A755" t="str">
        <f t="shared" si="263"/>
        <v>21/01/2026</v>
      </c>
      <c r="B755" t="str">
        <f t="shared" si="262"/>
        <v>ENTRADA</v>
      </c>
      <c r="C755" t="str">
        <f t="shared" si="264"/>
        <v>NFSE</v>
      </c>
      <c r="D755" t="str">
        <f t="shared" si="260"/>
        <v>96</v>
      </c>
      <c r="E755" t="str">
        <f t="shared" si="265"/>
        <v>1</v>
      </c>
      <c r="F755" t="str">
        <f t="shared" si="266"/>
        <v>COM</v>
      </c>
      <c r="G755" t="str">
        <f t="shared" si="261"/>
        <v>FARMÁCIA INDIANA LJ 1 (10126)</v>
      </c>
      <c r="H755" t="s">
        <v>212</v>
      </c>
      <c r="I755" t="str">
        <f t="shared" si="267"/>
        <v>21/01/2026</v>
      </c>
      <c r="J755" t="str">
        <f t="shared" si="268"/>
        <v>13/01/2026</v>
      </c>
      <c r="K755">
        <v>46043</v>
      </c>
      <c r="N755">
        <v>303</v>
      </c>
      <c r="O755" t="s">
        <v>26</v>
      </c>
      <c r="Q755">
        <v>22.06</v>
      </c>
      <c r="R755" t="str">
        <f>"FARMÁCIA INDIANA LJ 140 (10064)"</f>
        <v>FARMÁCIA INDIANA LJ 140 (10064)</v>
      </c>
      <c r="S755" t="s">
        <v>27</v>
      </c>
      <c r="T755">
        <v>4112</v>
      </c>
      <c r="U755">
        <v>3377</v>
      </c>
      <c r="V755" t="s">
        <v>22</v>
      </c>
    </row>
    <row r="756" spans="1:22">
      <c r="A756" t="str">
        <f t="shared" si="263"/>
        <v>21/01/2026</v>
      </c>
      <c r="B756" t="str">
        <f t="shared" si="262"/>
        <v>ENTRADA</v>
      </c>
      <c r="C756" t="str">
        <f t="shared" si="264"/>
        <v>NFSE</v>
      </c>
      <c r="D756" t="str">
        <f t="shared" si="260"/>
        <v>96</v>
      </c>
      <c r="E756" t="str">
        <f t="shared" si="265"/>
        <v>1</v>
      </c>
      <c r="F756" t="str">
        <f t="shared" si="266"/>
        <v>COM</v>
      </c>
      <c r="G756" t="str">
        <f t="shared" si="261"/>
        <v>FARMÁCIA INDIANA LJ 1 (10126)</v>
      </c>
      <c r="H756" t="s">
        <v>212</v>
      </c>
      <c r="I756" t="str">
        <f t="shared" si="267"/>
        <v>21/01/2026</v>
      </c>
      <c r="J756" t="str">
        <f t="shared" si="268"/>
        <v>13/01/2026</v>
      </c>
      <c r="K756">
        <v>46043</v>
      </c>
      <c r="N756">
        <v>303</v>
      </c>
      <c r="O756" t="s">
        <v>26</v>
      </c>
      <c r="Q756">
        <v>12.41</v>
      </c>
      <c r="R756" t="str">
        <f>"FARMÁCIA INDIANA LJ 141 (10065)"</f>
        <v>FARMÁCIA INDIANA LJ 141 (10065)</v>
      </c>
      <c r="S756" t="s">
        <v>27</v>
      </c>
      <c r="T756">
        <v>4112</v>
      </c>
      <c r="U756">
        <v>3377</v>
      </c>
      <c r="V756" t="s">
        <v>22</v>
      </c>
    </row>
    <row r="757" spans="1:22">
      <c r="A757" t="str">
        <f t="shared" si="263"/>
        <v>21/01/2026</v>
      </c>
      <c r="B757" t="str">
        <f t="shared" si="262"/>
        <v>ENTRADA</v>
      </c>
      <c r="C757" t="str">
        <f t="shared" si="264"/>
        <v>NFSE</v>
      </c>
      <c r="D757" t="str">
        <f t="shared" si="260"/>
        <v>96</v>
      </c>
      <c r="E757" t="str">
        <f t="shared" si="265"/>
        <v>1</v>
      </c>
      <c r="F757" t="str">
        <f t="shared" si="266"/>
        <v>COM</v>
      </c>
      <c r="G757" t="str">
        <f t="shared" si="261"/>
        <v>FARMÁCIA INDIANA LJ 1 (10126)</v>
      </c>
      <c r="H757" t="s">
        <v>212</v>
      </c>
      <c r="I757" t="str">
        <f t="shared" si="267"/>
        <v>21/01/2026</v>
      </c>
      <c r="J757" t="str">
        <f t="shared" si="268"/>
        <v>13/01/2026</v>
      </c>
      <c r="K757">
        <v>46043</v>
      </c>
      <c r="N757">
        <v>303</v>
      </c>
      <c r="O757" t="s">
        <v>26</v>
      </c>
      <c r="Q757">
        <v>755.46</v>
      </c>
      <c r="R757" t="str">
        <f>"FARMÁCIA INDIANA LJ 142 (10066)"</f>
        <v>FARMÁCIA INDIANA LJ 142 (10066)</v>
      </c>
      <c r="S757" t="s">
        <v>27</v>
      </c>
      <c r="T757">
        <v>4112</v>
      </c>
      <c r="U757">
        <v>3377</v>
      </c>
      <c r="V757" t="s">
        <v>22</v>
      </c>
    </row>
    <row r="758" spans="1:22">
      <c r="A758" t="str">
        <f t="shared" si="263"/>
        <v>21/01/2026</v>
      </c>
      <c r="B758" t="str">
        <f t="shared" si="262"/>
        <v>ENTRADA</v>
      </c>
      <c r="C758" t="str">
        <f t="shared" si="264"/>
        <v>NFSE</v>
      </c>
      <c r="D758" t="str">
        <f t="shared" si="260"/>
        <v>96</v>
      </c>
      <c r="E758" t="str">
        <f t="shared" si="265"/>
        <v>1</v>
      </c>
      <c r="F758" t="str">
        <f t="shared" si="266"/>
        <v>COM</v>
      </c>
      <c r="G758" t="str">
        <f t="shared" si="261"/>
        <v>FARMÁCIA INDIANA LJ 1 (10126)</v>
      </c>
      <c r="H758" t="s">
        <v>212</v>
      </c>
      <c r="I758" t="str">
        <f t="shared" si="267"/>
        <v>21/01/2026</v>
      </c>
      <c r="J758" t="str">
        <f t="shared" si="268"/>
        <v>13/01/2026</v>
      </c>
      <c r="K758">
        <v>46043</v>
      </c>
      <c r="N758">
        <v>303</v>
      </c>
      <c r="O758" t="s">
        <v>26</v>
      </c>
      <c r="Q758">
        <v>67.55</v>
      </c>
      <c r="R758" t="str">
        <f>"FARMÁCIA INDIANA LJ 143 (10067)"</f>
        <v>FARMÁCIA INDIANA LJ 143 (10067)</v>
      </c>
      <c r="S758" t="s">
        <v>27</v>
      </c>
      <c r="T758">
        <v>4112</v>
      </c>
      <c r="U758">
        <v>3377</v>
      </c>
      <c r="V758" t="s">
        <v>22</v>
      </c>
    </row>
    <row r="759" spans="1:22">
      <c r="A759" t="str">
        <f t="shared" si="263"/>
        <v>21/01/2026</v>
      </c>
      <c r="B759" t="str">
        <f t="shared" si="262"/>
        <v>ENTRADA</v>
      </c>
      <c r="C759" t="str">
        <f t="shared" si="264"/>
        <v>NFSE</v>
      </c>
      <c r="D759" t="str">
        <f t="shared" si="260"/>
        <v>96</v>
      </c>
      <c r="E759" t="str">
        <f t="shared" si="265"/>
        <v>1</v>
      </c>
      <c r="F759" t="str">
        <f t="shared" si="266"/>
        <v>COM</v>
      </c>
      <c r="G759" t="str">
        <f t="shared" si="261"/>
        <v>FARMÁCIA INDIANA LJ 1 (10126)</v>
      </c>
      <c r="H759" t="s">
        <v>212</v>
      </c>
      <c r="I759" t="str">
        <f t="shared" si="267"/>
        <v>21/01/2026</v>
      </c>
      <c r="J759" t="str">
        <f t="shared" si="268"/>
        <v>13/01/2026</v>
      </c>
      <c r="K759">
        <v>46043</v>
      </c>
      <c r="N759">
        <v>303</v>
      </c>
      <c r="O759" t="s">
        <v>26</v>
      </c>
      <c r="Q759">
        <v>398.41</v>
      </c>
      <c r="R759" t="str">
        <f>"FARMÁCIA INDIANA LJ 152 (10069)"</f>
        <v>FARMÁCIA INDIANA LJ 152 (10069)</v>
      </c>
      <c r="S759" t="s">
        <v>27</v>
      </c>
      <c r="T759">
        <v>4112</v>
      </c>
      <c r="U759">
        <v>3377</v>
      </c>
      <c r="V759" t="s">
        <v>22</v>
      </c>
    </row>
    <row r="760" spans="1:22">
      <c r="A760" t="str">
        <f t="shared" si="263"/>
        <v>21/01/2026</v>
      </c>
      <c r="B760" t="str">
        <f t="shared" si="262"/>
        <v>ENTRADA</v>
      </c>
      <c r="C760" t="str">
        <f t="shared" si="264"/>
        <v>NFSE</v>
      </c>
      <c r="D760" t="str">
        <f t="shared" si="260"/>
        <v>96</v>
      </c>
      <c r="E760" t="str">
        <f t="shared" si="265"/>
        <v>1</v>
      </c>
      <c r="F760" t="str">
        <f t="shared" si="266"/>
        <v>COM</v>
      </c>
      <c r="G760" t="str">
        <f t="shared" si="261"/>
        <v>FARMÁCIA INDIANA LJ 1 (10126)</v>
      </c>
      <c r="H760" t="s">
        <v>212</v>
      </c>
      <c r="I760" t="str">
        <f t="shared" si="267"/>
        <v>21/01/2026</v>
      </c>
      <c r="J760" t="str">
        <f t="shared" si="268"/>
        <v>13/01/2026</v>
      </c>
      <c r="K760">
        <v>46043</v>
      </c>
      <c r="N760">
        <v>303</v>
      </c>
      <c r="O760" t="s">
        <v>26</v>
      </c>
      <c r="Q760">
        <v>24.81</v>
      </c>
      <c r="R760" t="str">
        <f>"FARMÁCIA INDIANA LJ 154 (10070)"</f>
        <v>FARMÁCIA INDIANA LJ 154 (10070)</v>
      </c>
      <c r="S760" t="s">
        <v>27</v>
      </c>
      <c r="T760">
        <v>4112</v>
      </c>
      <c r="U760">
        <v>3377</v>
      </c>
      <c r="V760" t="s">
        <v>22</v>
      </c>
    </row>
    <row r="761" spans="1:22">
      <c r="A761" t="str">
        <f t="shared" si="263"/>
        <v>21/01/2026</v>
      </c>
      <c r="B761" t="str">
        <f t="shared" si="262"/>
        <v>ENTRADA</v>
      </c>
      <c r="C761" t="str">
        <f t="shared" si="264"/>
        <v>NFSE</v>
      </c>
      <c r="D761" t="str">
        <f t="shared" si="260"/>
        <v>96</v>
      </c>
      <c r="E761" t="str">
        <f t="shared" si="265"/>
        <v>1</v>
      </c>
      <c r="F761" t="str">
        <f t="shared" si="266"/>
        <v>COM</v>
      </c>
      <c r="G761" t="str">
        <f t="shared" si="261"/>
        <v>FARMÁCIA INDIANA LJ 1 (10126)</v>
      </c>
      <c r="H761" t="s">
        <v>212</v>
      </c>
      <c r="I761" t="str">
        <f t="shared" si="267"/>
        <v>21/01/2026</v>
      </c>
      <c r="J761" t="str">
        <f t="shared" si="268"/>
        <v>13/01/2026</v>
      </c>
      <c r="K761">
        <v>46043</v>
      </c>
      <c r="N761">
        <v>303</v>
      </c>
      <c r="O761" t="s">
        <v>26</v>
      </c>
      <c r="Q761">
        <v>213.68</v>
      </c>
      <c r="R761" t="str">
        <f>"FARMÁCIA INDIANA LJ 171 (10074)"</f>
        <v>FARMÁCIA INDIANA LJ 171 (10074)</v>
      </c>
      <c r="S761" t="s">
        <v>27</v>
      </c>
      <c r="T761">
        <v>4112</v>
      </c>
      <c r="U761">
        <v>3377</v>
      </c>
      <c r="V761" t="s">
        <v>22</v>
      </c>
    </row>
    <row r="762" spans="1:22">
      <c r="A762" t="str">
        <f t="shared" si="263"/>
        <v>21/01/2026</v>
      </c>
      <c r="B762" t="str">
        <f t="shared" si="262"/>
        <v>ENTRADA</v>
      </c>
      <c r="C762" t="str">
        <f t="shared" si="264"/>
        <v>NFSE</v>
      </c>
      <c r="D762" t="str">
        <f t="shared" si="260"/>
        <v>96</v>
      </c>
      <c r="E762" t="str">
        <f t="shared" si="265"/>
        <v>1</v>
      </c>
      <c r="F762" t="str">
        <f t="shared" si="266"/>
        <v>COM</v>
      </c>
      <c r="G762" t="str">
        <f t="shared" si="261"/>
        <v>FARMÁCIA INDIANA LJ 1 (10126)</v>
      </c>
      <c r="H762" t="s">
        <v>212</v>
      </c>
      <c r="I762" t="str">
        <f t="shared" si="267"/>
        <v>21/01/2026</v>
      </c>
      <c r="J762" t="str">
        <f t="shared" si="268"/>
        <v>13/01/2026</v>
      </c>
      <c r="K762">
        <v>46043</v>
      </c>
      <c r="N762">
        <v>303</v>
      </c>
      <c r="O762" t="s">
        <v>26</v>
      </c>
      <c r="Q762">
        <v>82.71</v>
      </c>
      <c r="R762" t="str">
        <f>"FARMÁCIA INDIANA LJ 175 (10076)"</f>
        <v>FARMÁCIA INDIANA LJ 175 (10076)</v>
      </c>
      <c r="S762" t="s">
        <v>27</v>
      </c>
      <c r="T762">
        <v>4112</v>
      </c>
      <c r="U762">
        <v>3377</v>
      </c>
      <c r="V762" t="s">
        <v>22</v>
      </c>
    </row>
    <row r="763" spans="1:22">
      <c r="A763" t="str">
        <f t="shared" si="263"/>
        <v>21/01/2026</v>
      </c>
      <c r="B763" t="str">
        <f t="shared" si="262"/>
        <v>ENTRADA</v>
      </c>
      <c r="C763" t="str">
        <f t="shared" si="264"/>
        <v>NFSE</v>
      </c>
      <c r="D763" t="str">
        <f t="shared" ref="D763:D780" si="269">"96"</f>
        <v>96</v>
      </c>
      <c r="E763" t="str">
        <f t="shared" si="265"/>
        <v>1</v>
      </c>
      <c r="F763" t="str">
        <f t="shared" si="266"/>
        <v>COM</v>
      </c>
      <c r="G763" t="str">
        <f t="shared" ref="G763:G780" si="270">"FARMÁCIA INDIANA LJ 1 (10126)"</f>
        <v>FARMÁCIA INDIANA LJ 1 (10126)</v>
      </c>
      <c r="H763" t="s">
        <v>212</v>
      </c>
      <c r="I763" t="str">
        <f t="shared" si="267"/>
        <v>21/01/2026</v>
      </c>
      <c r="J763" t="str">
        <f t="shared" si="268"/>
        <v>13/01/2026</v>
      </c>
      <c r="K763">
        <v>46043</v>
      </c>
      <c r="N763">
        <v>303</v>
      </c>
      <c r="O763" t="s">
        <v>26</v>
      </c>
      <c r="Q763">
        <v>49.63</v>
      </c>
      <c r="R763" t="str">
        <f>"FARMÁCIA INDIANA LJ 182 (10079)"</f>
        <v>FARMÁCIA INDIANA LJ 182 (10079)</v>
      </c>
      <c r="S763" t="s">
        <v>27</v>
      </c>
      <c r="T763">
        <v>4112</v>
      </c>
      <c r="U763">
        <v>3377</v>
      </c>
      <c r="V763" t="s">
        <v>22</v>
      </c>
    </row>
    <row r="764" spans="1:22">
      <c r="A764" t="str">
        <f t="shared" si="263"/>
        <v>21/01/2026</v>
      </c>
      <c r="B764" t="str">
        <f t="shared" ref="B764:B786" si="271">"ENTRADA"</f>
        <v>ENTRADA</v>
      </c>
      <c r="C764" t="str">
        <f t="shared" si="264"/>
        <v>NFSE</v>
      </c>
      <c r="D764" t="str">
        <f t="shared" si="269"/>
        <v>96</v>
      </c>
      <c r="E764" t="str">
        <f t="shared" si="265"/>
        <v>1</v>
      </c>
      <c r="F764" t="str">
        <f t="shared" si="266"/>
        <v>COM</v>
      </c>
      <c r="G764" t="str">
        <f t="shared" si="270"/>
        <v>FARMÁCIA INDIANA LJ 1 (10126)</v>
      </c>
      <c r="H764" t="s">
        <v>212</v>
      </c>
      <c r="I764" t="str">
        <f t="shared" si="267"/>
        <v>21/01/2026</v>
      </c>
      <c r="J764" t="str">
        <f t="shared" si="268"/>
        <v>13/01/2026</v>
      </c>
      <c r="K764">
        <v>46043</v>
      </c>
      <c r="N764">
        <v>303</v>
      </c>
      <c r="O764" t="s">
        <v>26</v>
      </c>
      <c r="Q764">
        <v>39.979999999999997</v>
      </c>
      <c r="R764" t="str">
        <f>"FARMÁCIA INDIANA LJ 184 (10080)"</f>
        <v>FARMÁCIA INDIANA LJ 184 (10080)</v>
      </c>
      <c r="S764" t="s">
        <v>27</v>
      </c>
      <c r="T764">
        <v>4112</v>
      </c>
      <c r="U764">
        <v>3377</v>
      </c>
      <c r="V764" t="s">
        <v>22</v>
      </c>
    </row>
    <row r="765" spans="1:22">
      <c r="A765" t="str">
        <f t="shared" ref="A765:A793" si="272">("21/01/2026")</f>
        <v>21/01/2026</v>
      </c>
      <c r="B765" t="str">
        <f t="shared" si="271"/>
        <v>ENTRADA</v>
      </c>
      <c r="C765" t="str">
        <f t="shared" ref="C765:C786" si="273">"NFSE"</f>
        <v>NFSE</v>
      </c>
      <c r="D765" t="str">
        <f t="shared" si="269"/>
        <v>96</v>
      </c>
      <c r="E765" t="str">
        <f t="shared" ref="E765:E786" si="274">"1"</f>
        <v>1</v>
      </c>
      <c r="F765" t="str">
        <f t="shared" ref="F765:F786" si="275">"COM"</f>
        <v>COM</v>
      </c>
      <c r="G765" t="str">
        <f t="shared" si="270"/>
        <v>FARMÁCIA INDIANA LJ 1 (10126)</v>
      </c>
      <c r="H765" t="s">
        <v>212</v>
      </c>
      <c r="I765" t="str">
        <f t="shared" ref="I765:I780" si="276">("21/01/2026")</f>
        <v>21/01/2026</v>
      </c>
      <c r="J765" t="str">
        <f t="shared" ref="J765:J780" si="277">("13/01/2026")</f>
        <v>13/01/2026</v>
      </c>
      <c r="K765">
        <v>46043</v>
      </c>
      <c r="N765">
        <v>303</v>
      </c>
      <c r="O765" t="s">
        <v>26</v>
      </c>
      <c r="Q765">
        <v>49.63</v>
      </c>
      <c r="R765" t="str">
        <f>"FARMÁCIA INDIANA LJ 186 (10081)"</f>
        <v>FARMÁCIA INDIANA LJ 186 (10081)</v>
      </c>
      <c r="S765" t="s">
        <v>27</v>
      </c>
      <c r="T765">
        <v>4112</v>
      </c>
      <c r="U765">
        <v>3377</v>
      </c>
      <c r="V765" t="s">
        <v>22</v>
      </c>
    </row>
    <row r="766" spans="1:22">
      <c r="A766" t="str">
        <f t="shared" si="272"/>
        <v>21/01/2026</v>
      </c>
      <c r="B766" t="str">
        <f t="shared" si="271"/>
        <v>ENTRADA</v>
      </c>
      <c r="C766" t="str">
        <f t="shared" si="273"/>
        <v>NFSE</v>
      </c>
      <c r="D766" t="str">
        <f t="shared" si="269"/>
        <v>96</v>
      </c>
      <c r="E766" t="str">
        <f t="shared" si="274"/>
        <v>1</v>
      </c>
      <c r="F766" t="str">
        <f t="shared" si="275"/>
        <v>COM</v>
      </c>
      <c r="G766" t="str">
        <f t="shared" si="270"/>
        <v>FARMÁCIA INDIANA LJ 1 (10126)</v>
      </c>
      <c r="H766" t="s">
        <v>212</v>
      </c>
      <c r="I766" t="str">
        <f t="shared" si="276"/>
        <v>21/01/2026</v>
      </c>
      <c r="J766" t="str">
        <f t="shared" si="277"/>
        <v>13/01/2026</v>
      </c>
      <c r="K766">
        <v>46043</v>
      </c>
      <c r="N766">
        <v>303</v>
      </c>
      <c r="O766" t="s">
        <v>26</v>
      </c>
      <c r="Q766">
        <v>249.52</v>
      </c>
      <c r="R766" t="str">
        <f>"FARMÁCIA INDIANA LJ 192 (10082)"</f>
        <v>FARMÁCIA INDIANA LJ 192 (10082)</v>
      </c>
      <c r="S766" t="s">
        <v>27</v>
      </c>
      <c r="T766">
        <v>4112</v>
      </c>
      <c r="U766">
        <v>3377</v>
      </c>
      <c r="V766" t="s">
        <v>22</v>
      </c>
    </row>
    <row r="767" spans="1:22">
      <c r="A767" t="str">
        <f t="shared" si="272"/>
        <v>21/01/2026</v>
      </c>
      <c r="B767" t="str">
        <f t="shared" si="271"/>
        <v>ENTRADA</v>
      </c>
      <c r="C767" t="str">
        <f t="shared" si="273"/>
        <v>NFSE</v>
      </c>
      <c r="D767" t="str">
        <f t="shared" si="269"/>
        <v>96</v>
      </c>
      <c r="E767" t="str">
        <f t="shared" si="274"/>
        <v>1</v>
      </c>
      <c r="F767" t="str">
        <f t="shared" si="275"/>
        <v>COM</v>
      </c>
      <c r="G767" t="str">
        <f t="shared" si="270"/>
        <v>FARMÁCIA INDIANA LJ 1 (10126)</v>
      </c>
      <c r="H767" t="s">
        <v>212</v>
      </c>
      <c r="I767" t="str">
        <f t="shared" si="276"/>
        <v>21/01/2026</v>
      </c>
      <c r="J767" t="str">
        <f t="shared" si="277"/>
        <v>13/01/2026</v>
      </c>
      <c r="K767">
        <v>46043</v>
      </c>
      <c r="N767">
        <v>303</v>
      </c>
      <c r="O767" t="s">
        <v>26</v>
      </c>
      <c r="Q767">
        <v>39.979999999999997</v>
      </c>
      <c r="R767" t="str">
        <f>"FARMÁCIA INDIANA LJ 195 (10083)"</f>
        <v>FARMÁCIA INDIANA LJ 195 (10083)</v>
      </c>
      <c r="S767" t="s">
        <v>27</v>
      </c>
      <c r="T767">
        <v>4112</v>
      </c>
      <c r="U767">
        <v>3377</v>
      </c>
      <c r="V767" t="s">
        <v>22</v>
      </c>
    </row>
    <row r="768" spans="1:22">
      <c r="A768" t="str">
        <f t="shared" si="272"/>
        <v>21/01/2026</v>
      </c>
      <c r="B768" t="str">
        <f t="shared" si="271"/>
        <v>ENTRADA</v>
      </c>
      <c r="C768" t="str">
        <f t="shared" si="273"/>
        <v>NFSE</v>
      </c>
      <c r="D768" t="str">
        <f t="shared" si="269"/>
        <v>96</v>
      </c>
      <c r="E768" t="str">
        <f t="shared" si="274"/>
        <v>1</v>
      </c>
      <c r="F768" t="str">
        <f t="shared" si="275"/>
        <v>COM</v>
      </c>
      <c r="G768" t="str">
        <f t="shared" si="270"/>
        <v>FARMÁCIA INDIANA LJ 1 (10126)</v>
      </c>
      <c r="H768" t="s">
        <v>212</v>
      </c>
      <c r="I768" t="str">
        <f t="shared" si="276"/>
        <v>21/01/2026</v>
      </c>
      <c r="J768" t="str">
        <f t="shared" si="277"/>
        <v>13/01/2026</v>
      </c>
      <c r="K768">
        <v>46043</v>
      </c>
      <c r="N768">
        <v>303</v>
      </c>
      <c r="O768" t="s">
        <v>26</v>
      </c>
      <c r="Q768">
        <v>99.26</v>
      </c>
      <c r="R768" t="str">
        <f>"FARMÁCIA INDIANA LJ 202 (10085)"</f>
        <v>FARMÁCIA INDIANA LJ 202 (10085)</v>
      </c>
      <c r="S768" t="s">
        <v>27</v>
      </c>
      <c r="T768">
        <v>4112</v>
      </c>
      <c r="U768">
        <v>3377</v>
      </c>
      <c r="V768" t="s">
        <v>22</v>
      </c>
    </row>
    <row r="769" spans="1:22">
      <c r="A769" t="str">
        <f t="shared" si="272"/>
        <v>21/01/2026</v>
      </c>
      <c r="B769" t="str">
        <f t="shared" si="271"/>
        <v>ENTRADA</v>
      </c>
      <c r="C769" t="str">
        <f t="shared" si="273"/>
        <v>NFSE</v>
      </c>
      <c r="D769" t="str">
        <f t="shared" si="269"/>
        <v>96</v>
      </c>
      <c r="E769" t="str">
        <f t="shared" si="274"/>
        <v>1</v>
      </c>
      <c r="F769" t="str">
        <f t="shared" si="275"/>
        <v>COM</v>
      </c>
      <c r="G769" t="str">
        <f t="shared" si="270"/>
        <v>FARMÁCIA INDIANA LJ 1 (10126)</v>
      </c>
      <c r="H769" t="s">
        <v>212</v>
      </c>
      <c r="I769" t="str">
        <f t="shared" si="276"/>
        <v>21/01/2026</v>
      </c>
      <c r="J769" t="str">
        <f t="shared" si="277"/>
        <v>13/01/2026</v>
      </c>
      <c r="K769">
        <v>46043</v>
      </c>
      <c r="N769">
        <v>303</v>
      </c>
      <c r="O769" t="s">
        <v>26</v>
      </c>
      <c r="Q769">
        <v>79.959999999999994</v>
      </c>
      <c r="R769" t="str">
        <f>"FARMÁCIA INDIANA LJ 204 (10087)"</f>
        <v>FARMÁCIA INDIANA LJ 204 (10087)</v>
      </c>
      <c r="S769" t="s">
        <v>27</v>
      </c>
      <c r="T769">
        <v>4112</v>
      </c>
      <c r="U769">
        <v>3377</v>
      </c>
      <c r="V769" t="s">
        <v>22</v>
      </c>
    </row>
    <row r="770" spans="1:22">
      <c r="A770" t="str">
        <f t="shared" si="272"/>
        <v>21/01/2026</v>
      </c>
      <c r="B770" t="str">
        <f t="shared" si="271"/>
        <v>ENTRADA</v>
      </c>
      <c r="C770" t="str">
        <f t="shared" si="273"/>
        <v>NFSE</v>
      </c>
      <c r="D770" t="str">
        <f t="shared" si="269"/>
        <v>96</v>
      </c>
      <c r="E770" t="str">
        <f t="shared" si="274"/>
        <v>1</v>
      </c>
      <c r="F770" t="str">
        <f t="shared" si="275"/>
        <v>COM</v>
      </c>
      <c r="G770" t="str">
        <f t="shared" si="270"/>
        <v>FARMÁCIA INDIANA LJ 1 (10126)</v>
      </c>
      <c r="H770" t="s">
        <v>212</v>
      </c>
      <c r="I770" t="str">
        <f t="shared" si="276"/>
        <v>21/01/2026</v>
      </c>
      <c r="J770" t="str">
        <f t="shared" si="277"/>
        <v>13/01/2026</v>
      </c>
      <c r="K770">
        <v>46043</v>
      </c>
      <c r="N770">
        <v>303</v>
      </c>
      <c r="O770" t="s">
        <v>26</v>
      </c>
      <c r="Q770">
        <v>146.13</v>
      </c>
      <c r="R770" t="str">
        <f>"FARMÁCIA INDIANA LJ 207 (10088)"</f>
        <v>FARMÁCIA INDIANA LJ 207 (10088)</v>
      </c>
      <c r="S770" t="s">
        <v>27</v>
      </c>
      <c r="T770">
        <v>4112</v>
      </c>
      <c r="U770">
        <v>3377</v>
      </c>
      <c r="V770" t="s">
        <v>22</v>
      </c>
    </row>
    <row r="771" spans="1:22">
      <c r="A771" t="str">
        <f t="shared" si="272"/>
        <v>21/01/2026</v>
      </c>
      <c r="B771" t="str">
        <f t="shared" si="271"/>
        <v>ENTRADA</v>
      </c>
      <c r="C771" t="str">
        <f t="shared" si="273"/>
        <v>NFSE</v>
      </c>
      <c r="D771" t="str">
        <f t="shared" si="269"/>
        <v>96</v>
      </c>
      <c r="E771" t="str">
        <f t="shared" si="274"/>
        <v>1</v>
      </c>
      <c r="F771" t="str">
        <f t="shared" si="275"/>
        <v>COM</v>
      </c>
      <c r="G771" t="str">
        <f t="shared" si="270"/>
        <v>FARMÁCIA INDIANA LJ 1 (10126)</v>
      </c>
      <c r="H771" t="s">
        <v>212</v>
      </c>
      <c r="I771" t="str">
        <f t="shared" si="276"/>
        <v>21/01/2026</v>
      </c>
      <c r="J771" t="str">
        <f t="shared" si="277"/>
        <v>13/01/2026</v>
      </c>
      <c r="K771">
        <v>46043</v>
      </c>
      <c r="N771">
        <v>303</v>
      </c>
      <c r="O771" t="s">
        <v>26</v>
      </c>
      <c r="Q771">
        <v>125.45</v>
      </c>
      <c r="R771" t="str">
        <f>"FARMÁCIA INDIANA LJ 209 (10089)"</f>
        <v>FARMÁCIA INDIANA LJ 209 (10089)</v>
      </c>
      <c r="S771" t="s">
        <v>27</v>
      </c>
      <c r="T771">
        <v>4112</v>
      </c>
      <c r="U771">
        <v>3377</v>
      </c>
      <c r="V771" t="s">
        <v>22</v>
      </c>
    </row>
    <row r="772" spans="1:22">
      <c r="A772" t="str">
        <f t="shared" si="272"/>
        <v>21/01/2026</v>
      </c>
      <c r="B772" t="str">
        <f t="shared" si="271"/>
        <v>ENTRADA</v>
      </c>
      <c r="C772" t="str">
        <f t="shared" si="273"/>
        <v>NFSE</v>
      </c>
      <c r="D772" t="str">
        <f t="shared" si="269"/>
        <v>96</v>
      </c>
      <c r="E772" t="str">
        <f t="shared" si="274"/>
        <v>1</v>
      </c>
      <c r="F772" t="str">
        <f t="shared" si="275"/>
        <v>COM</v>
      </c>
      <c r="G772" t="str">
        <f t="shared" si="270"/>
        <v>FARMÁCIA INDIANA LJ 1 (10126)</v>
      </c>
      <c r="H772" t="s">
        <v>212</v>
      </c>
      <c r="I772" t="str">
        <f t="shared" si="276"/>
        <v>21/01/2026</v>
      </c>
      <c r="J772" t="str">
        <f t="shared" si="277"/>
        <v>13/01/2026</v>
      </c>
      <c r="K772">
        <v>46043</v>
      </c>
      <c r="N772">
        <v>303</v>
      </c>
      <c r="O772" t="s">
        <v>26</v>
      </c>
      <c r="Q772">
        <v>217.81</v>
      </c>
      <c r="R772" t="str">
        <f>"FARMÁCIA INDIANA LJ 219 (10091)"</f>
        <v>FARMÁCIA INDIANA LJ 219 (10091)</v>
      </c>
      <c r="S772" t="s">
        <v>27</v>
      </c>
      <c r="T772">
        <v>4112</v>
      </c>
      <c r="U772">
        <v>3377</v>
      </c>
      <c r="V772" t="s">
        <v>22</v>
      </c>
    </row>
    <row r="773" spans="1:22">
      <c r="A773" t="str">
        <f t="shared" si="272"/>
        <v>21/01/2026</v>
      </c>
      <c r="B773" t="str">
        <f t="shared" si="271"/>
        <v>ENTRADA</v>
      </c>
      <c r="C773" t="str">
        <f t="shared" si="273"/>
        <v>NFSE</v>
      </c>
      <c r="D773" t="str">
        <f t="shared" si="269"/>
        <v>96</v>
      </c>
      <c r="E773" t="str">
        <f t="shared" si="274"/>
        <v>1</v>
      </c>
      <c r="F773" t="str">
        <f t="shared" si="275"/>
        <v>COM</v>
      </c>
      <c r="G773" t="str">
        <f t="shared" si="270"/>
        <v>FARMÁCIA INDIANA LJ 1 (10126)</v>
      </c>
      <c r="H773" t="s">
        <v>212</v>
      </c>
      <c r="I773" t="str">
        <f t="shared" si="276"/>
        <v>21/01/2026</v>
      </c>
      <c r="J773" t="str">
        <f t="shared" si="277"/>
        <v>13/01/2026</v>
      </c>
      <c r="K773">
        <v>46043</v>
      </c>
      <c r="N773">
        <v>303</v>
      </c>
      <c r="O773" t="s">
        <v>26</v>
      </c>
      <c r="Q773">
        <v>388.76</v>
      </c>
      <c r="R773" t="str">
        <f>"FARMÁCIA INDIANA LJ 220 (10092)"</f>
        <v>FARMÁCIA INDIANA LJ 220 (10092)</v>
      </c>
      <c r="S773" t="s">
        <v>27</v>
      </c>
      <c r="T773">
        <v>4112</v>
      </c>
      <c r="U773">
        <v>3377</v>
      </c>
      <c r="V773" t="s">
        <v>22</v>
      </c>
    </row>
    <row r="774" spans="1:22">
      <c r="A774" t="str">
        <f t="shared" si="272"/>
        <v>21/01/2026</v>
      </c>
      <c r="B774" t="str">
        <f t="shared" si="271"/>
        <v>ENTRADA</v>
      </c>
      <c r="C774" t="str">
        <f t="shared" si="273"/>
        <v>NFSE</v>
      </c>
      <c r="D774" t="str">
        <f t="shared" si="269"/>
        <v>96</v>
      </c>
      <c r="E774" t="str">
        <f t="shared" si="274"/>
        <v>1</v>
      </c>
      <c r="F774" t="str">
        <f t="shared" si="275"/>
        <v>COM</v>
      </c>
      <c r="G774" t="str">
        <f t="shared" si="270"/>
        <v>FARMÁCIA INDIANA LJ 1 (10126)</v>
      </c>
      <c r="H774" t="s">
        <v>212</v>
      </c>
      <c r="I774" t="str">
        <f t="shared" si="276"/>
        <v>21/01/2026</v>
      </c>
      <c r="J774" t="str">
        <f t="shared" si="277"/>
        <v>13/01/2026</v>
      </c>
      <c r="K774">
        <v>46043</v>
      </c>
      <c r="N774">
        <v>303</v>
      </c>
      <c r="O774" t="s">
        <v>26</v>
      </c>
      <c r="Q774">
        <v>114.42</v>
      </c>
      <c r="R774" t="str">
        <f>"FARMÁCIA INDIANA LJ 185 (10141)"</f>
        <v>FARMÁCIA INDIANA LJ 185 (10141)</v>
      </c>
      <c r="S774" t="s">
        <v>27</v>
      </c>
      <c r="T774">
        <v>4112</v>
      </c>
      <c r="U774">
        <v>3377</v>
      </c>
      <c r="V774" t="s">
        <v>22</v>
      </c>
    </row>
    <row r="775" spans="1:22">
      <c r="A775" t="str">
        <f t="shared" si="272"/>
        <v>21/01/2026</v>
      </c>
      <c r="B775" t="str">
        <f t="shared" si="271"/>
        <v>ENTRADA</v>
      </c>
      <c r="C775" t="str">
        <f t="shared" si="273"/>
        <v>NFSE</v>
      </c>
      <c r="D775" t="str">
        <f t="shared" si="269"/>
        <v>96</v>
      </c>
      <c r="E775" t="str">
        <f t="shared" si="274"/>
        <v>1</v>
      </c>
      <c r="F775" t="str">
        <f t="shared" si="275"/>
        <v>COM</v>
      </c>
      <c r="G775" t="str">
        <f t="shared" si="270"/>
        <v>FARMÁCIA INDIANA LJ 1 (10126)</v>
      </c>
      <c r="H775" t="s">
        <v>212</v>
      </c>
      <c r="I775" t="str">
        <f t="shared" si="276"/>
        <v>21/01/2026</v>
      </c>
      <c r="J775" t="str">
        <f t="shared" si="277"/>
        <v>13/01/2026</v>
      </c>
      <c r="K775">
        <v>46043</v>
      </c>
      <c r="N775">
        <v>303</v>
      </c>
      <c r="O775" t="s">
        <v>26</v>
      </c>
      <c r="Q775">
        <v>106.15</v>
      </c>
      <c r="R775" t="str">
        <f>"FARMÁCIA INDIANA LJ 205 (10150)"</f>
        <v>FARMÁCIA INDIANA LJ 205 (10150)</v>
      </c>
      <c r="S775" t="s">
        <v>27</v>
      </c>
      <c r="T775">
        <v>4112</v>
      </c>
      <c r="U775">
        <v>3377</v>
      </c>
      <c r="V775" t="s">
        <v>22</v>
      </c>
    </row>
    <row r="776" spans="1:22">
      <c r="A776" t="str">
        <f t="shared" si="272"/>
        <v>21/01/2026</v>
      </c>
      <c r="B776" t="str">
        <f t="shared" si="271"/>
        <v>ENTRADA</v>
      </c>
      <c r="C776" t="str">
        <f t="shared" si="273"/>
        <v>NFSE</v>
      </c>
      <c r="D776" t="str">
        <f t="shared" si="269"/>
        <v>96</v>
      </c>
      <c r="E776" t="str">
        <f t="shared" si="274"/>
        <v>1</v>
      </c>
      <c r="F776" t="str">
        <f t="shared" si="275"/>
        <v>COM</v>
      </c>
      <c r="G776" t="str">
        <f t="shared" si="270"/>
        <v>FARMÁCIA INDIANA LJ 1 (10126)</v>
      </c>
      <c r="H776" t="s">
        <v>212</v>
      </c>
      <c r="I776" t="str">
        <f t="shared" si="276"/>
        <v>21/01/2026</v>
      </c>
      <c r="J776" t="str">
        <f t="shared" si="277"/>
        <v>13/01/2026</v>
      </c>
      <c r="K776">
        <v>46043</v>
      </c>
      <c r="N776">
        <v>303</v>
      </c>
      <c r="O776" t="s">
        <v>26</v>
      </c>
      <c r="Q776">
        <v>591.41</v>
      </c>
      <c r="R776" t="str">
        <f>"FARMÁCIA INDIANA LJ 172 (10161)"</f>
        <v>FARMÁCIA INDIANA LJ 172 (10161)</v>
      </c>
      <c r="S776" t="s">
        <v>27</v>
      </c>
      <c r="T776">
        <v>4112</v>
      </c>
      <c r="U776">
        <v>3377</v>
      </c>
      <c r="V776" t="s">
        <v>22</v>
      </c>
    </row>
    <row r="777" spans="1:22">
      <c r="A777" t="str">
        <f t="shared" si="272"/>
        <v>21/01/2026</v>
      </c>
      <c r="B777" t="str">
        <f t="shared" si="271"/>
        <v>ENTRADA</v>
      </c>
      <c r="C777" t="str">
        <f t="shared" si="273"/>
        <v>NFSE</v>
      </c>
      <c r="D777" t="str">
        <f t="shared" si="269"/>
        <v>96</v>
      </c>
      <c r="E777" t="str">
        <f t="shared" si="274"/>
        <v>1</v>
      </c>
      <c r="F777" t="str">
        <f t="shared" si="275"/>
        <v>COM</v>
      </c>
      <c r="G777" t="str">
        <f t="shared" si="270"/>
        <v>FARMÁCIA INDIANA LJ 1 (10126)</v>
      </c>
      <c r="H777" t="s">
        <v>212</v>
      </c>
      <c r="I777" t="str">
        <f t="shared" si="276"/>
        <v>21/01/2026</v>
      </c>
      <c r="J777" t="str">
        <f t="shared" si="277"/>
        <v>13/01/2026</v>
      </c>
      <c r="K777">
        <v>46043</v>
      </c>
      <c r="N777">
        <v>303</v>
      </c>
      <c r="O777" t="s">
        <v>26</v>
      </c>
      <c r="Q777">
        <v>79.959999999999994</v>
      </c>
      <c r="R777" t="str">
        <f>"FARMÁCIA INDIANA LJ 266 (10186)"</f>
        <v>FARMÁCIA INDIANA LJ 266 (10186)</v>
      </c>
      <c r="S777" t="s">
        <v>27</v>
      </c>
      <c r="T777">
        <v>4112</v>
      </c>
      <c r="U777">
        <v>3377</v>
      </c>
      <c r="V777" t="s">
        <v>22</v>
      </c>
    </row>
    <row r="778" spans="1:22">
      <c r="A778" t="str">
        <f t="shared" si="272"/>
        <v>21/01/2026</v>
      </c>
      <c r="B778" t="str">
        <f t="shared" si="271"/>
        <v>ENTRADA</v>
      </c>
      <c r="C778" t="str">
        <f t="shared" si="273"/>
        <v>NFSE</v>
      </c>
      <c r="D778" t="str">
        <f t="shared" si="269"/>
        <v>96</v>
      </c>
      <c r="E778" t="str">
        <f t="shared" si="274"/>
        <v>1</v>
      </c>
      <c r="F778" t="str">
        <f t="shared" si="275"/>
        <v>COM</v>
      </c>
      <c r="G778" t="str">
        <f t="shared" si="270"/>
        <v>FARMÁCIA INDIANA LJ 1 (10126)</v>
      </c>
      <c r="H778" t="s">
        <v>212</v>
      </c>
      <c r="I778" t="str">
        <f t="shared" si="276"/>
        <v>21/01/2026</v>
      </c>
      <c r="J778" t="str">
        <f t="shared" si="277"/>
        <v>13/01/2026</v>
      </c>
      <c r="K778">
        <v>46043</v>
      </c>
      <c r="N778">
        <v>303</v>
      </c>
      <c r="O778" t="s">
        <v>26</v>
      </c>
      <c r="Q778">
        <v>4.1399999999999997</v>
      </c>
      <c r="R778" t="str">
        <f>"FARMÁCIA INDIANA LJ 257 (10267)"</f>
        <v>FARMÁCIA INDIANA LJ 257 (10267)</v>
      </c>
      <c r="S778" t="s">
        <v>27</v>
      </c>
      <c r="T778">
        <v>4112</v>
      </c>
      <c r="U778">
        <v>3377</v>
      </c>
      <c r="V778" t="s">
        <v>22</v>
      </c>
    </row>
    <row r="779" spans="1:22">
      <c r="A779" t="str">
        <f t="shared" si="272"/>
        <v>21/01/2026</v>
      </c>
      <c r="B779" t="str">
        <f t="shared" si="271"/>
        <v>ENTRADA</v>
      </c>
      <c r="C779" t="str">
        <f t="shared" si="273"/>
        <v>NFSE</v>
      </c>
      <c r="D779" t="str">
        <f t="shared" si="269"/>
        <v>96</v>
      </c>
      <c r="E779" t="str">
        <f t="shared" si="274"/>
        <v>1</v>
      </c>
      <c r="F779" t="str">
        <f t="shared" si="275"/>
        <v>COM</v>
      </c>
      <c r="G779" t="str">
        <f t="shared" si="270"/>
        <v>FARMÁCIA INDIANA LJ 1 (10126)</v>
      </c>
      <c r="H779" t="s">
        <v>212</v>
      </c>
      <c r="I779" t="str">
        <f t="shared" si="276"/>
        <v>21/01/2026</v>
      </c>
      <c r="J779" t="str">
        <f t="shared" si="277"/>
        <v>13/01/2026</v>
      </c>
      <c r="K779">
        <v>46043</v>
      </c>
      <c r="N779">
        <v>303</v>
      </c>
      <c r="O779" t="s">
        <v>26</v>
      </c>
      <c r="Q779">
        <v>121.31</v>
      </c>
      <c r="R779" t="str">
        <f>"FARMÁCIA INDIANA LJ 134 (10271)"</f>
        <v>FARMÁCIA INDIANA LJ 134 (10271)</v>
      </c>
      <c r="S779" t="s">
        <v>27</v>
      </c>
      <c r="T779">
        <v>4112</v>
      </c>
      <c r="U779">
        <v>3377</v>
      </c>
      <c r="V779" t="s">
        <v>22</v>
      </c>
    </row>
    <row r="780" spans="1:22">
      <c r="A780" t="str">
        <f t="shared" si="272"/>
        <v>21/01/2026</v>
      </c>
      <c r="B780" t="str">
        <f t="shared" si="271"/>
        <v>ENTRADA</v>
      </c>
      <c r="C780" t="str">
        <f t="shared" si="273"/>
        <v>NFSE</v>
      </c>
      <c r="D780" t="str">
        <f t="shared" si="269"/>
        <v>96</v>
      </c>
      <c r="E780" t="str">
        <f t="shared" si="274"/>
        <v>1</v>
      </c>
      <c r="F780" t="str">
        <f t="shared" si="275"/>
        <v>COM</v>
      </c>
      <c r="G780" t="str">
        <f t="shared" si="270"/>
        <v>FARMÁCIA INDIANA LJ 1 (10126)</v>
      </c>
      <c r="H780" t="s">
        <v>212</v>
      </c>
      <c r="I780" t="str">
        <f t="shared" si="276"/>
        <v>21/01/2026</v>
      </c>
      <c r="J780" t="str">
        <f t="shared" si="277"/>
        <v>13/01/2026</v>
      </c>
      <c r="K780">
        <v>46043</v>
      </c>
      <c r="N780">
        <v>303</v>
      </c>
      <c r="O780" t="s">
        <v>26</v>
      </c>
      <c r="Q780">
        <v>96.5</v>
      </c>
      <c r="R780" t="str">
        <f>"FARMÁCIA INDIANA LJ 284 (10280)"</f>
        <v>FARMÁCIA INDIANA LJ 284 (10280)</v>
      </c>
      <c r="S780" t="s">
        <v>27</v>
      </c>
      <c r="T780">
        <v>4112</v>
      </c>
      <c r="U780">
        <v>3377</v>
      </c>
      <c r="V780" t="s">
        <v>22</v>
      </c>
    </row>
    <row r="781" spans="1:22">
      <c r="A781" t="str">
        <f t="shared" si="272"/>
        <v>21/01/2026</v>
      </c>
      <c r="B781" t="str">
        <f t="shared" si="271"/>
        <v>ENTRADA</v>
      </c>
      <c r="C781" t="str">
        <f t="shared" si="273"/>
        <v>NFSE</v>
      </c>
      <c r="D781" t="str">
        <f t="shared" ref="D781:D786" si="278">"32"</f>
        <v>32</v>
      </c>
      <c r="E781" t="str">
        <f t="shared" si="274"/>
        <v>1</v>
      </c>
      <c r="F781" t="str">
        <f t="shared" si="275"/>
        <v>COM</v>
      </c>
      <c r="G781" t="str">
        <f t="shared" ref="G781:G786" si="279">"PAGMENOS - LJ 608 (10135)"</f>
        <v>PAGMENOS - LJ 608 (10135)</v>
      </c>
      <c r="H781" t="str">
        <f>"Serv.Prest. 29/12/2025 a 04/01/2026 - RPS: 1961 - NFSe: 32"</f>
        <v>Serv.Prest. 29/12/2025 a 04/01/2026 - RPS: 1961 - NFSe: 32</v>
      </c>
      <c r="I781" t="str">
        <f t="shared" ref="I781:I786" si="280">("14/01/2026")</f>
        <v>14/01/2026</v>
      </c>
      <c r="J781" t="str">
        <f t="shared" ref="J781:J786" si="281">("06/01/2026")</f>
        <v>06/01/2026</v>
      </c>
      <c r="K781" t="str">
        <f>("21/01/2026")</f>
        <v>21/01/2026</v>
      </c>
      <c r="L781">
        <v>915.91</v>
      </c>
      <c r="M781">
        <v>915.91</v>
      </c>
      <c r="N781">
        <v>303</v>
      </c>
      <c r="O781" t="str">
        <f>"RECEITAS COM ENTREGAS"</f>
        <v>RECEITAS COM ENTREGAS</v>
      </c>
      <c r="P781">
        <v>915.91</v>
      </c>
      <c r="S781" t="str">
        <f>"RECEITAS COM ENTREGAS (303)"</f>
        <v>RECEITAS COM ENTREGAS (303)</v>
      </c>
      <c r="T781">
        <v>4120</v>
      </c>
      <c r="U781">
        <v>3271</v>
      </c>
      <c r="V781" t="s">
        <v>22</v>
      </c>
    </row>
    <row r="782" spans="1:22">
      <c r="A782" t="str">
        <f t="shared" si="272"/>
        <v>21/01/2026</v>
      </c>
      <c r="B782" t="str">
        <f t="shared" si="271"/>
        <v>ENTRADA</v>
      </c>
      <c r="C782" t="str">
        <f t="shared" si="273"/>
        <v>NFSE</v>
      </c>
      <c r="D782" t="str">
        <f t="shared" si="278"/>
        <v>32</v>
      </c>
      <c r="E782" t="str">
        <f t="shared" si="274"/>
        <v>1</v>
      </c>
      <c r="F782" t="str">
        <f t="shared" si="275"/>
        <v>COM</v>
      </c>
      <c r="G782" t="str">
        <f t="shared" si="279"/>
        <v>PAGMENOS - LJ 608 (10135)</v>
      </c>
      <c r="H782" t="s">
        <v>213</v>
      </c>
      <c r="I782" t="str">
        <f t="shared" si="280"/>
        <v>14/01/2026</v>
      </c>
      <c r="J782" t="str">
        <f t="shared" si="281"/>
        <v>06/01/2026</v>
      </c>
      <c r="K782">
        <v>46043</v>
      </c>
      <c r="N782">
        <v>303</v>
      </c>
      <c r="O782" t="s">
        <v>26</v>
      </c>
      <c r="Q782">
        <v>220.28</v>
      </c>
      <c r="R782" t="str">
        <f>"PAGMENOS - LJ 608 (10135)"</f>
        <v>PAGMENOS - LJ 608 (10135)</v>
      </c>
      <c r="S782" t="s">
        <v>27</v>
      </c>
      <c r="T782">
        <v>4120</v>
      </c>
      <c r="U782">
        <v>3271</v>
      </c>
      <c r="V782" t="s">
        <v>22</v>
      </c>
    </row>
    <row r="783" spans="1:22">
      <c r="A783" t="str">
        <f t="shared" si="272"/>
        <v>21/01/2026</v>
      </c>
      <c r="B783" t="str">
        <f t="shared" si="271"/>
        <v>ENTRADA</v>
      </c>
      <c r="C783" t="str">
        <f t="shared" si="273"/>
        <v>NFSE</v>
      </c>
      <c r="D783" t="str">
        <f t="shared" si="278"/>
        <v>32</v>
      </c>
      <c r="E783" t="str">
        <f t="shared" si="274"/>
        <v>1</v>
      </c>
      <c r="F783" t="str">
        <f t="shared" si="275"/>
        <v>COM</v>
      </c>
      <c r="G783" t="str">
        <f t="shared" si="279"/>
        <v>PAGMENOS - LJ 608 (10135)</v>
      </c>
      <c r="H783" t="s">
        <v>213</v>
      </c>
      <c r="I783" t="str">
        <f t="shared" si="280"/>
        <v>14/01/2026</v>
      </c>
      <c r="J783" t="str">
        <f t="shared" si="281"/>
        <v>06/01/2026</v>
      </c>
      <c r="K783">
        <v>46043</v>
      </c>
      <c r="N783">
        <v>303</v>
      </c>
      <c r="O783" t="s">
        <v>26</v>
      </c>
      <c r="Q783">
        <v>330.37</v>
      </c>
      <c r="R783" t="str">
        <f>"PAGMENOS - LJ 657 (10136)"</f>
        <v>PAGMENOS - LJ 657 (10136)</v>
      </c>
      <c r="S783" t="s">
        <v>27</v>
      </c>
      <c r="T783">
        <v>4120</v>
      </c>
      <c r="U783">
        <v>3271</v>
      </c>
      <c r="V783" t="s">
        <v>22</v>
      </c>
    </row>
    <row r="784" spans="1:22">
      <c r="A784" t="str">
        <f t="shared" si="272"/>
        <v>21/01/2026</v>
      </c>
      <c r="B784" t="str">
        <f t="shared" si="271"/>
        <v>ENTRADA</v>
      </c>
      <c r="C784" t="str">
        <f t="shared" si="273"/>
        <v>NFSE</v>
      </c>
      <c r="D784" t="str">
        <f t="shared" si="278"/>
        <v>32</v>
      </c>
      <c r="E784" t="str">
        <f t="shared" si="274"/>
        <v>1</v>
      </c>
      <c r="F784" t="str">
        <f t="shared" si="275"/>
        <v>COM</v>
      </c>
      <c r="G784" t="str">
        <f t="shared" si="279"/>
        <v>PAGMENOS - LJ 608 (10135)</v>
      </c>
      <c r="H784" t="s">
        <v>213</v>
      </c>
      <c r="I784" t="str">
        <f t="shared" si="280"/>
        <v>14/01/2026</v>
      </c>
      <c r="J784" t="str">
        <f t="shared" si="281"/>
        <v>06/01/2026</v>
      </c>
      <c r="K784">
        <v>46043</v>
      </c>
      <c r="N784">
        <v>303</v>
      </c>
      <c r="O784" t="s">
        <v>26</v>
      </c>
      <c r="Q784">
        <v>31.87</v>
      </c>
      <c r="R784" t="str">
        <f>"PAGMENOS - LJ 326 (10264)"</f>
        <v>PAGMENOS - LJ 326 (10264)</v>
      </c>
      <c r="S784" t="s">
        <v>27</v>
      </c>
      <c r="T784">
        <v>4120</v>
      </c>
      <c r="U784">
        <v>3271</v>
      </c>
      <c r="V784" t="s">
        <v>22</v>
      </c>
    </row>
    <row r="785" spans="1:22">
      <c r="A785" t="str">
        <f t="shared" si="272"/>
        <v>21/01/2026</v>
      </c>
      <c r="B785" t="str">
        <f t="shared" si="271"/>
        <v>ENTRADA</v>
      </c>
      <c r="C785" t="str">
        <f t="shared" si="273"/>
        <v>NFSE</v>
      </c>
      <c r="D785" t="str">
        <f t="shared" si="278"/>
        <v>32</v>
      </c>
      <c r="E785" t="str">
        <f t="shared" si="274"/>
        <v>1</v>
      </c>
      <c r="F785" t="str">
        <f t="shared" si="275"/>
        <v>COM</v>
      </c>
      <c r="G785" t="str">
        <f t="shared" si="279"/>
        <v>PAGMENOS - LJ 608 (10135)</v>
      </c>
      <c r="H785" t="s">
        <v>213</v>
      </c>
      <c r="I785" t="str">
        <f t="shared" si="280"/>
        <v>14/01/2026</v>
      </c>
      <c r="J785" t="str">
        <f t="shared" si="281"/>
        <v>06/01/2026</v>
      </c>
      <c r="K785">
        <v>46043</v>
      </c>
      <c r="N785">
        <v>303</v>
      </c>
      <c r="O785" t="s">
        <v>26</v>
      </c>
      <c r="Q785">
        <v>138.21</v>
      </c>
      <c r="R785" t="str">
        <f>"PAGMENOS - LJ 431 (10265)"</f>
        <v>PAGMENOS - LJ 431 (10265)</v>
      </c>
      <c r="S785" t="s">
        <v>27</v>
      </c>
      <c r="T785">
        <v>4120</v>
      </c>
      <c r="U785">
        <v>3271</v>
      </c>
      <c r="V785" t="s">
        <v>22</v>
      </c>
    </row>
    <row r="786" spans="1:22">
      <c r="A786" t="str">
        <f t="shared" si="272"/>
        <v>21/01/2026</v>
      </c>
      <c r="B786" t="str">
        <f t="shared" si="271"/>
        <v>ENTRADA</v>
      </c>
      <c r="C786" t="str">
        <f t="shared" si="273"/>
        <v>NFSE</v>
      </c>
      <c r="D786" t="str">
        <f t="shared" si="278"/>
        <v>32</v>
      </c>
      <c r="E786" t="str">
        <f t="shared" si="274"/>
        <v>1</v>
      </c>
      <c r="F786" t="str">
        <f t="shared" si="275"/>
        <v>COM</v>
      </c>
      <c r="G786" t="str">
        <f t="shared" si="279"/>
        <v>PAGMENOS - LJ 608 (10135)</v>
      </c>
      <c r="H786" t="s">
        <v>213</v>
      </c>
      <c r="I786" t="str">
        <f t="shared" si="280"/>
        <v>14/01/2026</v>
      </c>
      <c r="J786" t="str">
        <f t="shared" si="281"/>
        <v>06/01/2026</v>
      </c>
      <c r="K786">
        <v>46043</v>
      </c>
      <c r="N786">
        <v>303</v>
      </c>
      <c r="O786" t="s">
        <v>26</v>
      </c>
      <c r="Q786">
        <v>195.18</v>
      </c>
      <c r="R786" t="str">
        <f>"PAGMENOS - LJ 768 (10266)"</f>
        <v>PAGMENOS - LJ 768 (10266)</v>
      </c>
      <c r="S786" t="s">
        <v>27</v>
      </c>
      <c r="T786">
        <v>4120</v>
      </c>
      <c r="U786">
        <v>3271</v>
      </c>
      <c r="V786" t="s">
        <v>22</v>
      </c>
    </row>
    <row r="787" spans="1:22">
      <c r="A787" t="str">
        <f t="shared" si="272"/>
        <v>21/01/2026</v>
      </c>
      <c r="B787" t="str">
        <f>"SAÍDA"</f>
        <v>SAÍDA</v>
      </c>
      <c r="C787" t="str">
        <f>"JUROS"</f>
        <v>JUROS</v>
      </c>
      <c r="D787" t="str">
        <f>""</f>
        <v/>
      </c>
      <c r="F787" t="str">
        <f>"CXA"</f>
        <v>CXA</v>
      </c>
      <c r="G787" t="str">
        <f>""</f>
        <v/>
      </c>
      <c r="H787" t="str">
        <f>"TARIFA SERV.COBR.TITULOS"</f>
        <v>TARIFA SERV.COBR.TITULOS</v>
      </c>
      <c r="I787" t="str">
        <f>("21/01/2026")</f>
        <v>21/01/2026</v>
      </c>
      <c r="J787" t="str">
        <f>("21/01/2026")</f>
        <v>21/01/2026</v>
      </c>
      <c r="K787" t="str">
        <f>("21/01/2026")</f>
        <v>21/01/2026</v>
      </c>
      <c r="L787">
        <v>2.78</v>
      </c>
      <c r="M787">
        <v>2.78</v>
      </c>
      <c r="N787">
        <v>401</v>
      </c>
      <c r="O787" t="str">
        <f>"IOF/JUROS/DESP.FINANCEIRA"</f>
        <v>IOF/JUROS/DESP.FINANCEIRA</v>
      </c>
      <c r="P787">
        <v>2.78</v>
      </c>
      <c r="S787" t="str">
        <f>"BANCO SICREDI (131)"</f>
        <v>BANCO SICREDI (131)</v>
      </c>
      <c r="T787">
        <v>4140</v>
      </c>
      <c r="U787">
        <v>0</v>
      </c>
      <c r="V787" t="s">
        <v>54</v>
      </c>
    </row>
    <row r="788" spans="1:22">
      <c r="A788" t="str">
        <f t="shared" si="272"/>
        <v>21/01/2026</v>
      </c>
      <c r="B788" t="str">
        <f t="shared" ref="B788:B793" si="282">"ENTRADA"</f>
        <v>ENTRADA</v>
      </c>
      <c r="C788" t="str">
        <f t="shared" ref="C788:C793" si="283">"NFSE"</f>
        <v>NFSE</v>
      </c>
      <c r="D788" t="str">
        <f>"124"</f>
        <v>124</v>
      </c>
      <c r="E788" t="str">
        <f t="shared" ref="E788:E793" si="284">"1"</f>
        <v>1</v>
      </c>
      <c r="F788" t="str">
        <f t="shared" ref="F788:F819" si="285">"COM"</f>
        <v>COM</v>
      </c>
      <c r="G788" t="str">
        <f>"DROGARIA ISABELLA (10276)"</f>
        <v>DROGARIA ISABELLA (10276)</v>
      </c>
      <c r="H788" t="str">
        <f>"Serv.Prest. 12/01/2026 a 18/01/2026 - RPS: 2050 - NFSe: 124"</f>
        <v>Serv.Prest. 12/01/2026 a 18/01/2026 - RPS: 2050 - NFSe: 124</v>
      </c>
      <c r="I788" t="str">
        <f t="shared" ref="I788:I793" si="286">("21/01/2026")</f>
        <v>21/01/2026</v>
      </c>
      <c r="J788" t="str">
        <f>("19/01/2026")</f>
        <v>19/01/2026</v>
      </c>
      <c r="K788" t="str">
        <f>("21/01/2026")</f>
        <v>21/01/2026</v>
      </c>
      <c r="L788">
        <v>290.7</v>
      </c>
      <c r="M788">
        <v>290.7</v>
      </c>
      <c r="N788">
        <v>303</v>
      </c>
      <c r="O788" t="str">
        <f>"RECEITAS COM ENTREGAS"</f>
        <v>RECEITAS COM ENTREGAS</v>
      </c>
      <c r="P788">
        <v>290.7</v>
      </c>
      <c r="S788" t="str">
        <f>"RECEITAS COM ENTREGAS (303)"</f>
        <v>RECEITAS COM ENTREGAS (303)</v>
      </c>
      <c r="T788">
        <v>4220</v>
      </c>
      <c r="U788">
        <v>3490</v>
      </c>
      <c r="V788" t="s">
        <v>88</v>
      </c>
    </row>
    <row r="789" spans="1:22">
      <c r="A789" t="str">
        <f t="shared" si="272"/>
        <v>21/01/2026</v>
      </c>
      <c r="B789" t="str">
        <f t="shared" si="282"/>
        <v>ENTRADA</v>
      </c>
      <c r="C789" t="str">
        <f t="shared" si="283"/>
        <v>NFSE</v>
      </c>
      <c r="D789" t="str">
        <f>"124"</f>
        <v>124</v>
      </c>
      <c r="E789" t="str">
        <f t="shared" si="284"/>
        <v>1</v>
      </c>
      <c r="F789" t="str">
        <f t="shared" si="285"/>
        <v>COM</v>
      </c>
      <c r="G789" t="str">
        <f>"DROGARIA ISABELLA (10276)"</f>
        <v>DROGARIA ISABELLA (10276)</v>
      </c>
      <c r="H789" t="s">
        <v>214</v>
      </c>
      <c r="I789" t="str">
        <f t="shared" si="286"/>
        <v>21/01/2026</v>
      </c>
      <c r="J789" t="str">
        <f>("19/01/2026")</f>
        <v>19/01/2026</v>
      </c>
      <c r="K789">
        <v>46043</v>
      </c>
      <c r="N789">
        <v>303</v>
      </c>
      <c r="O789" t="s">
        <v>26</v>
      </c>
      <c r="Q789">
        <v>290.7</v>
      </c>
      <c r="R789" t="str">
        <f>"DROGARIA ISABELLA (10276)"</f>
        <v>DROGARIA ISABELLA (10276)</v>
      </c>
      <c r="S789" t="s">
        <v>27</v>
      </c>
      <c r="T789">
        <v>4220</v>
      </c>
      <c r="U789">
        <v>3490</v>
      </c>
      <c r="V789" t="s">
        <v>88</v>
      </c>
    </row>
    <row r="790" spans="1:22">
      <c r="A790" t="str">
        <f t="shared" si="272"/>
        <v>21/01/2026</v>
      </c>
      <c r="B790" t="str">
        <f t="shared" si="282"/>
        <v>ENTRADA</v>
      </c>
      <c r="C790" t="str">
        <f t="shared" si="283"/>
        <v>NFSE</v>
      </c>
      <c r="D790" t="str">
        <f>"127"</f>
        <v>127</v>
      </c>
      <c r="E790" t="str">
        <f t="shared" si="284"/>
        <v>1</v>
      </c>
      <c r="F790" t="str">
        <f t="shared" si="285"/>
        <v>COM</v>
      </c>
      <c r="G790" t="str">
        <f>"DROGARIA MORENO LTDA (10171)"</f>
        <v>DROGARIA MORENO LTDA (10171)</v>
      </c>
      <c r="H790" t="str">
        <f>"Serv.Prest. 12/01/2026 a 18/01/2026 - RPS: 2053 - NFSe: 127"</f>
        <v>Serv.Prest. 12/01/2026 a 18/01/2026 - RPS: 2053 - NFSe: 127</v>
      </c>
      <c r="I790" t="str">
        <f t="shared" si="286"/>
        <v>21/01/2026</v>
      </c>
      <c r="J790" t="str">
        <f>("20/01/2026")</f>
        <v>20/01/2026</v>
      </c>
      <c r="K790" t="str">
        <f>("21/01/2026")</f>
        <v>21/01/2026</v>
      </c>
      <c r="L790">
        <v>378</v>
      </c>
      <c r="M790">
        <v>378</v>
      </c>
      <c r="N790">
        <v>303</v>
      </c>
      <c r="O790" t="str">
        <f>"RECEITAS COM ENTREGAS"</f>
        <v>RECEITAS COM ENTREGAS</v>
      </c>
      <c r="P790">
        <v>378</v>
      </c>
      <c r="S790" t="str">
        <f>"RECEITAS COM ENTREGAS (303)"</f>
        <v>RECEITAS COM ENTREGAS (303)</v>
      </c>
      <c r="T790">
        <v>4221</v>
      </c>
      <c r="U790">
        <v>3493</v>
      </c>
      <c r="V790" t="s">
        <v>88</v>
      </c>
    </row>
    <row r="791" spans="1:22">
      <c r="A791" t="str">
        <f t="shared" si="272"/>
        <v>21/01/2026</v>
      </c>
      <c r="B791" t="str">
        <f t="shared" si="282"/>
        <v>ENTRADA</v>
      </c>
      <c r="C791" t="str">
        <f t="shared" si="283"/>
        <v>NFSE</v>
      </c>
      <c r="D791" t="str">
        <f>"127"</f>
        <v>127</v>
      </c>
      <c r="E791" t="str">
        <f t="shared" si="284"/>
        <v>1</v>
      </c>
      <c r="F791" t="str">
        <f t="shared" si="285"/>
        <v>COM</v>
      </c>
      <c r="G791" t="str">
        <f>"DROGARIA MORENO LTDA (10171)"</f>
        <v>DROGARIA MORENO LTDA (10171)</v>
      </c>
      <c r="H791" t="s">
        <v>215</v>
      </c>
      <c r="I791" t="str">
        <f t="shared" si="286"/>
        <v>21/01/2026</v>
      </c>
      <c r="J791" t="str">
        <f>("20/01/2026")</f>
        <v>20/01/2026</v>
      </c>
      <c r="K791">
        <v>46043</v>
      </c>
      <c r="N791">
        <v>303</v>
      </c>
      <c r="O791" t="s">
        <v>26</v>
      </c>
      <c r="Q791">
        <v>378</v>
      </c>
      <c r="R791" t="str">
        <f>"DROGARIA MORENO LTDA (10171)"</f>
        <v>DROGARIA MORENO LTDA (10171)</v>
      </c>
      <c r="S791" t="s">
        <v>27</v>
      </c>
      <c r="T791">
        <v>4221</v>
      </c>
      <c r="U791">
        <v>3493</v>
      </c>
      <c r="V791" t="s">
        <v>88</v>
      </c>
    </row>
    <row r="792" spans="1:22">
      <c r="A792" t="str">
        <f t="shared" si="272"/>
        <v>21/01/2026</v>
      </c>
      <c r="B792" t="str">
        <f t="shared" si="282"/>
        <v>ENTRADA</v>
      </c>
      <c r="C792" t="str">
        <f t="shared" si="283"/>
        <v>NFSE</v>
      </c>
      <c r="D792" t="str">
        <f>"126"</f>
        <v>126</v>
      </c>
      <c r="E792" t="str">
        <f t="shared" si="284"/>
        <v>1</v>
      </c>
      <c r="F792" t="str">
        <f t="shared" si="285"/>
        <v>COM</v>
      </c>
      <c r="G792" t="str">
        <f>"DROGARIA MEDIC CENTER LTDA (10172)"</f>
        <v>DROGARIA MEDIC CENTER LTDA (10172)</v>
      </c>
      <c r="H792" t="str">
        <f>"Serv.Prest. 12/01/2026 a 18/01/2026 - RPS: 2052 - NFSe: 126"</f>
        <v>Serv.Prest. 12/01/2026 a 18/01/2026 - RPS: 2052 - NFSe: 126</v>
      </c>
      <c r="I792" t="str">
        <f t="shared" si="286"/>
        <v>21/01/2026</v>
      </c>
      <c r="J792" t="str">
        <f>("20/01/2026")</f>
        <v>20/01/2026</v>
      </c>
      <c r="K792" t="str">
        <f>("21/01/2026")</f>
        <v>21/01/2026</v>
      </c>
      <c r="L792">
        <v>160.19999999999999</v>
      </c>
      <c r="M792">
        <v>160.19999999999999</v>
      </c>
      <c r="N792">
        <v>303</v>
      </c>
      <c r="O792" t="str">
        <f>"RECEITAS COM ENTREGAS"</f>
        <v>RECEITAS COM ENTREGAS</v>
      </c>
      <c r="P792">
        <v>160.19999999999999</v>
      </c>
      <c r="S792" t="str">
        <f>"RECEITAS COM ENTREGAS (303)"</f>
        <v>RECEITAS COM ENTREGAS (303)</v>
      </c>
      <c r="T792">
        <v>4222</v>
      </c>
      <c r="U792">
        <v>3492</v>
      </c>
      <c r="V792" t="s">
        <v>88</v>
      </c>
    </row>
    <row r="793" spans="1:22">
      <c r="A793" t="str">
        <f t="shared" si="272"/>
        <v>21/01/2026</v>
      </c>
      <c r="B793" t="str">
        <f t="shared" si="282"/>
        <v>ENTRADA</v>
      </c>
      <c r="C793" t="str">
        <f t="shared" si="283"/>
        <v>NFSE</v>
      </c>
      <c r="D793" t="str">
        <f>"126"</f>
        <v>126</v>
      </c>
      <c r="E793" t="str">
        <f t="shared" si="284"/>
        <v>1</v>
      </c>
      <c r="F793" t="str">
        <f t="shared" si="285"/>
        <v>COM</v>
      </c>
      <c r="G793" t="str">
        <f>"DROGARIA MEDIC CENTER LTDA (10172)"</f>
        <v>DROGARIA MEDIC CENTER LTDA (10172)</v>
      </c>
      <c r="H793" t="s">
        <v>216</v>
      </c>
      <c r="I793" t="str">
        <f t="shared" si="286"/>
        <v>21/01/2026</v>
      </c>
      <c r="J793" t="str">
        <f>("20/01/2026")</f>
        <v>20/01/2026</v>
      </c>
      <c r="K793">
        <v>46043</v>
      </c>
      <c r="N793">
        <v>303</v>
      </c>
      <c r="O793" t="s">
        <v>26</v>
      </c>
      <c r="Q793">
        <v>160.19999999999999</v>
      </c>
      <c r="R793" t="str">
        <f>"DROGARIA MEDIC CENTER LTDA (10172)"</f>
        <v>DROGARIA MEDIC CENTER LTDA (10172)</v>
      </c>
      <c r="S793" t="s">
        <v>27</v>
      </c>
      <c r="T793">
        <v>4222</v>
      </c>
      <c r="U793">
        <v>3492</v>
      </c>
      <c r="V793" t="s">
        <v>88</v>
      </c>
    </row>
    <row r="794" spans="1:22">
      <c r="A794" t="str">
        <f t="shared" ref="A794:A825" si="287">("22/01/2026")</f>
        <v>22/01/2026</v>
      </c>
      <c r="B794" t="str">
        <f>"SAÍDA"</f>
        <v>SAÍDA</v>
      </c>
      <c r="C794" t="str">
        <f>"PIX"</f>
        <v>PIX</v>
      </c>
      <c r="D794" t="str">
        <f>"22012026"</f>
        <v>22012026</v>
      </c>
      <c r="E794" t="str">
        <f>""</f>
        <v/>
      </c>
      <c r="F794" t="str">
        <f t="shared" si="285"/>
        <v>COM</v>
      </c>
      <c r="G794" t="str">
        <f>"LILIANE DE FATIMA REZENDE JUSTINO (20013)"</f>
        <v>LILIANE DE FATIMA REZENDE JUSTINO (20013)</v>
      </c>
      <c r="H794" t="str">
        <f>"DESPESAS COM EQUIPE DE DESENVOLVIMENTO DA FLUX FARM "</f>
        <v xml:space="preserve">DESPESAS COM EQUIPE DE DESENVOLVIMENTO DA FLUX FARM </v>
      </c>
      <c r="I794" t="str">
        <f>("22/01/2026")</f>
        <v>22/01/2026</v>
      </c>
      <c r="J794" t="str">
        <f>("22/01/2026")</f>
        <v>22/01/2026</v>
      </c>
      <c r="K794" t="str">
        <f>("22/01/2026")</f>
        <v>22/01/2026</v>
      </c>
      <c r="L794">
        <v>745.47</v>
      </c>
      <c r="M794">
        <v>745.47</v>
      </c>
      <c r="N794">
        <v>129</v>
      </c>
      <c r="O794" t="str">
        <f>"DESPESAS COM EVENTOS"</f>
        <v>DESPESAS COM EVENTOS</v>
      </c>
      <c r="P794">
        <v>745.47</v>
      </c>
      <c r="S794" t="str">
        <f>"BANCO CORA (102)"</f>
        <v>BANCO CORA (102)</v>
      </c>
      <c r="T794">
        <v>3944</v>
      </c>
      <c r="U794">
        <v>3542</v>
      </c>
      <c r="V794" t="s">
        <v>22</v>
      </c>
    </row>
    <row r="795" spans="1:22">
      <c r="A795" t="str">
        <f t="shared" si="287"/>
        <v>22/01/2026</v>
      </c>
      <c r="B795" t="str">
        <f>"SAÍDA"</f>
        <v>SAÍDA</v>
      </c>
      <c r="C795" t="str">
        <f>"PIX"</f>
        <v>PIX</v>
      </c>
      <c r="D795" t="str">
        <f>"22012026"</f>
        <v>22012026</v>
      </c>
      <c r="E795" t="str">
        <f>""</f>
        <v/>
      </c>
      <c r="F795" t="str">
        <f t="shared" si="285"/>
        <v>COM</v>
      </c>
      <c r="G795" t="str">
        <f>"LILIANE DE FATIMA REZENDE JUSTINO (20013)"</f>
        <v>LILIANE DE FATIMA REZENDE JUSTINO (20013)</v>
      </c>
      <c r="H795" t="s">
        <v>217</v>
      </c>
      <c r="I795" t="str">
        <f>("22/01/2026")</f>
        <v>22/01/2026</v>
      </c>
      <c r="J795" t="str">
        <f>("22/01/2026")</f>
        <v>22/01/2026</v>
      </c>
      <c r="K795">
        <v>46044</v>
      </c>
      <c r="N795">
        <v>129</v>
      </c>
      <c r="O795" t="s">
        <v>218</v>
      </c>
      <c r="Q795">
        <v>745.47</v>
      </c>
      <c r="R795" t="str">
        <f>"LILIANE DE FATIMA REZENDE JUSTINO (20013)"</f>
        <v>LILIANE DE FATIMA REZENDE JUSTINO (20013)</v>
      </c>
      <c r="S795" t="s">
        <v>22</v>
      </c>
      <c r="T795">
        <v>3944</v>
      </c>
      <c r="U795">
        <v>3542</v>
      </c>
      <c r="V795" t="s">
        <v>22</v>
      </c>
    </row>
    <row r="796" spans="1:22">
      <c r="A796" t="str">
        <f t="shared" si="287"/>
        <v>22/01/2026</v>
      </c>
      <c r="B796" t="str">
        <f t="shared" ref="B796:B827" si="288">"ENTRADA"</f>
        <v>ENTRADA</v>
      </c>
      <c r="C796" t="str">
        <f t="shared" ref="C796:C827" si="289">"NFSE"</f>
        <v>NFSE</v>
      </c>
      <c r="D796" t="str">
        <f>"85"</f>
        <v>85</v>
      </c>
      <c r="E796" t="str">
        <f t="shared" ref="E796:E827" si="290">"1"</f>
        <v>1</v>
      </c>
      <c r="F796" t="str">
        <f t="shared" si="285"/>
        <v>COM</v>
      </c>
      <c r="G796" t="str">
        <f>"AC FARMA - CID.ALTA (10166)"</f>
        <v>AC FARMA - CID.ALTA (10166)</v>
      </c>
      <c r="H796" t="str">
        <f>"Serv.Prest. 05/01/2026 a 11/01/2026 - RPS: 2011 - NFSe: 85"</f>
        <v>Serv.Prest. 05/01/2026 a 11/01/2026 - RPS: 2011 - NFSe: 85</v>
      </c>
      <c r="I796" t="str">
        <f t="shared" ref="I796:I827" si="291">("21/01/2026")</f>
        <v>21/01/2026</v>
      </c>
      <c r="J796" t="str">
        <f t="shared" ref="J796:J803" si="292">("13/01/2026")</f>
        <v>13/01/2026</v>
      </c>
      <c r="K796" t="str">
        <f>("22/01/2026")</f>
        <v>22/01/2026</v>
      </c>
      <c r="L796">
        <v>958.85</v>
      </c>
      <c r="M796">
        <v>958.85</v>
      </c>
      <c r="N796">
        <v>303</v>
      </c>
      <c r="O796" t="str">
        <f>"RECEITAS COM ENTREGAS"</f>
        <v>RECEITAS COM ENTREGAS</v>
      </c>
      <c r="P796">
        <v>958.85</v>
      </c>
      <c r="S796" t="str">
        <f>"RECEITAS COM ENTREGAS (303)"</f>
        <v>RECEITAS COM ENTREGAS (303)</v>
      </c>
      <c r="T796">
        <v>4020</v>
      </c>
      <c r="U796">
        <v>3366</v>
      </c>
      <c r="V796" t="s">
        <v>88</v>
      </c>
    </row>
    <row r="797" spans="1:22">
      <c r="A797" t="str">
        <f t="shared" si="287"/>
        <v>22/01/2026</v>
      </c>
      <c r="B797" t="str">
        <f t="shared" si="288"/>
        <v>ENTRADA</v>
      </c>
      <c r="C797" t="str">
        <f t="shared" si="289"/>
        <v>NFSE</v>
      </c>
      <c r="D797" t="str">
        <f>"85"</f>
        <v>85</v>
      </c>
      <c r="E797" t="str">
        <f t="shared" si="290"/>
        <v>1</v>
      </c>
      <c r="F797" t="str">
        <f t="shared" si="285"/>
        <v>COM</v>
      </c>
      <c r="G797" t="str">
        <f>"AC FARMA - CID.ALTA (10166)"</f>
        <v>AC FARMA - CID.ALTA (10166)</v>
      </c>
      <c r="H797" t="s">
        <v>219</v>
      </c>
      <c r="I797" t="str">
        <f t="shared" si="291"/>
        <v>21/01/2026</v>
      </c>
      <c r="J797" t="str">
        <f t="shared" si="292"/>
        <v>13/01/2026</v>
      </c>
      <c r="K797">
        <v>46044</v>
      </c>
      <c r="N797">
        <v>303</v>
      </c>
      <c r="O797" t="s">
        <v>26</v>
      </c>
      <c r="Q797">
        <v>958.85</v>
      </c>
      <c r="R797" t="str">
        <f>"AC FARMA - CID.ALTA (10166)"</f>
        <v>AC FARMA - CID.ALTA (10166)</v>
      </c>
      <c r="S797" t="s">
        <v>27</v>
      </c>
      <c r="T797">
        <v>4020</v>
      </c>
      <c r="U797">
        <v>3366</v>
      </c>
      <c r="V797" t="s">
        <v>88</v>
      </c>
    </row>
    <row r="798" spans="1:22">
      <c r="A798" t="str">
        <f t="shared" si="287"/>
        <v>22/01/2026</v>
      </c>
      <c r="B798" t="str">
        <f t="shared" si="288"/>
        <v>ENTRADA</v>
      </c>
      <c r="C798" t="str">
        <f t="shared" si="289"/>
        <v>NFSE</v>
      </c>
      <c r="D798" t="str">
        <f>"86"</f>
        <v>86</v>
      </c>
      <c r="E798" t="str">
        <f t="shared" si="290"/>
        <v>1</v>
      </c>
      <c r="F798" t="str">
        <f t="shared" si="285"/>
        <v>COM</v>
      </c>
      <c r="G798" t="str">
        <f>"AC FARMA - FLEMINFARMA (10160)"</f>
        <v>AC FARMA - FLEMINFARMA (10160)</v>
      </c>
      <c r="H798" t="str">
        <f>"Serv.Prest. 05/01/2026 a 11/01/2026 - RPS: 2012 - NFSe: 86"</f>
        <v>Serv.Prest. 05/01/2026 a 11/01/2026 - RPS: 2012 - NFSe: 86</v>
      </c>
      <c r="I798" t="str">
        <f t="shared" si="291"/>
        <v>21/01/2026</v>
      </c>
      <c r="J798" t="str">
        <f t="shared" si="292"/>
        <v>13/01/2026</v>
      </c>
      <c r="K798" t="str">
        <f>("22/01/2026")</f>
        <v>22/01/2026</v>
      </c>
      <c r="L798">
        <v>257.54000000000002</v>
      </c>
      <c r="M798">
        <v>257.54000000000002</v>
      </c>
      <c r="N798">
        <v>303</v>
      </c>
      <c r="O798" t="str">
        <f>"RECEITAS COM ENTREGAS"</f>
        <v>RECEITAS COM ENTREGAS</v>
      </c>
      <c r="P798">
        <v>257.54000000000002</v>
      </c>
      <c r="S798" t="str">
        <f>"RECEITAS COM ENTREGAS (303)"</f>
        <v>RECEITAS COM ENTREGAS (303)</v>
      </c>
      <c r="T798">
        <v>4021</v>
      </c>
      <c r="U798">
        <v>3367</v>
      </c>
      <c r="V798" t="s">
        <v>88</v>
      </c>
    </row>
    <row r="799" spans="1:22">
      <c r="A799" t="str">
        <f t="shared" si="287"/>
        <v>22/01/2026</v>
      </c>
      <c r="B799" t="str">
        <f t="shared" si="288"/>
        <v>ENTRADA</v>
      </c>
      <c r="C799" t="str">
        <f t="shared" si="289"/>
        <v>NFSE</v>
      </c>
      <c r="D799" t="str">
        <f>"86"</f>
        <v>86</v>
      </c>
      <c r="E799" t="str">
        <f t="shared" si="290"/>
        <v>1</v>
      </c>
      <c r="F799" t="str">
        <f t="shared" si="285"/>
        <v>COM</v>
      </c>
      <c r="G799" t="str">
        <f>"AC FARMA - FLEMINFARMA (10160)"</f>
        <v>AC FARMA - FLEMINFARMA (10160)</v>
      </c>
      <c r="H799" t="s">
        <v>220</v>
      </c>
      <c r="I799" t="str">
        <f t="shared" si="291"/>
        <v>21/01/2026</v>
      </c>
      <c r="J799" t="str">
        <f t="shared" si="292"/>
        <v>13/01/2026</v>
      </c>
      <c r="K799">
        <v>46044</v>
      </c>
      <c r="N799">
        <v>303</v>
      </c>
      <c r="O799" t="s">
        <v>26</v>
      </c>
      <c r="Q799">
        <v>253.16</v>
      </c>
      <c r="R799" t="str">
        <f>"AC FARMA -  FLEMINFARMA (10159)"</f>
        <v>AC FARMA -  FLEMINFARMA (10159)</v>
      </c>
      <c r="S799" t="s">
        <v>27</v>
      </c>
      <c r="T799">
        <v>4021</v>
      </c>
      <c r="U799">
        <v>3367</v>
      </c>
      <c r="V799" t="s">
        <v>88</v>
      </c>
    </row>
    <row r="800" spans="1:22">
      <c r="A800" t="str">
        <f t="shared" si="287"/>
        <v>22/01/2026</v>
      </c>
      <c r="B800" t="str">
        <f t="shared" si="288"/>
        <v>ENTRADA</v>
      </c>
      <c r="C800" t="str">
        <f t="shared" si="289"/>
        <v>NFSE</v>
      </c>
      <c r="D800" t="str">
        <f>"86"</f>
        <v>86</v>
      </c>
      <c r="E800" t="str">
        <f t="shared" si="290"/>
        <v>1</v>
      </c>
      <c r="F800" t="str">
        <f t="shared" si="285"/>
        <v>COM</v>
      </c>
      <c r="G800" t="str">
        <f>"AC FARMA - FLEMINFARMA (10160)"</f>
        <v>AC FARMA - FLEMINFARMA (10160)</v>
      </c>
      <c r="H800" t="s">
        <v>220</v>
      </c>
      <c r="I800" t="str">
        <f t="shared" si="291"/>
        <v>21/01/2026</v>
      </c>
      <c r="J800" t="str">
        <f t="shared" si="292"/>
        <v>13/01/2026</v>
      </c>
      <c r="K800">
        <v>46044</v>
      </c>
      <c r="N800">
        <v>303</v>
      </c>
      <c r="O800" t="s">
        <v>26</v>
      </c>
      <c r="Q800">
        <v>4.38</v>
      </c>
      <c r="R800" t="str">
        <f>"AC FARMA - FLEMINFARMA (10160)"</f>
        <v>AC FARMA - FLEMINFARMA (10160)</v>
      </c>
      <c r="S800" t="s">
        <v>27</v>
      </c>
      <c r="T800">
        <v>4021</v>
      </c>
      <c r="U800">
        <v>3367</v>
      </c>
      <c r="V800" t="s">
        <v>88</v>
      </c>
    </row>
    <row r="801" spans="1:22">
      <c r="A801" t="str">
        <f t="shared" si="287"/>
        <v>22/01/2026</v>
      </c>
      <c r="B801" t="str">
        <f t="shared" si="288"/>
        <v>ENTRADA</v>
      </c>
      <c r="C801" t="str">
        <f t="shared" si="289"/>
        <v>NFSE</v>
      </c>
      <c r="D801" t="str">
        <f>"87"</f>
        <v>87</v>
      </c>
      <c r="E801" t="str">
        <f t="shared" si="290"/>
        <v>1</v>
      </c>
      <c r="F801" t="str">
        <f t="shared" si="285"/>
        <v>COM</v>
      </c>
      <c r="G801" t="str">
        <f>"AC FARMA - FLEMINFARMA 5 (10183)"</f>
        <v>AC FARMA - FLEMINFARMA 5 (10183)</v>
      </c>
      <c r="H801" t="str">
        <f>"Serv.Prest. 05/01/2026 a 11/01/2026 - RPS: 2013 - NFSe: 87"</f>
        <v>Serv.Prest. 05/01/2026 a 11/01/2026 - RPS: 2013 - NFSe: 87</v>
      </c>
      <c r="I801" t="str">
        <f t="shared" si="291"/>
        <v>21/01/2026</v>
      </c>
      <c r="J801" t="str">
        <f t="shared" si="292"/>
        <v>13/01/2026</v>
      </c>
      <c r="K801" t="str">
        <f>("22/01/2026")</f>
        <v>22/01/2026</v>
      </c>
      <c r="L801">
        <v>90.21</v>
      </c>
      <c r="M801">
        <v>90.21</v>
      </c>
      <c r="N801">
        <v>303</v>
      </c>
      <c r="O801" t="str">
        <f>"RECEITAS COM ENTREGAS"</f>
        <v>RECEITAS COM ENTREGAS</v>
      </c>
      <c r="P801">
        <v>90.21</v>
      </c>
      <c r="S801" t="str">
        <f>"RECEITAS COM ENTREGAS (303)"</f>
        <v>RECEITAS COM ENTREGAS (303)</v>
      </c>
      <c r="T801">
        <v>4022</v>
      </c>
      <c r="U801">
        <v>3368</v>
      </c>
      <c r="V801" t="s">
        <v>88</v>
      </c>
    </row>
    <row r="802" spans="1:22">
      <c r="A802" t="str">
        <f t="shared" si="287"/>
        <v>22/01/2026</v>
      </c>
      <c r="B802" t="str">
        <f t="shared" si="288"/>
        <v>ENTRADA</v>
      </c>
      <c r="C802" t="str">
        <f t="shared" si="289"/>
        <v>NFSE</v>
      </c>
      <c r="D802" t="str">
        <f>"87"</f>
        <v>87</v>
      </c>
      <c r="E802" t="str">
        <f t="shared" si="290"/>
        <v>1</v>
      </c>
      <c r="F802" t="str">
        <f t="shared" si="285"/>
        <v>COM</v>
      </c>
      <c r="G802" t="str">
        <f>"AC FARMA - FLEMINFARMA 5 (10183)"</f>
        <v>AC FARMA - FLEMINFARMA 5 (10183)</v>
      </c>
      <c r="H802" t="s">
        <v>221</v>
      </c>
      <c r="I802" t="str">
        <f t="shared" si="291"/>
        <v>21/01/2026</v>
      </c>
      <c r="J802" t="str">
        <f t="shared" si="292"/>
        <v>13/01/2026</v>
      </c>
      <c r="K802">
        <v>46044</v>
      </c>
      <c r="N802">
        <v>303</v>
      </c>
      <c r="O802" t="s">
        <v>26</v>
      </c>
      <c r="Q802">
        <v>88.75</v>
      </c>
      <c r="R802" t="str">
        <f>"AC FARMA - FLEMINFARMA 5 (10183)"</f>
        <v>AC FARMA - FLEMINFARMA 5 (10183)</v>
      </c>
      <c r="S802" t="s">
        <v>27</v>
      </c>
      <c r="T802">
        <v>4022</v>
      </c>
      <c r="U802">
        <v>3368</v>
      </c>
      <c r="V802" t="s">
        <v>88</v>
      </c>
    </row>
    <row r="803" spans="1:22">
      <c r="A803" t="str">
        <f t="shared" si="287"/>
        <v>22/01/2026</v>
      </c>
      <c r="B803" t="str">
        <f t="shared" si="288"/>
        <v>ENTRADA</v>
      </c>
      <c r="C803" t="str">
        <f t="shared" si="289"/>
        <v>NFSE</v>
      </c>
      <c r="D803" t="str">
        <f>"87"</f>
        <v>87</v>
      </c>
      <c r="E803" t="str">
        <f t="shared" si="290"/>
        <v>1</v>
      </c>
      <c r="F803" t="str">
        <f t="shared" si="285"/>
        <v>COM</v>
      </c>
      <c r="G803" t="str">
        <f>"AC FARMA - FLEMINFARMA 5 (10183)"</f>
        <v>AC FARMA - FLEMINFARMA 5 (10183)</v>
      </c>
      <c r="H803" t="s">
        <v>221</v>
      </c>
      <c r="I803" t="str">
        <f t="shared" si="291"/>
        <v>21/01/2026</v>
      </c>
      <c r="J803" t="str">
        <f t="shared" si="292"/>
        <v>13/01/2026</v>
      </c>
      <c r="K803">
        <v>46044</v>
      </c>
      <c r="N803">
        <v>303</v>
      </c>
      <c r="O803" t="s">
        <v>26</v>
      </c>
      <c r="Q803">
        <v>1.46</v>
      </c>
      <c r="R803" t="str">
        <f>"AC FARMA - FLEMINFARMA 6 (10184)"</f>
        <v>AC FARMA - FLEMINFARMA 6 (10184)</v>
      </c>
      <c r="S803" t="s">
        <v>27</v>
      </c>
      <c r="T803">
        <v>4022</v>
      </c>
      <c r="U803">
        <v>3368</v>
      </c>
      <c r="V803" t="s">
        <v>88</v>
      </c>
    </row>
    <row r="804" spans="1:22">
      <c r="A804" t="str">
        <f t="shared" si="287"/>
        <v>22/01/2026</v>
      </c>
      <c r="B804" t="str">
        <f t="shared" si="288"/>
        <v>ENTRADA</v>
      </c>
      <c r="C804" t="str">
        <f t="shared" si="289"/>
        <v>NFSE</v>
      </c>
      <c r="D804" t="str">
        <f>"101"</f>
        <v>101</v>
      </c>
      <c r="E804" t="str">
        <f t="shared" si="290"/>
        <v>1</v>
      </c>
      <c r="F804" t="str">
        <f t="shared" si="285"/>
        <v>COM</v>
      </c>
      <c r="G804" t="str">
        <f>"PENSE FARMA 31 (10205)"</f>
        <v>PENSE FARMA 31 (10205)</v>
      </c>
      <c r="H804" t="str">
        <f>"Serv.Prest. 12/01/2026 a 18/01/2026 - RPS: 2027 - NFSe: 101"</f>
        <v>Serv.Prest. 12/01/2026 a 18/01/2026 - RPS: 2027 - NFSe: 101</v>
      </c>
      <c r="I804" t="str">
        <f t="shared" si="291"/>
        <v>21/01/2026</v>
      </c>
      <c r="J804" t="str">
        <f t="shared" ref="J804:J835" si="293">("19/01/2026")</f>
        <v>19/01/2026</v>
      </c>
      <c r="K804" t="str">
        <f>("22/01/2026")</f>
        <v>22/01/2026</v>
      </c>
      <c r="L804">
        <v>540.16999999999996</v>
      </c>
      <c r="M804">
        <v>540.16999999999996</v>
      </c>
      <c r="N804">
        <v>303</v>
      </c>
      <c r="O804" t="str">
        <f>"RECEITAS COM ENTREGAS"</f>
        <v>RECEITAS COM ENTREGAS</v>
      </c>
      <c r="P804">
        <v>540.16999999999996</v>
      </c>
      <c r="S804" t="str">
        <f>"RECEITAS COM ENTREGAS (303)"</f>
        <v>RECEITAS COM ENTREGAS (303)</v>
      </c>
      <c r="T804">
        <v>4023</v>
      </c>
      <c r="U804">
        <v>3467</v>
      </c>
      <c r="V804" t="s">
        <v>88</v>
      </c>
    </row>
    <row r="805" spans="1:22">
      <c r="A805" t="str">
        <f t="shared" si="287"/>
        <v>22/01/2026</v>
      </c>
      <c r="B805" t="str">
        <f t="shared" si="288"/>
        <v>ENTRADA</v>
      </c>
      <c r="C805" t="str">
        <f t="shared" si="289"/>
        <v>NFSE</v>
      </c>
      <c r="D805" t="str">
        <f>"101"</f>
        <v>101</v>
      </c>
      <c r="E805" t="str">
        <f t="shared" si="290"/>
        <v>1</v>
      </c>
      <c r="F805" t="str">
        <f t="shared" si="285"/>
        <v>COM</v>
      </c>
      <c r="G805" t="str">
        <f>"PENSE FARMA 31 (10205)"</f>
        <v>PENSE FARMA 31 (10205)</v>
      </c>
      <c r="H805" t="s">
        <v>222</v>
      </c>
      <c r="I805" t="str">
        <f t="shared" si="291"/>
        <v>21/01/2026</v>
      </c>
      <c r="J805" t="str">
        <f t="shared" si="293"/>
        <v>19/01/2026</v>
      </c>
      <c r="K805">
        <v>46044</v>
      </c>
      <c r="N805">
        <v>303</v>
      </c>
      <c r="O805" t="s">
        <v>26</v>
      </c>
      <c r="Q805">
        <v>134.94</v>
      </c>
      <c r="R805" t="str">
        <f>"PENSE FARMA 31 (10205)"</f>
        <v>PENSE FARMA 31 (10205)</v>
      </c>
      <c r="S805" t="s">
        <v>27</v>
      </c>
      <c r="T805">
        <v>4023</v>
      </c>
      <c r="U805">
        <v>3467</v>
      </c>
      <c r="V805" t="s">
        <v>88</v>
      </c>
    </row>
    <row r="806" spans="1:22">
      <c r="A806" t="str">
        <f t="shared" si="287"/>
        <v>22/01/2026</v>
      </c>
      <c r="B806" t="str">
        <f t="shared" si="288"/>
        <v>ENTRADA</v>
      </c>
      <c r="C806" t="str">
        <f t="shared" si="289"/>
        <v>NFSE</v>
      </c>
      <c r="D806" t="str">
        <f>"101"</f>
        <v>101</v>
      </c>
      <c r="E806" t="str">
        <f t="shared" si="290"/>
        <v>1</v>
      </c>
      <c r="F806" t="str">
        <f t="shared" si="285"/>
        <v>COM</v>
      </c>
      <c r="G806" t="str">
        <f>"PENSE FARMA 31 (10205)"</f>
        <v>PENSE FARMA 31 (10205)</v>
      </c>
      <c r="H806" t="s">
        <v>222</v>
      </c>
      <c r="I806" t="str">
        <f t="shared" si="291"/>
        <v>21/01/2026</v>
      </c>
      <c r="J806" t="str">
        <f t="shared" si="293"/>
        <v>19/01/2026</v>
      </c>
      <c r="K806">
        <v>46044</v>
      </c>
      <c r="N806">
        <v>303</v>
      </c>
      <c r="O806" t="s">
        <v>26</v>
      </c>
      <c r="Q806">
        <v>134.93</v>
      </c>
      <c r="R806" t="str">
        <f>"PENSE FARMA 16 (10221)"</f>
        <v>PENSE FARMA 16 (10221)</v>
      </c>
      <c r="S806" t="s">
        <v>27</v>
      </c>
      <c r="T806">
        <v>4023</v>
      </c>
      <c r="U806">
        <v>3467</v>
      </c>
      <c r="V806" t="s">
        <v>88</v>
      </c>
    </row>
    <row r="807" spans="1:22">
      <c r="A807" t="str">
        <f t="shared" si="287"/>
        <v>22/01/2026</v>
      </c>
      <c r="B807" t="str">
        <f t="shared" si="288"/>
        <v>ENTRADA</v>
      </c>
      <c r="C807" t="str">
        <f t="shared" si="289"/>
        <v>NFSE</v>
      </c>
      <c r="D807" t="str">
        <f>"101"</f>
        <v>101</v>
      </c>
      <c r="E807" t="str">
        <f t="shared" si="290"/>
        <v>1</v>
      </c>
      <c r="F807" t="str">
        <f t="shared" si="285"/>
        <v>COM</v>
      </c>
      <c r="G807" t="str">
        <f>"PENSE FARMA 31 (10205)"</f>
        <v>PENSE FARMA 31 (10205)</v>
      </c>
      <c r="H807" t="s">
        <v>222</v>
      </c>
      <c r="I807" t="str">
        <f t="shared" si="291"/>
        <v>21/01/2026</v>
      </c>
      <c r="J807" t="str">
        <f t="shared" si="293"/>
        <v>19/01/2026</v>
      </c>
      <c r="K807">
        <v>46044</v>
      </c>
      <c r="N807">
        <v>303</v>
      </c>
      <c r="O807" t="s">
        <v>26</v>
      </c>
      <c r="Q807">
        <v>134.93</v>
      </c>
      <c r="R807" t="str">
        <f>"PENSE FARMA 17 (10222)"</f>
        <v>PENSE FARMA 17 (10222)</v>
      </c>
      <c r="S807" t="s">
        <v>27</v>
      </c>
      <c r="T807">
        <v>4023</v>
      </c>
      <c r="U807">
        <v>3467</v>
      </c>
      <c r="V807" t="s">
        <v>88</v>
      </c>
    </row>
    <row r="808" spans="1:22">
      <c r="A808" t="str">
        <f t="shared" si="287"/>
        <v>22/01/2026</v>
      </c>
      <c r="B808" t="str">
        <f t="shared" si="288"/>
        <v>ENTRADA</v>
      </c>
      <c r="C808" t="str">
        <f t="shared" si="289"/>
        <v>NFSE</v>
      </c>
      <c r="D808" t="str">
        <f>"101"</f>
        <v>101</v>
      </c>
      <c r="E808" t="str">
        <f t="shared" si="290"/>
        <v>1</v>
      </c>
      <c r="F808" t="str">
        <f t="shared" si="285"/>
        <v>COM</v>
      </c>
      <c r="G808" t="str">
        <f>"PENSE FARMA 31 (10205)"</f>
        <v>PENSE FARMA 31 (10205)</v>
      </c>
      <c r="H808" t="s">
        <v>222</v>
      </c>
      <c r="I808" t="str">
        <f t="shared" si="291"/>
        <v>21/01/2026</v>
      </c>
      <c r="J808" t="str">
        <f t="shared" si="293"/>
        <v>19/01/2026</v>
      </c>
      <c r="K808">
        <v>46044</v>
      </c>
      <c r="N808">
        <v>303</v>
      </c>
      <c r="O808" t="s">
        <v>26</v>
      </c>
      <c r="Q808">
        <v>135.37</v>
      </c>
      <c r="R808" t="str">
        <f>"PENSE FARMA 62 (10274)"</f>
        <v>PENSE FARMA 62 (10274)</v>
      </c>
      <c r="S808" t="s">
        <v>27</v>
      </c>
      <c r="T808">
        <v>4023</v>
      </c>
      <c r="U808">
        <v>3467</v>
      </c>
      <c r="V808" t="s">
        <v>88</v>
      </c>
    </row>
    <row r="809" spans="1:22">
      <c r="A809" t="str">
        <f t="shared" si="287"/>
        <v>22/01/2026</v>
      </c>
      <c r="B809" t="str">
        <f t="shared" si="288"/>
        <v>ENTRADA</v>
      </c>
      <c r="C809" t="str">
        <f t="shared" si="289"/>
        <v>NFSE</v>
      </c>
      <c r="D809" t="str">
        <f>"102"</f>
        <v>102</v>
      </c>
      <c r="E809" t="str">
        <f t="shared" si="290"/>
        <v>1</v>
      </c>
      <c r="F809" t="str">
        <f t="shared" si="285"/>
        <v>COM</v>
      </c>
      <c r="G809" t="str">
        <f>"PENSE FARMA 44 (10231)"</f>
        <v>PENSE FARMA 44 (10231)</v>
      </c>
      <c r="H809" t="str">
        <f>"Serv.Prest. 12/01/2026 a 18/01/2026 - RPS: 2028 - NFSe: 102"</f>
        <v>Serv.Prest. 12/01/2026 a 18/01/2026 - RPS: 2028 - NFSe: 102</v>
      </c>
      <c r="I809" t="str">
        <f t="shared" si="291"/>
        <v>21/01/2026</v>
      </c>
      <c r="J809" t="str">
        <f t="shared" si="293"/>
        <v>19/01/2026</v>
      </c>
      <c r="K809" t="str">
        <f>("22/01/2026")</f>
        <v>22/01/2026</v>
      </c>
      <c r="L809">
        <v>630.80999999999995</v>
      </c>
      <c r="M809">
        <v>630.80999999999995</v>
      </c>
      <c r="N809">
        <v>303</v>
      </c>
      <c r="O809" t="str">
        <f>"RECEITAS COM ENTREGAS"</f>
        <v>RECEITAS COM ENTREGAS</v>
      </c>
      <c r="P809">
        <v>630.80999999999995</v>
      </c>
      <c r="S809" t="str">
        <f>"RECEITAS COM ENTREGAS (303)"</f>
        <v>RECEITAS COM ENTREGAS (303)</v>
      </c>
      <c r="T809">
        <v>4024</v>
      </c>
      <c r="U809">
        <v>3468</v>
      </c>
      <c r="V809" t="s">
        <v>88</v>
      </c>
    </row>
    <row r="810" spans="1:22">
      <c r="A810" t="str">
        <f t="shared" si="287"/>
        <v>22/01/2026</v>
      </c>
      <c r="B810" t="str">
        <f t="shared" si="288"/>
        <v>ENTRADA</v>
      </c>
      <c r="C810" t="str">
        <f t="shared" si="289"/>
        <v>NFSE</v>
      </c>
      <c r="D810" t="str">
        <f>"102"</f>
        <v>102</v>
      </c>
      <c r="E810" t="str">
        <f t="shared" si="290"/>
        <v>1</v>
      </c>
      <c r="F810" t="str">
        <f t="shared" si="285"/>
        <v>COM</v>
      </c>
      <c r="G810" t="str">
        <f>"PENSE FARMA 44 (10231)"</f>
        <v>PENSE FARMA 44 (10231)</v>
      </c>
      <c r="H810" t="s">
        <v>223</v>
      </c>
      <c r="I810" t="str">
        <f t="shared" si="291"/>
        <v>21/01/2026</v>
      </c>
      <c r="J810" t="str">
        <f t="shared" si="293"/>
        <v>19/01/2026</v>
      </c>
      <c r="K810">
        <v>46044</v>
      </c>
      <c r="N810">
        <v>303</v>
      </c>
      <c r="O810" t="s">
        <v>26</v>
      </c>
      <c r="Q810">
        <v>314.89999999999998</v>
      </c>
      <c r="R810" t="str">
        <f>"PENSE FARMA 44 (10231)"</f>
        <v>PENSE FARMA 44 (10231)</v>
      </c>
      <c r="S810" t="s">
        <v>27</v>
      </c>
      <c r="T810">
        <v>4024</v>
      </c>
      <c r="U810">
        <v>3468</v>
      </c>
      <c r="V810" t="s">
        <v>88</v>
      </c>
    </row>
    <row r="811" spans="1:22">
      <c r="A811" t="str">
        <f t="shared" si="287"/>
        <v>22/01/2026</v>
      </c>
      <c r="B811" t="str">
        <f t="shared" si="288"/>
        <v>ENTRADA</v>
      </c>
      <c r="C811" t="str">
        <f t="shared" si="289"/>
        <v>NFSE</v>
      </c>
      <c r="D811" t="str">
        <f>"102"</f>
        <v>102</v>
      </c>
      <c r="E811" t="str">
        <f t="shared" si="290"/>
        <v>1</v>
      </c>
      <c r="F811" t="str">
        <f t="shared" si="285"/>
        <v>COM</v>
      </c>
      <c r="G811" t="str">
        <f>"PENSE FARMA 44 (10231)"</f>
        <v>PENSE FARMA 44 (10231)</v>
      </c>
      <c r="H811" t="s">
        <v>223</v>
      </c>
      <c r="I811" t="str">
        <f t="shared" si="291"/>
        <v>21/01/2026</v>
      </c>
      <c r="J811" t="str">
        <f t="shared" si="293"/>
        <v>19/01/2026</v>
      </c>
      <c r="K811">
        <v>46044</v>
      </c>
      <c r="N811">
        <v>303</v>
      </c>
      <c r="O811" t="s">
        <v>26</v>
      </c>
      <c r="Q811">
        <v>315.91000000000003</v>
      </c>
      <c r="R811" t="str">
        <f>"PENSE FARMA 48 (10233)"</f>
        <v>PENSE FARMA 48 (10233)</v>
      </c>
      <c r="S811" t="s">
        <v>27</v>
      </c>
      <c r="T811">
        <v>4024</v>
      </c>
      <c r="U811">
        <v>3468</v>
      </c>
      <c r="V811" t="s">
        <v>88</v>
      </c>
    </row>
    <row r="812" spans="1:22">
      <c r="A812" t="str">
        <f t="shared" si="287"/>
        <v>22/01/2026</v>
      </c>
      <c r="B812" t="str">
        <f t="shared" si="288"/>
        <v>ENTRADA</v>
      </c>
      <c r="C812" t="str">
        <f t="shared" si="289"/>
        <v>NFSE</v>
      </c>
      <c r="D812" t="str">
        <f>"103"</f>
        <v>103</v>
      </c>
      <c r="E812" t="str">
        <f t="shared" si="290"/>
        <v>1</v>
      </c>
      <c r="F812" t="str">
        <f t="shared" si="285"/>
        <v>COM</v>
      </c>
      <c r="G812" t="str">
        <f>"PENSE FARMA 19 (10223)"</f>
        <v>PENSE FARMA 19 (10223)</v>
      </c>
      <c r="H812" t="str">
        <f>"Serv.Prest. 12/01/2026 a 18/01/2026 - RPS: 2029 - NFSe: 103"</f>
        <v>Serv.Prest. 12/01/2026 a 18/01/2026 - RPS: 2029 - NFSe: 103</v>
      </c>
      <c r="I812" t="str">
        <f t="shared" si="291"/>
        <v>21/01/2026</v>
      </c>
      <c r="J812" t="str">
        <f t="shared" si="293"/>
        <v>19/01/2026</v>
      </c>
      <c r="K812" t="str">
        <f>("22/01/2026")</f>
        <v>22/01/2026</v>
      </c>
      <c r="L812">
        <v>507.65</v>
      </c>
      <c r="M812">
        <v>507.65</v>
      </c>
      <c r="N812">
        <v>303</v>
      </c>
      <c r="O812" t="str">
        <f>"RECEITAS COM ENTREGAS"</f>
        <v>RECEITAS COM ENTREGAS</v>
      </c>
      <c r="P812">
        <v>507.65</v>
      </c>
      <c r="S812" t="str">
        <f>"RECEITAS COM ENTREGAS (303)"</f>
        <v>RECEITAS COM ENTREGAS (303)</v>
      </c>
      <c r="T812">
        <v>4025</v>
      </c>
      <c r="U812">
        <v>3469</v>
      </c>
      <c r="V812" t="s">
        <v>88</v>
      </c>
    </row>
    <row r="813" spans="1:22">
      <c r="A813" t="str">
        <f t="shared" si="287"/>
        <v>22/01/2026</v>
      </c>
      <c r="B813" t="str">
        <f t="shared" si="288"/>
        <v>ENTRADA</v>
      </c>
      <c r="C813" t="str">
        <f t="shared" si="289"/>
        <v>NFSE</v>
      </c>
      <c r="D813" t="str">
        <f>"103"</f>
        <v>103</v>
      </c>
      <c r="E813" t="str">
        <f t="shared" si="290"/>
        <v>1</v>
      </c>
      <c r="F813" t="str">
        <f t="shared" si="285"/>
        <v>COM</v>
      </c>
      <c r="G813" t="str">
        <f>"PENSE FARMA 19 (10223)"</f>
        <v>PENSE FARMA 19 (10223)</v>
      </c>
      <c r="H813" t="s">
        <v>224</v>
      </c>
      <c r="I813" t="str">
        <f t="shared" si="291"/>
        <v>21/01/2026</v>
      </c>
      <c r="J813" t="str">
        <f t="shared" si="293"/>
        <v>19/01/2026</v>
      </c>
      <c r="K813">
        <v>46044</v>
      </c>
      <c r="N813">
        <v>303</v>
      </c>
      <c r="O813" t="s">
        <v>26</v>
      </c>
      <c r="Q813">
        <v>507.65</v>
      </c>
      <c r="R813" t="str">
        <f>"PENSE FARMA 19 (10223)"</f>
        <v>PENSE FARMA 19 (10223)</v>
      </c>
      <c r="S813" t="s">
        <v>27</v>
      </c>
      <c r="T813">
        <v>4025</v>
      </c>
      <c r="U813">
        <v>3469</v>
      </c>
      <c r="V813" t="s">
        <v>88</v>
      </c>
    </row>
    <row r="814" spans="1:22">
      <c r="A814" t="str">
        <f t="shared" si="287"/>
        <v>22/01/2026</v>
      </c>
      <c r="B814" t="str">
        <f t="shared" si="288"/>
        <v>ENTRADA</v>
      </c>
      <c r="C814" t="str">
        <f t="shared" si="289"/>
        <v>NFSE</v>
      </c>
      <c r="D814" t="str">
        <f>"104"</f>
        <v>104</v>
      </c>
      <c r="E814" t="str">
        <f t="shared" si="290"/>
        <v>1</v>
      </c>
      <c r="F814" t="str">
        <f t="shared" si="285"/>
        <v>COM</v>
      </c>
      <c r="G814" t="str">
        <f>"PENSE FARMA 49 (10234)"</f>
        <v>PENSE FARMA 49 (10234)</v>
      </c>
      <c r="H814" t="str">
        <f>"Serv.Prest. 12/01/2026 a 18/01/2026 - RPS: 2030 - NFSe: 104"</f>
        <v>Serv.Prest. 12/01/2026 a 18/01/2026 - RPS: 2030 - NFSe: 104</v>
      </c>
      <c r="I814" t="str">
        <f t="shared" si="291"/>
        <v>21/01/2026</v>
      </c>
      <c r="J814" t="str">
        <f t="shared" si="293"/>
        <v>19/01/2026</v>
      </c>
      <c r="K814" t="str">
        <f>("22/01/2026")</f>
        <v>22/01/2026</v>
      </c>
      <c r="L814">
        <v>213.43</v>
      </c>
      <c r="M814">
        <v>213.43</v>
      </c>
      <c r="N814">
        <v>303</v>
      </c>
      <c r="O814" t="str">
        <f>"RECEITAS COM ENTREGAS"</f>
        <v>RECEITAS COM ENTREGAS</v>
      </c>
      <c r="P814">
        <v>213.43</v>
      </c>
      <c r="S814" t="str">
        <f>"RECEITAS COM ENTREGAS (303)"</f>
        <v>RECEITAS COM ENTREGAS (303)</v>
      </c>
      <c r="T814">
        <v>4026</v>
      </c>
      <c r="U814">
        <v>3470</v>
      </c>
      <c r="V814" t="s">
        <v>88</v>
      </c>
    </row>
    <row r="815" spans="1:22">
      <c r="A815" t="str">
        <f t="shared" si="287"/>
        <v>22/01/2026</v>
      </c>
      <c r="B815" t="str">
        <f t="shared" si="288"/>
        <v>ENTRADA</v>
      </c>
      <c r="C815" t="str">
        <f t="shared" si="289"/>
        <v>NFSE</v>
      </c>
      <c r="D815" t="str">
        <f>"104"</f>
        <v>104</v>
      </c>
      <c r="E815" t="str">
        <f t="shared" si="290"/>
        <v>1</v>
      </c>
      <c r="F815" t="str">
        <f t="shared" si="285"/>
        <v>COM</v>
      </c>
      <c r="G815" t="str">
        <f>"PENSE FARMA 49 (10234)"</f>
        <v>PENSE FARMA 49 (10234)</v>
      </c>
      <c r="H815" t="s">
        <v>225</v>
      </c>
      <c r="I815" t="str">
        <f t="shared" si="291"/>
        <v>21/01/2026</v>
      </c>
      <c r="J815" t="str">
        <f t="shared" si="293"/>
        <v>19/01/2026</v>
      </c>
      <c r="K815">
        <v>46044</v>
      </c>
      <c r="N815">
        <v>303</v>
      </c>
      <c r="O815" t="s">
        <v>26</v>
      </c>
      <c r="Q815">
        <v>213.43</v>
      </c>
      <c r="R815" t="str">
        <f>"PENSE FARMA 49 (10234)"</f>
        <v>PENSE FARMA 49 (10234)</v>
      </c>
      <c r="S815" t="s">
        <v>27</v>
      </c>
      <c r="T815">
        <v>4026</v>
      </c>
      <c r="U815">
        <v>3470</v>
      </c>
      <c r="V815" t="s">
        <v>88</v>
      </c>
    </row>
    <row r="816" spans="1:22">
      <c r="A816" t="str">
        <f t="shared" si="287"/>
        <v>22/01/2026</v>
      </c>
      <c r="B816" t="str">
        <f t="shared" si="288"/>
        <v>ENTRADA</v>
      </c>
      <c r="C816" t="str">
        <f t="shared" si="289"/>
        <v>NFSE</v>
      </c>
      <c r="D816" t="str">
        <f>"105"</f>
        <v>105</v>
      </c>
      <c r="E816" t="str">
        <f t="shared" si="290"/>
        <v>1</v>
      </c>
      <c r="F816" t="str">
        <f t="shared" si="285"/>
        <v>COM</v>
      </c>
      <c r="G816" t="str">
        <f>"PENSE FARMA 39 (10228)"</f>
        <v>PENSE FARMA 39 (10228)</v>
      </c>
      <c r="H816" t="str">
        <f>"Serv.Prest. 12/01/2026 a 18/01/2026 - RPS: 2031 - NFSe: 105"</f>
        <v>Serv.Prest. 12/01/2026 a 18/01/2026 - RPS: 2031 - NFSe: 105</v>
      </c>
      <c r="I816" t="str">
        <f t="shared" si="291"/>
        <v>21/01/2026</v>
      </c>
      <c r="J816" t="str">
        <f t="shared" si="293"/>
        <v>19/01/2026</v>
      </c>
      <c r="K816" t="str">
        <f>("22/01/2026")</f>
        <v>22/01/2026</v>
      </c>
      <c r="L816">
        <v>599.98</v>
      </c>
      <c r="M816">
        <v>599.98</v>
      </c>
      <c r="N816">
        <v>303</v>
      </c>
      <c r="O816" t="str">
        <f>"RECEITAS COM ENTREGAS"</f>
        <v>RECEITAS COM ENTREGAS</v>
      </c>
      <c r="P816">
        <v>599.98</v>
      </c>
      <c r="S816" t="str">
        <f>"RECEITAS COM ENTREGAS (303)"</f>
        <v>RECEITAS COM ENTREGAS (303)</v>
      </c>
      <c r="T816">
        <v>4027</v>
      </c>
      <c r="U816">
        <v>3471</v>
      </c>
      <c r="V816" t="s">
        <v>88</v>
      </c>
    </row>
    <row r="817" spans="1:22">
      <c r="A817" t="str">
        <f t="shared" si="287"/>
        <v>22/01/2026</v>
      </c>
      <c r="B817" t="str">
        <f t="shared" si="288"/>
        <v>ENTRADA</v>
      </c>
      <c r="C817" t="str">
        <f t="shared" si="289"/>
        <v>NFSE</v>
      </c>
      <c r="D817" t="str">
        <f>"105"</f>
        <v>105</v>
      </c>
      <c r="E817" t="str">
        <f t="shared" si="290"/>
        <v>1</v>
      </c>
      <c r="F817" t="str">
        <f t="shared" si="285"/>
        <v>COM</v>
      </c>
      <c r="G817" t="str">
        <f>"PENSE FARMA 39 (10228)"</f>
        <v>PENSE FARMA 39 (10228)</v>
      </c>
      <c r="H817" t="s">
        <v>226</v>
      </c>
      <c r="I817" t="str">
        <f t="shared" si="291"/>
        <v>21/01/2026</v>
      </c>
      <c r="J817" t="str">
        <f t="shared" si="293"/>
        <v>19/01/2026</v>
      </c>
      <c r="K817">
        <v>46044</v>
      </c>
      <c r="N817">
        <v>303</v>
      </c>
      <c r="O817" t="s">
        <v>26</v>
      </c>
      <c r="Q817">
        <v>148.85</v>
      </c>
      <c r="R817" t="str">
        <f>"PENSE FARMA 02 (10199)"</f>
        <v>PENSE FARMA 02 (10199)</v>
      </c>
      <c r="S817" t="s">
        <v>27</v>
      </c>
      <c r="T817">
        <v>4027</v>
      </c>
      <c r="U817">
        <v>3471</v>
      </c>
      <c r="V817" t="s">
        <v>88</v>
      </c>
    </row>
    <row r="818" spans="1:22">
      <c r="A818" t="str">
        <f t="shared" si="287"/>
        <v>22/01/2026</v>
      </c>
      <c r="B818" t="str">
        <f t="shared" si="288"/>
        <v>ENTRADA</v>
      </c>
      <c r="C818" t="str">
        <f t="shared" si="289"/>
        <v>NFSE</v>
      </c>
      <c r="D818" t="str">
        <f>"105"</f>
        <v>105</v>
      </c>
      <c r="E818" t="str">
        <f t="shared" si="290"/>
        <v>1</v>
      </c>
      <c r="F818" t="str">
        <f t="shared" si="285"/>
        <v>COM</v>
      </c>
      <c r="G818" t="str">
        <f>"PENSE FARMA 39 (10228)"</f>
        <v>PENSE FARMA 39 (10228)</v>
      </c>
      <c r="H818" t="s">
        <v>226</v>
      </c>
      <c r="I818" t="str">
        <f t="shared" si="291"/>
        <v>21/01/2026</v>
      </c>
      <c r="J818" t="str">
        <f t="shared" si="293"/>
        <v>19/01/2026</v>
      </c>
      <c r="K818">
        <v>46044</v>
      </c>
      <c r="N818">
        <v>303</v>
      </c>
      <c r="O818" t="s">
        <v>26</v>
      </c>
      <c r="Q818">
        <v>148.86000000000001</v>
      </c>
      <c r="R818" t="str">
        <f>"PENSE FARMA 01 (10215)"</f>
        <v>PENSE FARMA 01 (10215)</v>
      </c>
      <c r="S818" t="s">
        <v>27</v>
      </c>
      <c r="T818">
        <v>4027</v>
      </c>
      <c r="U818">
        <v>3471</v>
      </c>
      <c r="V818" t="s">
        <v>88</v>
      </c>
    </row>
    <row r="819" spans="1:22">
      <c r="A819" t="str">
        <f t="shared" si="287"/>
        <v>22/01/2026</v>
      </c>
      <c r="B819" t="str">
        <f t="shared" si="288"/>
        <v>ENTRADA</v>
      </c>
      <c r="C819" t="str">
        <f t="shared" si="289"/>
        <v>NFSE</v>
      </c>
      <c r="D819" t="str">
        <f>"105"</f>
        <v>105</v>
      </c>
      <c r="E819" t="str">
        <f t="shared" si="290"/>
        <v>1</v>
      </c>
      <c r="F819" t="str">
        <f t="shared" si="285"/>
        <v>COM</v>
      </c>
      <c r="G819" t="str">
        <f>"PENSE FARMA 39 (10228)"</f>
        <v>PENSE FARMA 39 (10228)</v>
      </c>
      <c r="H819" t="s">
        <v>226</v>
      </c>
      <c r="I819" t="str">
        <f t="shared" si="291"/>
        <v>21/01/2026</v>
      </c>
      <c r="J819" t="str">
        <f t="shared" si="293"/>
        <v>19/01/2026</v>
      </c>
      <c r="K819">
        <v>46044</v>
      </c>
      <c r="N819">
        <v>303</v>
      </c>
      <c r="O819" t="s">
        <v>26</v>
      </c>
      <c r="Q819">
        <v>148.86000000000001</v>
      </c>
      <c r="R819" t="str">
        <f>"PENSE FARMA 03 (10216)"</f>
        <v>PENSE FARMA 03 (10216)</v>
      </c>
      <c r="S819" t="s">
        <v>27</v>
      </c>
      <c r="T819">
        <v>4027</v>
      </c>
      <c r="U819">
        <v>3471</v>
      </c>
      <c r="V819" t="s">
        <v>88</v>
      </c>
    </row>
    <row r="820" spans="1:22">
      <c r="A820" t="str">
        <f t="shared" si="287"/>
        <v>22/01/2026</v>
      </c>
      <c r="B820" t="str">
        <f t="shared" si="288"/>
        <v>ENTRADA</v>
      </c>
      <c r="C820" t="str">
        <f t="shared" si="289"/>
        <v>NFSE</v>
      </c>
      <c r="D820" t="str">
        <f>"105"</f>
        <v>105</v>
      </c>
      <c r="E820" t="str">
        <f t="shared" si="290"/>
        <v>1</v>
      </c>
      <c r="F820" t="str">
        <f t="shared" ref="F820:F851" si="294">"COM"</f>
        <v>COM</v>
      </c>
      <c r="G820" t="str">
        <f>"PENSE FARMA 39 (10228)"</f>
        <v>PENSE FARMA 39 (10228)</v>
      </c>
      <c r="H820" t="s">
        <v>226</v>
      </c>
      <c r="I820" t="str">
        <f t="shared" si="291"/>
        <v>21/01/2026</v>
      </c>
      <c r="J820" t="str">
        <f t="shared" si="293"/>
        <v>19/01/2026</v>
      </c>
      <c r="K820">
        <v>46044</v>
      </c>
      <c r="N820">
        <v>303</v>
      </c>
      <c r="O820" t="s">
        <v>26</v>
      </c>
      <c r="Q820">
        <v>153.41</v>
      </c>
      <c r="R820" t="str">
        <f>"PENSE FARMA 39 (10228)"</f>
        <v>PENSE FARMA 39 (10228)</v>
      </c>
      <c r="S820" t="s">
        <v>27</v>
      </c>
      <c r="T820">
        <v>4027</v>
      </c>
      <c r="U820">
        <v>3471</v>
      </c>
      <c r="V820" t="s">
        <v>88</v>
      </c>
    </row>
    <row r="821" spans="1:22">
      <c r="A821" t="str">
        <f t="shared" si="287"/>
        <v>22/01/2026</v>
      </c>
      <c r="B821" t="str">
        <f t="shared" si="288"/>
        <v>ENTRADA</v>
      </c>
      <c r="C821" t="str">
        <f t="shared" si="289"/>
        <v>NFSE</v>
      </c>
      <c r="D821" t="str">
        <f>"106"</f>
        <v>106</v>
      </c>
      <c r="E821" t="str">
        <f t="shared" si="290"/>
        <v>1</v>
      </c>
      <c r="F821" t="str">
        <f t="shared" si="294"/>
        <v>COM</v>
      </c>
      <c r="G821" t="str">
        <f>"PENSE FARMA 47 (10232)"</f>
        <v>PENSE FARMA 47 (10232)</v>
      </c>
      <c r="H821" t="str">
        <f>"Serv.Prest. 12/01/2026 a 18/01/2026 - RPS: 2032 - NFSe: 106"</f>
        <v>Serv.Prest. 12/01/2026 a 18/01/2026 - RPS: 2032 - NFSe: 106</v>
      </c>
      <c r="I821" t="str">
        <f t="shared" si="291"/>
        <v>21/01/2026</v>
      </c>
      <c r="J821" t="str">
        <f t="shared" si="293"/>
        <v>19/01/2026</v>
      </c>
      <c r="K821" t="str">
        <f>("22/01/2026")</f>
        <v>22/01/2026</v>
      </c>
      <c r="L821">
        <v>320.23</v>
      </c>
      <c r="M821">
        <v>320.23</v>
      </c>
      <c r="N821">
        <v>303</v>
      </c>
      <c r="O821" t="str">
        <f>"RECEITAS COM ENTREGAS"</f>
        <v>RECEITAS COM ENTREGAS</v>
      </c>
      <c r="P821">
        <v>320.23</v>
      </c>
      <c r="S821" t="str">
        <f>"RECEITAS COM ENTREGAS (303)"</f>
        <v>RECEITAS COM ENTREGAS (303)</v>
      </c>
      <c r="T821">
        <v>4028</v>
      </c>
      <c r="U821">
        <v>3472</v>
      </c>
      <c r="V821" t="s">
        <v>88</v>
      </c>
    </row>
    <row r="822" spans="1:22">
      <c r="A822" t="str">
        <f t="shared" si="287"/>
        <v>22/01/2026</v>
      </c>
      <c r="B822" t="str">
        <f t="shared" si="288"/>
        <v>ENTRADA</v>
      </c>
      <c r="C822" t="str">
        <f t="shared" si="289"/>
        <v>NFSE</v>
      </c>
      <c r="D822" t="str">
        <f>"106"</f>
        <v>106</v>
      </c>
      <c r="E822" t="str">
        <f t="shared" si="290"/>
        <v>1</v>
      </c>
      <c r="F822" t="str">
        <f t="shared" si="294"/>
        <v>COM</v>
      </c>
      <c r="G822" t="str">
        <f>"PENSE FARMA 47 (10232)"</f>
        <v>PENSE FARMA 47 (10232)</v>
      </c>
      <c r="H822" t="s">
        <v>227</v>
      </c>
      <c r="I822" t="str">
        <f t="shared" si="291"/>
        <v>21/01/2026</v>
      </c>
      <c r="J822" t="str">
        <f t="shared" si="293"/>
        <v>19/01/2026</v>
      </c>
      <c r="K822">
        <v>46044</v>
      </c>
      <c r="N822">
        <v>303</v>
      </c>
      <c r="O822" t="s">
        <v>26</v>
      </c>
      <c r="Q822">
        <v>320.23</v>
      </c>
      <c r="R822" t="str">
        <f>"PENSE FARMA 47 (10232)"</f>
        <v>PENSE FARMA 47 (10232)</v>
      </c>
      <c r="S822" t="s">
        <v>27</v>
      </c>
      <c r="T822">
        <v>4028</v>
      </c>
      <c r="U822">
        <v>3472</v>
      </c>
      <c r="V822" t="s">
        <v>88</v>
      </c>
    </row>
    <row r="823" spans="1:22">
      <c r="A823" t="str">
        <f t="shared" si="287"/>
        <v>22/01/2026</v>
      </c>
      <c r="B823" t="str">
        <f t="shared" si="288"/>
        <v>ENTRADA</v>
      </c>
      <c r="C823" t="str">
        <f t="shared" si="289"/>
        <v>NFSE</v>
      </c>
      <c r="D823" t="str">
        <f>"107"</f>
        <v>107</v>
      </c>
      <c r="E823" t="str">
        <f t="shared" si="290"/>
        <v>1</v>
      </c>
      <c r="F823" t="str">
        <f t="shared" si="294"/>
        <v>COM</v>
      </c>
      <c r="G823" t="str">
        <f>"PENSE FARMA 25 (10224)"</f>
        <v>PENSE FARMA 25 (10224)</v>
      </c>
      <c r="H823" t="str">
        <f>"Serv.Prest. 12/01/2026 a 18/01/2026 - RPS: 2033 - NFSe: 107"</f>
        <v>Serv.Prest. 12/01/2026 a 18/01/2026 - RPS: 2033 - NFSe: 107</v>
      </c>
      <c r="I823" t="str">
        <f t="shared" si="291"/>
        <v>21/01/2026</v>
      </c>
      <c r="J823" t="str">
        <f t="shared" si="293"/>
        <v>19/01/2026</v>
      </c>
      <c r="K823" t="str">
        <f>("22/01/2026")</f>
        <v>22/01/2026</v>
      </c>
      <c r="L823">
        <v>320.5</v>
      </c>
      <c r="M823">
        <v>320.5</v>
      </c>
      <c r="N823">
        <v>303</v>
      </c>
      <c r="O823" t="str">
        <f>"RECEITAS COM ENTREGAS"</f>
        <v>RECEITAS COM ENTREGAS</v>
      </c>
      <c r="P823">
        <v>320.5</v>
      </c>
      <c r="S823" t="str">
        <f>"RECEITAS COM ENTREGAS (303)"</f>
        <v>RECEITAS COM ENTREGAS (303)</v>
      </c>
      <c r="T823">
        <v>4029</v>
      </c>
      <c r="U823">
        <v>3473</v>
      </c>
      <c r="V823" t="s">
        <v>88</v>
      </c>
    </row>
    <row r="824" spans="1:22">
      <c r="A824" t="str">
        <f t="shared" si="287"/>
        <v>22/01/2026</v>
      </c>
      <c r="B824" t="str">
        <f t="shared" si="288"/>
        <v>ENTRADA</v>
      </c>
      <c r="C824" t="str">
        <f t="shared" si="289"/>
        <v>NFSE</v>
      </c>
      <c r="D824" t="str">
        <f>"107"</f>
        <v>107</v>
      </c>
      <c r="E824" t="str">
        <f t="shared" si="290"/>
        <v>1</v>
      </c>
      <c r="F824" t="str">
        <f t="shared" si="294"/>
        <v>COM</v>
      </c>
      <c r="G824" t="str">
        <f>"PENSE FARMA 25 (10224)"</f>
        <v>PENSE FARMA 25 (10224)</v>
      </c>
      <c r="H824" t="s">
        <v>228</v>
      </c>
      <c r="I824" t="str">
        <f t="shared" si="291"/>
        <v>21/01/2026</v>
      </c>
      <c r="J824" t="str">
        <f t="shared" si="293"/>
        <v>19/01/2026</v>
      </c>
      <c r="K824">
        <v>46044</v>
      </c>
      <c r="N824">
        <v>303</v>
      </c>
      <c r="O824" t="s">
        <v>26</v>
      </c>
      <c r="Q824">
        <v>320.5</v>
      </c>
      <c r="R824" t="str">
        <f>"PENSE FARMA 25 (10224)"</f>
        <v>PENSE FARMA 25 (10224)</v>
      </c>
      <c r="S824" t="s">
        <v>27</v>
      </c>
      <c r="T824">
        <v>4029</v>
      </c>
      <c r="U824">
        <v>3473</v>
      </c>
      <c r="V824" t="s">
        <v>88</v>
      </c>
    </row>
    <row r="825" spans="1:22">
      <c r="A825" t="str">
        <f t="shared" si="287"/>
        <v>22/01/2026</v>
      </c>
      <c r="B825" t="str">
        <f t="shared" si="288"/>
        <v>ENTRADA</v>
      </c>
      <c r="C825" t="str">
        <f t="shared" si="289"/>
        <v>NFSE</v>
      </c>
      <c r="D825" t="str">
        <f>"108"</f>
        <v>108</v>
      </c>
      <c r="E825" t="str">
        <f t="shared" si="290"/>
        <v>1</v>
      </c>
      <c r="F825" t="str">
        <f t="shared" si="294"/>
        <v>COM</v>
      </c>
      <c r="G825" t="str">
        <f>"PENSE FARMA 35 (10227)"</f>
        <v>PENSE FARMA 35 (10227)</v>
      </c>
      <c r="H825" t="str">
        <f>"Serv.Prest. 12/01/2026 a 18/01/2026 - RPS: 2034 - NFSe: 108"</f>
        <v>Serv.Prest. 12/01/2026 a 18/01/2026 - RPS: 2034 - NFSe: 108</v>
      </c>
      <c r="I825" t="str">
        <f t="shared" si="291"/>
        <v>21/01/2026</v>
      </c>
      <c r="J825" t="str">
        <f t="shared" si="293"/>
        <v>19/01/2026</v>
      </c>
      <c r="K825" t="str">
        <f>("22/01/2026")</f>
        <v>22/01/2026</v>
      </c>
      <c r="L825">
        <v>171.45</v>
      </c>
      <c r="M825">
        <v>171.45</v>
      </c>
      <c r="N825">
        <v>303</v>
      </c>
      <c r="O825" t="str">
        <f>"RECEITAS COM ENTREGAS"</f>
        <v>RECEITAS COM ENTREGAS</v>
      </c>
      <c r="P825">
        <v>171.45</v>
      </c>
      <c r="S825" t="str">
        <f>"RECEITAS COM ENTREGAS (303)"</f>
        <v>RECEITAS COM ENTREGAS (303)</v>
      </c>
      <c r="T825">
        <v>4030</v>
      </c>
      <c r="U825">
        <v>3474</v>
      </c>
      <c r="V825" t="s">
        <v>88</v>
      </c>
    </row>
    <row r="826" spans="1:22">
      <c r="A826" t="str">
        <f t="shared" ref="A826:A857" si="295">("22/01/2026")</f>
        <v>22/01/2026</v>
      </c>
      <c r="B826" t="str">
        <f t="shared" si="288"/>
        <v>ENTRADA</v>
      </c>
      <c r="C826" t="str">
        <f t="shared" si="289"/>
        <v>NFSE</v>
      </c>
      <c r="D826" t="str">
        <f>"108"</f>
        <v>108</v>
      </c>
      <c r="E826" t="str">
        <f t="shared" si="290"/>
        <v>1</v>
      </c>
      <c r="F826" t="str">
        <f t="shared" si="294"/>
        <v>COM</v>
      </c>
      <c r="G826" t="str">
        <f>"PENSE FARMA 35 (10227)"</f>
        <v>PENSE FARMA 35 (10227)</v>
      </c>
      <c r="H826" t="s">
        <v>229</v>
      </c>
      <c r="I826" t="str">
        <f t="shared" si="291"/>
        <v>21/01/2026</v>
      </c>
      <c r="J826" t="str">
        <f t="shared" si="293"/>
        <v>19/01/2026</v>
      </c>
      <c r="K826">
        <v>46044</v>
      </c>
      <c r="N826">
        <v>303</v>
      </c>
      <c r="O826" t="s">
        <v>26</v>
      </c>
      <c r="Q826">
        <v>171.45</v>
      </c>
      <c r="R826" t="str">
        <f>"PENSE FARMA 35 (10227)"</f>
        <v>PENSE FARMA 35 (10227)</v>
      </c>
      <c r="S826" t="s">
        <v>27</v>
      </c>
      <c r="T826">
        <v>4030</v>
      </c>
      <c r="U826">
        <v>3474</v>
      </c>
      <c r="V826" t="s">
        <v>88</v>
      </c>
    </row>
    <row r="827" spans="1:22">
      <c r="A827" t="str">
        <f t="shared" si="295"/>
        <v>22/01/2026</v>
      </c>
      <c r="B827" t="str">
        <f t="shared" si="288"/>
        <v>ENTRADA</v>
      </c>
      <c r="C827" t="str">
        <f t="shared" si="289"/>
        <v>NFSE</v>
      </c>
      <c r="D827" t="str">
        <f t="shared" ref="D827:D832" si="296">"109"</f>
        <v>109</v>
      </c>
      <c r="E827" t="str">
        <f t="shared" si="290"/>
        <v>1</v>
      </c>
      <c r="F827" t="str">
        <f t="shared" si="294"/>
        <v>COM</v>
      </c>
      <c r="G827" t="str">
        <f t="shared" ref="G827:G832" si="297">"PENSE FARMA 08 (10217)"</f>
        <v>PENSE FARMA 08 (10217)</v>
      </c>
      <c r="H827" t="str">
        <f>"Serv.Prest. 12/01/2026 a 18/01/2026 - RPS: 2035 - NFSe: 109"</f>
        <v>Serv.Prest. 12/01/2026 a 18/01/2026 - RPS: 2035 - NFSe: 109</v>
      </c>
      <c r="I827" t="str">
        <f t="shared" si="291"/>
        <v>21/01/2026</v>
      </c>
      <c r="J827" t="str">
        <f t="shared" si="293"/>
        <v>19/01/2026</v>
      </c>
      <c r="K827" t="str">
        <f>("22/01/2026")</f>
        <v>22/01/2026</v>
      </c>
      <c r="L827">
        <v>589.5</v>
      </c>
      <c r="M827">
        <v>589.5</v>
      </c>
      <c r="N827">
        <v>303</v>
      </c>
      <c r="O827" t="str">
        <f>"RECEITAS COM ENTREGAS"</f>
        <v>RECEITAS COM ENTREGAS</v>
      </c>
      <c r="P827">
        <v>589.5</v>
      </c>
      <c r="S827" t="str">
        <f>"RECEITAS COM ENTREGAS (303)"</f>
        <v>RECEITAS COM ENTREGAS (303)</v>
      </c>
      <c r="T827">
        <v>4031</v>
      </c>
      <c r="U827">
        <v>3475</v>
      </c>
      <c r="V827" t="s">
        <v>88</v>
      </c>
    </row>
    <row r="828" spans="1:22">
      <c r="A828" t="str">
        <f t="shared" si="295"/>
        <v>22/01/2026</v>
      </c>
      <c r="B828" t="str">
        <f t="shared" ref="B828:B859" si="298">"ENTRADA"</f>
        <v>ENTRADA</v>
      </c>
      <c r="C828" t="str">
        <f t="shared" ref="C828:C859" si="299">"NFSE"</f>
        <v>NFSE</v>
      </c>
      <c r="D828" t="str">
        <f t="shared" si="296"/>
        <v>109</v>
      </c>
      <c r="E828" t="str">
        <f t="shared" ref="E828:E859" si="300">"1"</f>
        <v>1</v>
      </c>
      <c r="F828" t="str">
        <f t="shared" si="294"/>
        <v>COM</v>
      </c>
      <c r="G828" t="str">
        <f t="shared" si="297"/>
        <v>PENSE FARMA 08 (10217)</v>
      </c>
      <c r="H828" t="s">
        <v>230</v>
      </c>
      <c r="I828" t="str">
        <f t="shared" ref="I828:I859" si="301">("21/01/2026")</f>
        <v>21/01/2026</v>
      </c>
      <c r="J828" t="str">
        <f t="shared" si="293"/>
        <v>19/01/2026</v>
      </c>
      <c r="K828">
        <v>46044</v>
      </c>
      <c r="N828">
        <v>303</v>
      </c>
      <c r="O828" t="s">
        <v>26</v>
      </c>
      <c r="Q828">
        <v>117.9</v>
      </c>
      <c r="R828" t="str">
        <f>"PENSE FARMA 08 (10217)"</f>
        <v>PENSE FARMA 08 (10217)</v>
      </c>
      <c r="S828" t="s">
        <v>27</v>
      </c>
      <c r="T828">
        <v>4031</v>
      </c>
      <c r="U828">
        <v>3475</v>
      </c>
      <c r="V828" t="s">
        <v>88</v>
      </c>
    </row>
    <row r="829" spans="1:22">
      <c r="A829" t="str">
        <f t="shared" si="295"/>
        <v>22/01/2026</v>
      </c>
      <c r="B829" t="str">
        <f t="shared" si="298"/>
        <v>ENTRADA</v>
      </c>
      <c r="C829" t="str">
        <f t="shared" si="299"/>
        <v>NFSE</v>
      </c>
      <c r="D829" t="str">
        <f t="shared" si="296"/>
        <v>109</v>
      </c>
      <c r="E829" t="str">
        <f t="shared" si="300"/>
        <v>1</v>
      </c>
      <c r="F829" t="str">
        <f t="shared" si="294"/>
        <v>COM</v>
      </c>
      <c r="G829" t="str">
        <f t="shared" si="297"/>
        <v>PENSE FARMA 08 (10217)</v>
      </c>
      <c r="H829" t="s">
        <v>230</v>
      </c>
      <c r="I829" t="str">
        <f t="shared" si="301"/>
        <v>21/01/2026</v>
      </c>
      <c r="J829" t="str">
        <f t="shared" si="293"/>
        <v>19/01/2026</v>
      </c>
      <c r="K829">
        <v>46044</v>
      </c>
      <c r="N829">
        <v>303</v>
      </c>
      <c r="O829" t="s">
        <v>26</v>
      </c>
      <c r="Q829">
        <v>117.9</v>
      </c>
      <c r="R829" t="str">
        <f>"PENSE FARMA 11 (10220)"</f>
        <v>PENSE FARMA 11 (10220)</v>
      </c>
      <c r="S829" t="s">
        <v>27</v>
      </c>
      <c r="T829">
        <v>4031</v>
      </c>
      <c r="U829">
        <v>3475</v>
      </c>
      <c r="V829" t="s">
        <v>88</v>
      </c>
    </row>
    <row r="830" spans="1:22">
      <c r="A830" t="str">
        <f t="shared" si="295"/>
        <v>22/01/2026</v>
      </c>
      <c r="B830" t="str">
        <f t="shared" si="298"/>
        <v>ENTRADA</v>
      </c>
      <c r="C830" t="str">
        <f t="shared" si="299"/>
        <v>NFSE</v>
      </c>
      <c r="D830" t="str">
        <f t="shared" si="296"/>
        <v>109</v>
      </c>
      <c r="E830" t="str">
        <f t="shared" si="300"/>
        <v>1</v>
      </c>
      <c r="F830" t="str">
        <f t="shared" si="294"/>
        <v>COM</v>
      </c>
      <c r="G830" t="str">
        <f t="shared" si="297"/>
        <v>PENSE FARMA 08 (10217)</v>
      </c>
      <c r="H830" t="s">
        <v>230</v>
      </c>
      <c r="I830" t="str">
        <f t="shared" si="301"/>
        <v>21/01/2026</v>
      </c>
      <c r="J830" t="str">
        <f t="shared" si="293"/>
        <v>19/01/2026</v>
      </c>
      <c r="K830">
        <v>46044</v>
      </c>
      <c r="N830">
        <v>303</v>
      </c>
      <c r="O830" t="s">
        <v>26</v>
      </c>
      <c r="Q830">
        <v>117.9</v>
      </c>
      <c r="R830" t="str">
        <f>"PENSE FARMA 41 (10229)"</f>
        <v>PENSE FARMA 41 (10229)</v>
      </c>
      <c r="S830" t="s">
        <v>27</v>
      </c>
      <c r="T830">
        <v>4031</v>
      </c>
      <c r="U830">
        <v>3475</v>
      </c>
      <c r="V830" t="s">
        <v>88</v>
      </c>
    </row>
    <row r="831" spans="1:22">
      <c r="A831" t="str">
        <f t="shared" si="295"/>
        <v>22/01/2026</v>
      </c>
      <c r="B831" t="str">
        <f t="shared" si="298"/>
        <v>ENTRADA</v>
      </c>
      <c r="C831" t="str">
        <f t="shared" si="299"/>
        <v>NFSE</v>
      </c>
      <c r="D831" t="str">
        <f t="shared" si="296"/>
        <v>109</v>
      </c>
      <c r="E831" t="str">
        <f t="shared" si="300"/>
        <v>1</v>
      </c>
      <c r="F831" t="str">
        <f t="shared" si="294"/>
        <v>COM</v>
      </c>
      <c r="G831" t="str">
        <f t="shared" si="297"/>
        <v>PENSE FARMA 08 (10217)</v>
      </c>
      <c r="H831" t="s">
        <v>230</v>
      </c>
      <c r="I831" t="str">
        <f t="shared" si="301"/>
        <v>21/01/2026</v>
      </c>
      <c r="J831" t="str">
        <f t="shared" si="293"/>
        <v>19/01/2026</v>
      </c>
      <c r="K831">
        <v>46044</v>
      </c>
      <c r="N831">
        <v>303</v>
      </c>
      <c r="O831" t="s">
        <v>26</v>
      </c>
      <c r="Q831">
        <v>117.9</v>
      </c>
      <c r="R831" t="str">
        <f>"PENSE FARMA 42 (10230)"</f>
        <v>PENSE FARMA 42 (10230)</v>
      </c>
      <c r="S831" t="s">
        <v>27</v>
      </c>
      <c r="T831">
        <v>4031</v>
      </c>
      <c r="U831">
        <v>3475</v>
      </c>
      <c r="V831" t="s">
        <v>88</v>
      </c>
    </row>
    <row r="832" spans="1:22">
      <c r="A832" t="str">
        <f t="shared" si="295"/>
        <v>22/01/2026</v>
      </c>
      <c r="B832" t="str">
        <f t="shared" si="298"/>
        <v>ENTRADA</v>
      </c>
      <c r="C832" t="str">
        <f t="shared" si="299"/>
        <v>NFSE</v>
      </c>
      <c r="D832" t="str">
        <f t="shared" si="296"/>
        <v>109</v>
      </c>
      <c r="E832" t="str">
        <f t="shared" si="300"/>
        <v>1</v>
      </c>
      <c r="F832" t="str">
        <f t="shared" si="294"/>
        <v>COM</v>
      </c>
      <c r="G832" t="str">
        <f t="shared" si="297"/>
        <v>PENSE FARMA 08 (10217)</v>
      </c>
      <c r="H832" t="s">
        <v>230</v>
      </c>
      <c r="I832" t="str">
        <f t="shared" si="301"/>
        <v>21/01/2026</v>
      </c>
      <c r="J832" t="str">
        <f t="shared" si="293"/>
        <v>19/01/2026</v>
      </c>
      <c r="K832">
        <v>46044</v>
      </c>
      <c r="N832">
        <v>303</v>
      </c>
      <c r="O832" t="s">
        <v>26</v>
      </c>
      <c r="Q832">
        <v>117.9</v>
      </c>
      <c r="R832" t="str">
        <f>"PENSE FARMA 52 (10236)"</f>
        <v>PENSE FARMA 52 (10236)</v>
      </c>
      <c r="S832" t="s">
        <v>27</v>
      </c>
      <c r="T832">
        <v>4031</v>
      </c>
      <c r="U832">
        <v>3475</v>
      </c>
      <c r="V832" t="s">
        <v>88</v>
      </c>
    </row>
    <row r="833" spans="1:22">
      <c r="A833" t="str">
        <f t="shared" si="295"/>
        <v>22/01/2026</v>
      </c>
      <c r="B833" t="str">
        <f t="shared" si="298"/>
        <v>ENTRADA</v>
      </c>
      <c r="C833" t="str">
        <f t="shared" si="299"/>
        <v>NFSE</v>
      </c>
      <c r="D833" t="str">
        <f>"110"</f>
        <v>110</v>
      </c>
      <c r="E833" t="str">
        <f t="shared" si="300"/>
        <v>1</v>
      </c>
      <c r="F833" t="str">
        <f t="shared" si="294"/>
        <v>COM</v>
      </c>
      <c r="G833" t="str">
        <f>"PENSE FARMA 09 (10218)"</f>
        <v>PENSE FARMA 09 (10218)</v>
      </c>
      <c r="H833" t="str">
        <f>"Serv.Prest. 12/01/2026 a 18/01/2026 - RPS: 2036 - NFSe: 110"</f>
        <v>Serv.Prest. 12/01/2026 a 18/01/2026 - RPS: 2036 - NFSe: 110</v>
      </c>
      <c r="I833" t="str">
        <f t="shared" si="301"/>
        <v>21/01/2026</v>
      </c>
      <c r="J833" t="str">
        <f t="shared" si="293"/>
        <v>19/01/2026</v>
      </c>
      <c r="K833" t="str">
        <f>("22/01/2026")</f>
        <v>22/01/2026</v>
      </c>
      <c r="L833">
        <v>336.54</v>
      </c>
      <c r="M833">
        <v>336.54</v>
      </c>
      <c r="N833">
        <v>303</v>
      </c>
      <c r="O833" t="str">
        <f>"RECEITAS COM ENTREGAS"</f>
        <v>RECEITAS COM ENTREGAS</v>
      </c>
      <c r="P833">
        <v>336.54</v>
      </c>
      <c r="S833" t="str">
        <f>"RECEITAS COM ENTREGAS (303)"</f>
        <v>RECEITAS COM ENTREGAS (303)</v>
      </c>
      <c r="T833">
        <v>4032</v>
      </c>
      <c r="U833">
        <v>3476</v>
      </c>
      <c r="V833" t="s">
        <v>88</v>
      </c>
    </row>
    <row r="834" spans="1:22">
      <c r="A834" t="str">
        <f t="shared" si="295"/>
        <v>22/01/2026</v>
      </c>
      <c r="B834" t="str">
        <f t="shared" si="298"/>
        <v>ENTRADA</v>
      </c>
      <c r="C834" t="str">
        <f t="shared" si="299"/>
        <v>NFSE</v>
      </c>
      <c r="D834" t="str">
        <f>"110"</f>
        <v>110</v>
      </c>
      <c r="E834" t="str">
        <f t="shared" si="300"/>
        <v>1</v>
      </c>
      <c r="F834" t="str">
        <f t="shared" si="294"/>
        <v>COM</v>
      </c>
      <c r="G834" t="str">
        <f>"PENSE FARMA 09 (10218)"</f>
        <v>PENSE FARMA 09 (10218)</v>
      </c>
      <c r="H834" t="s">
        <v>231</v>
      </c>
      <c r="I834" t="str">
        <f t="shared" si="301"/>
        <v>21/01/2026</v>
      </c>
      <c r="J834" t="str">
        <f t="shared" si="293"/>
        <v>19/01/2026</v>
      </c>
      <c r="K834">
        <v>46044</v>
      </c>
      <c r="N834">
        <v>303</v>
      </c>
      <c r="O834" t="s">
        <v>26</v>
      </c>
      <c r="Q834">
        <v>168.27</v>
      </c>
      <c r="R834" t="str">
        <f>"PENSE FARMA 09 (10218)"</f>
        <v>PENSE FARMA 09 (10218)</v>
      </c>
      <c r="S834" t="s">
        <v>27</v>
      </c>
      <c r="T834">
        <v>4032</v>
      </c>
      <c r="U834">
        <v>3476</v>
      </c>
      <c r="V834" t="s">
        <v>88</v>
      </c>
    </row>
    <row r="835" spans="1:22">
      <c r="A835" t="str">
        <f t="shared" si="295"/>
        <v>22/01/2026</v>
      </c>
      <c r="B835" t="str">
        <f t="shared" si="298"/>
        <v>ENTRADA</v>
      </c>
      <c r="C835" t="str">
        <f t="shared" si="299"/>
        <v>NFSE</v>
      </c>
      <c r="D835" t="str">
        <f>"110"</f>
        <v>110</v>
      </c>
      <c r="E835" t="str">
        <f t="shared" si="300"/>
        <v>1</v>
      </c>
      <c r="F835" t="str">
        <f t="shared" si="294"/>
        <v>COM</v>
      </c>
      <c r="G835" t="str">
        <f>"PENSE FARMA 09 (10218)"</f>
        <v>PENSE FARMA 09 (10218)</v>
      </c>
      <c r="H835" t="s">
        <v>231</v>
      </c>
      <c r="I835" t="str">
        <f t="shared" si="301"/>
        <v>21/01/2026</v>
      </c>
      <c r="J835" t="str">
        <f t="shared" si="293"/>
        <v>19/01/2026</v>
      </c>
      <c r="K835">
        <v>46044</v>
      </c>
      <c r="N835">
        <v>303</v>
      </c>
      <c r="O835" t="s">
        <v>26</v>
      </c>
      <c r="Q835">
        <v>168.27</v>
      </c>
      <c r="R835" t="str">
        <f>"PENSE FARMA 10 (10219)"</f>
        <v>PENSE FARMA 10 (10219)</v>
      </c>
      <c r="S835" t="s">
        <v>27</v>
      </c>
      <c r="T835">
        <v>4032</v>
      </c>
      <c r="U835">
        <v>3476</v>
      </c>
      <c r="V835" t="s">
        <v>88</v>
      </c>
    </row>
    <row r="836" spans="1:22">
      <c r="A836" t="str">
        <f t="shared" si="295"/>
        <v>22/01/2026</v>
      </c>
      <c r="B836" t="str">
        <f t="shared" si="298"/>
        <v>ENTRADA</v>
      </c>
      <c r="C836" t="str">
        <f t="shared" si="299"/>
        <v>NFSE</v>
      </c>
      <c r="D836" t="str">
        <f>"111"</f>
        <v>111</v>
      </c>
      <c r="E836" t="str">
        <f t="shared" si="300"/>
        <v>1</v>
      </c>
      <c r="F836" t="str">
        <f t="shared" si="294"/>
        <v>COM</v>
      </c>
      <c r="G836" t="str">
        <f>"PENSE FARMA 15 (10195)"</f>
        <v>PENSE FARMA 15 (10195)</v>
      </c>
      <c r="H836" t="str">
        <f>"Serv.Prest. 12/01/2026 a 18/01/2026 - RPS: 2037 - NFSe: 111"</f>
        <v>Serv.Prest. 12/01/2026 a 18/01/2026 - RPS: 2037 - NFSe: 111</v>
      </c>
      <c r="I836" t="str">
        <f t="shared" si="301"/>
        <v>21/01/2026</v>
      </c>
      <c r="J836" t="str">
        <f t="shared" ref="J836:J872" si="302">("19/01/2026")</f>
        <v>19/01/2026</v>
      </c>
      <c r="K836" t="str">
        <f>("22/01/2026")</f>
        <v>22/01/2026</v>
      </c>
      <c r="L836">
        <v>642</v>
      </c>
      <c r="M836">
        <v>642</v>
      </c>
      <c r="N836">
        <v>303</v>
      </c>
      <c r="O836" t="str">
        <f>"RECEITAS COM ENTREGAS"</f>
        <v>RECEITAS COM ENTREGAS</v>
      </c>
      <c r="P836">
        <v>642</v>
      </c>
      <c r="S836" t="str">
        <f>"RECEITAS COM ENTREGAS (303)"</f>
        <v>RECEITAS COM ENTREGAS (303)</v>
      </c>
      <c r="T836">
        <v>4033</v>
      </c>
      <c r="U836">
        <v>3477</v>
      </c>
      <c r="V836" t="s">
        <v>88</v>
      </c>
    </row>
    <row r="837" spans="1:22">
      <c r="A837" t="str">
        <f t="shared" si="295"/>
        <v>22/01/2026</v>
      </c>
      <c r="B837" t="str">
        <f t="shared" si="298"/>
        <v>ENTRADA</v>
      </c>
      <c r="C837" t="str">
        <f t="shared" si="299"/>
        <v>NFSE</v>
      </c>
      <c r="D837" t="str">
        <f>"111"</f>
        <v>111</v>
      </c>
      <c r="E837" t="str">
        <f t="shared" si="300"/>
        <v>1</v>
      </c>
      <c r="F837" t="str">
        <f t="shared" si="294"/>
        <v>COM</v>
      </c>
      <c r="G837" t="str">
        <f>"PENSE FARMA 15 (10195)"</f>
        <v>PENSE FARMA 15 (10195)</v>
      </c>
      <c r="H837" t="s">
        <v>232</v>
      </c>
      <c r="I837" t="str">
        <f t="shared" si="301"/>
        <v>21/01/2026</v>
      </c>
      <c r="J837" t="str">
        <f t="shared" si="302"/>
        <v>19/01/2026</v>
      </c>
      <c r="K837">
        <v>46044</v>
      </c>
      <c r="N837">
        <v>303</v>
      </c>
      <c r="O837" t="s">
        <v>26</v>
      </c>
      <c r="Q837">
        <v>160.5</v>
      </c>
      <c r="R837" t="str">
        <f>"PENSE FARMA 15 (10195)"</f>
        <v>PENSE FARMA 15 (10195)</v>
      </c>
      <c r="S837" t="s">
        <v>27</v>
      </c>
      <c r="T837">
        <v>4033</v>
      </c>
      <c r="U837">
        <v>3477</v>
      </c>
      <c r="V837" t="s">
        <v>88</v>
      </c>
    </row>
    <row r="838" spans="1:22">
      <c r="A838" t="str">
        <f t="shared" si="295"/>
        <v>22/01/2026</v>
      </c>
      <c r="B838" t="str">
        <f t="shared" si="298"/>
        <v>ENTRADA</v>
      </c>
      <c r="C838" t="str">
        <f t="shared" si="299"/>
        <v>NFSE</v>
      </c>
      <c r="D838" t="str">
        <f>"111"</f>
        <v>111</v>
      </c>
      <c r="E838" t="str">
        <f t="shared" si="300"/>
        <v>1</v>
      </c>
      <c r="F838" t="str">
        <f t="shared" si="294"/>
        <v>COM</v>
      </c>
      <c r="G838" t="str">
        <f>"PENSE FARMA 15 (10195)"</f>
        <v>PENSE FARMA 15 (10195)</v>
      </c>
      <c r="H838" t="s">
        <v>232</v>
      </c>
      <c r="I838" t="str">
        <f t="shared" si="301"/>
        <v>21/01/2026</v>
      </c>
      <c r="J838" t="str">
        <f t="shared" si="302"/>
        <v>19/01/2026</v>
      </c>
      <c r="K838">
        <v>46044</v>
      </c>
      <c r="N838">
        <v>303</v>
      </c>
      <c r="O838" t="s">
        <v>26</v>
      </c>
      <c r="Q838">
        <v>160.5</v>
      </c>
      <c r="R838" t="str">
        <f>"PENSE FARMA 26 (10196)"</f>
        <v>PENSE FARMA 26 (10196)</v>
      </c>
      <c r="S838" t="s">
        <v>27</v>
      </c>
      <c r="T838">
        <v>4033</v>
      </c>
      <c r="U838">
        <v>3477</v>
      </c>
      <c r="V838" t="s">
        <v>88</v>
      </c>
    </row>
    <row r="839" spans="1:22">
      <c r="A839" t="str">
        <f t="shared" si="295"/>
        <v>22/01/2026</v>
      </c>
      <c r="B839" t="str">
        <f t="shared" si="298"/>
        <v>ENTRADA</v>
      </c>
      <c r="C839" t="str">
        <f t="shared" si="299"/>
        <v>NFSE</v>
      </c>
      <c r="D839" t="str">
        <f>"111"</f>
        <v>111</v>
      </c>
      <c r="E839" t="str">
        <f t="shared" si="300"/>
        <v>1</v>
      </c>
      <c r="F839" t="str">
        <f t="shared" si="294"/>
        <v>COM</v>
      </c>
      <c r="G839" t="str">
        <f>"PENSE FARMA 15 (10195)"</f>
        <v>PENSE FARMA 15 (10195)</v>
      </c>
      <c r="H839" t="s">
        <v>232</v>
      </c>
      <c r="I839" t="str">
        <f t="shared" si="301"/>
        <v>21/01/2026</v>
      </c>
      <c r="J839" t="str">
        <f t="shared" si="302"/>
        <v>19/01/2026</v>
      </c>
      <c r="K839">
        <v>46044</v>
      </c>
      <c r="N839">
        <v>303</v>
      </c>
      <c r="O839" t="s">
        <v>26</v>
      </c>
      <c r="Q839">
        <v>160.5</v>
      </c>
      <c r="R839" t="str">
        <f>"PENSE FARMA 60 (10197)"</f>
        <v>PENSE FARMA 60 (10197)</v>
      </c>
      <c r="S839" t="s">
        <v>27</v>
      </c>
      <c r="T839">
        <v>4033</v>
      </c>
      <c r="U839">
        <v>3477</v>
      </c>
      <c r="V839" t="s">
        <v>88</v>
      </c>
    </row>
    <row r="840" spans="1:22">
      <c r="A840" t="str">
        <f t="shared" si="295"/>
        <v>22/01/2026</v>
      </c>
      <c r="B840" t="str">
        <f t="shared" si="298"/>
        <v>ENTRADA</v>
      </c>
      <c r="C840" t="str">
        <f t="shared" si="299"/>
        <v>NFSE</v>
      </c>
      <c r="D840" t="str">
        <f>"111"</f>
        <v>111</v>
      </c>
      <c r="E840" t="str">
        <f t="shared" si="300"/>
        <v>1</v>
      </c>
      <c r="F840" t="str">
        <f t="shared" si="294"/>
        <v>COM</v>
      </c>
      <c r="G840" t="str">
        <f>"PENSE FARMA 15 (10195)"</f>
        <v>PENSE FARMA 15 (10195)</v>
      </c>
      <c r="H840" t="s">
        <v>232</v>
      </c>
      <c r="I840" t="str">
        <f t="shared" si="301"/>
        <v>21/01/2026</v>
      </c>
      <c r="J840" t="str">
        <f t="shared" si="302"/>
        <v>19/01/2026</v>
      </c>
      <c r="K840">
        <v>46044</v>
      </c>
      <c r="N840">
        <v>303</v>
      </c>
      <c r="O840" t="s">
        <v>26</v>
      </c>
      <c r="Q840">
        <v>160.5</v>
      </c>
      <c r="R840" t="str">
        <f>"PENSE FARMA 61 (10243)"</f>
        <v>PENSE FARMA 61 (10243)</v>
      </c>
      <c r="S840" t="s">
        <v>27</v>
      </c>
      <c r="T840">
        <v>4033</v>
      </c>
      <c r="U840">
        <v>3477</v>
      </c>
      <c r="V840" t="s">
        <v>88</v>
      </c>
    </row>
    <row r="841" spans="1:22">
      <c r="A841" t="str">
        <f t="shared" si="295"/>
        <v>22/01/2026</v>
      </c>
      <c r="B841" t="str">
        <f t="shared" si="298"/>
        <v>ENTRADA</v>
      </c>
      <c r="C841" t="str">
        <f t="shared" si="299"/>
        <v>NFSE</v>
      </c>
      <c r="D841" t="str">
        <f t="shared" ref="D841:D847" si="303">"112"</f>
        <v>112</v>
      </c>
      <c r="E841" t="str">
        <f t="shared" si="300"/>
        <v>1</v>
      </c>
      <c r="F841" t="str">
        <f t="shared" si="294"/>
        <v>COM</v>
      </c>
      <c r="G841" t="str">
        <f t="shared" ref="G841:G847" si="304">"PENSE FARMA 36 (10206)"</f>
        <v>PENSE FARMA 36 (10206)</v>
      </c>
      <c r="H841" t="str">
        <f>"Serv.Prest. 12/01/2026 a 18/01/2026 - RPS: 2038 - NFSe: 112"</f>
        <v>Serv.Prest. 12/01/2026 a 18/01/2026 - RPS: 2038 - NFSe: 112</v>
      </c>
      <c r="I841" t="str">
        <f t="shared" si="301"/>
        <v>21/01/2026</v>
      </c>
      <c r="J841" t="str">
        <f t="shared" si="302"/>
        <v>19/01/2026</v>
      </c>
      <c r="K841" t="str">
        <f>("22/01/2026")</f>
        <v>22/01/2026</v>
      </c>
      <c r="L841">
        <v>894.35</v>
      </c>
      <c r="M841">
        <v>894.35</v>
      </c>
      <c r="N841">
        <v>303</v>
      </c>
      <c r="O841" t="str">
        <f>"RECEITAS COM ENTREGAS"</f>
        <v>RECEITAS COM ENTREGAS</v>
      </c>
      <c r="P841">
        <v>894.35</v>
      </c>
      <c r="S841" t="str">
        <f>"RECEITAS COM ENTREGAS (303)"</f>
        <v>RECEITAS COM ENTREGAS (303)</v>
      </c>
      <c r="T841">
        <v>4034</v>
      </c>
      <c r="U841">
        <v>3478</v>
      </c>
      <c r="V841" t="s">
        <v>88</v>
      </c>
    </row>
    <row r="842" spans="1:22">
      <c r="A842" t="str">
        <f t="shared" si="295"/>
        <v>22/01/2026</v>
      </c>
      <c r="B842" t="str">
        <f t="shared" si="298"/>
        <v>ENTRADA</v>
      </c>
      <c r="C842" t="str">
        <f t="shared" si="299"/>
        <v>NFSE</v>
      </c>
      <c r="D842" t="str">
        <f t="shared" si="303"/>
        <v>112</v>
      </c>
      <c r="E842" t="str">
        <f t="shared" si="300"/>
        <v>1</v>
      </c>
      <c r="F842" t="str">
        <f t="shared" si="294"/>
        <v>COM</v>
      </c>
      <c r="G842" t="str">
        <f t="shared" si="304"/>
        <v>PENSE FARMA 36 (10206)</v>
      </c>
      <c r="H842" t="s">
        <v>233</v>
      </c>
      <c r="I842" t="str">
        <f t="shared" si="301"/>
        <v>21/01/2026</v>
      </c>
      <c r="J842" t="str">
        <f t="shared" si="302"/>
        <v>19/01/2026</v>
      </c>
      <c r="K842">
        <v>46044</v>
      </c>
      <c r="N842">
        <v>303</v>
      </c>
      <c r="O842" t="s">
        <v>26</v>
      </c>
      <c r="Q842">
        <v>148.30000000000001</v>
      </c>
      <c r="R842" t="str">
        <f>"PENSE FARMA 20 (10203)"</f>
        <v>PENSE FARMA 20 (10203)</v>
      </c>
      <c r="S842" t="s">
        <v>27</v>
      </c>
      <c r="T842">
        <v>4034</v>
      </c>
      <c r="U842">
        <v>3478</v>
      </c>
      <c r="V842" t="s">
        <v>88</v>
      </c>
    </row>
    <row r="843" spans="1:22">
      <c r="A843" t="str">
        <f t="shared" si="295"/>
        <v>22/01/2026</v>
      </c>
      <c r="B843" t="str">
        <f t="shared" si="298"/>
        <v>ENTRADA</v>
      </c>
      <c r="C843" t="str">
        <f t="shared" si="299"/>
        <v>NFSE</v>
      </c>
      <c r="D843" t="str">
        <f t="shared" si="303"/>
        <v>112</v>
      </c>
      <c r="E843" t="str">
        <f t="shared" si="300"/>
        <v>1</v>
      </c>
      <c r="F843" t="str">
        <f t="shared" si="294"/>
        <v>COM</v>
      </c>
      <c r="G843" t="str">
        <f t="shared" si="304"/>
        <v>PENSE FARMA 36 (10206)</v>
      </c>
      <c r="H843" t="s">
        <v>233</v>
      </c>
      <c r="I843" t="str">
        <f t="shared" si="301"/>
        <v>21/01/2026</v>
      </c>
      <c r="J843" t="str">
        <f t="shared" si="302"/>
        <v>19/01/2026</v>
      </c>
      <c r="K843">
        <v>46044</v>
      </c>
      <c r="N843">
        <v>303</v>
      </c>
      <c r="O843" t="s">
        <v>26</v>
      </c>
      <c r="Q843">
        <v>148.28</v>
      </c>
      <c r="R843" t="str">
        <f>"PENSE FARMA 36 (10206)"</f>
        <v>PENSE FARMA 36 (10206)</v>
      </c>
      <c r="S843" t="s">
        <v>27</v>
      </c>
      <c r="T843">
        <v>4034</v>
      </c>
      <c r="U843">
        <v>3478</v>
      </c>
      <c r="V843" t="s">
        <v>88</v>
      </c>
    </row>
    <row r="844" spans="1:22">
      <c r="A844" t="str">
        <f t="shared" si="295"/>
        <v>22/01/2026</v>
      </c>
      <c r="B844" t="str">
        <f t="shared" si="298"/>
        <v>ENTRADA</v>
      </c>
      <c r="C844" t="str">
        <f t="shared" si="299"/>
        <v>NFSE</v>
      </c>
      <c r="D844" t="str">
        <f t="shared" si="303"/>
        <v>112</v>
      </c>
      <c r="E844" t="str">
        <f t="shared" si="300"/>
        <v>1</v>
      </c>
      <c r="F844" t="str">
        <f t="shared" si="294"/>
        <v>COM</v>
      </c>
      <c r="G844" t="str">
        <f t="shared" si="304"/>
        <v>PENSE FARMA 36 (10206)</v>
      </c>
      <c r="H844" t="s">
        <v>233</v>
      </c>
      <c r="I844" t="str">
        <f t="shared" si="301"/>
        <v>21/01/2026</v>
      </c>
      <c r="J844" t="str">
        <f t="shared" si="302"/>
        <v>19/01/2026</v>
      </c>
      <c r="K844">
        <v>46044</v>
      </c>
      <c r="N844">
        <v>303</v>
      </c>
      <c r="O844" t="s">
        <v>26</v>
      </c>
      <c r="Q844">
        <v>148.28</v>
      </c>
      <c r="R844" t="str">
        <f>"PENSE FARMA 40 (10207)"</f>
        <v>PENSE FARMA 40 (10207)</v>
      </c>
      <c r="S844" t="s">
        <v>27</v>
      </c>
      <c r="T844">
        <v>4034</v>
      </c>
      <c r="U844">
        <v>3478</v>
      </c>
      <c r="V844" t="s">
        <v>88</v>
      </c>
    </row>
    <row r="845" spans="1:22">
      <c r="A845" t="str">
        <f t="shared" si="295"/>
        <v>22/01/2026</v>
      </c>
      <c r="B845" t="str">
        <f t="shared" si="298"/>
        <v>ENTRADA</v>
      </c>
      <c r="C845" t="str">
        <f t="shared" si="299"/>
        <v>NFSE</v>
      </c>
      <c r="D845" t="str">
        <f t="shared" si="303"/>
        <v>112</v>
      </c>
      <c r="E845" t="str">
        <f t="shared" si="300"/>
        <v>1</v>
      </c>
      <c r="F845" t="str">
        <f t="shared" si="294"/>
        <v>COM</v>
      </c>
      <c r="G845" t="str">
        <f t="shared" si="304"/>
        <v>PENSE FARMA 36 (10206)</v>
      </c>
      <c r="H845" t="s">
        <v>233</v>
      </c>
      <c r="I845" t="str">
        <f t="shared" si="301"/>
        <v>21/01/2026</v>
      </c>
      <c r="J845" t="str">
        <f t="shared" si="302"/>
        <v>19/01/2026</v>
      </c>
      <c r="K845">
        <v>46044</v>
      </c>
      <c r="N845">
        <v>303</v>
      </c>
      <c r="O845" t="s">
        <v>26</v>
      </c>
      <c r="Q845">
        <v>148.28</v>
      </c>
      <c r="R845" t="str">
        <f>"PENSE FARMA 43 (10208)"</f>
        <v>PENSE FARMA 43 (10208)</v>
      </c>
      <c r="S845" t="s">
        <v>27</v>
      </c>
      <c r="T845">
        <v>4034</v>
      </c>
      <c r="U845">
        <v>3478</v>
      </c>
      <c r="V845" t="s">
        <v>88</v>
      </c>
    </row>
    <row r="846" spans="1:22">
      <c r="A846" t="str">
        <f t="shared" si="295"/>
        <v>22/01/2026</v>
      </c>
      <c r="B846" t="str">
        <f t="shared" si="298"/>
        <v>ENTRADA</v>
      </c>
      <c r="C846" t="str">
        <f t="shared" si="299"/>
        <v>NFSE</v>
      </c>
      <c r="D846" t="str">
        <f t="shared" si="303"/>
        <v>112</v>
      </c>
      <c r="E846" t="str">
        <f t="shared" si="300"/>
        <v>1</v>
      </c>
      <c r="F846" t="str">
        <f t="shared" si="294"/>
        <v>COM</v>
      </c>
      <c r="G846" t="str">
        <f t="shared" si="304"/>
        <v>PENSE FARMA 36 (10206)</v>
      </c>
      <c r="H846" t="s">
        <v>233</v>
      </c>
      <c r="I846" t="str">
        <f t="shared" si="301"/>
        <v>21/01/2026</v>
      </c>
      <c r="J846" t="str">
        <f t="shared" si="302"/>
        <v>19/01/2026</v>
      </c>
      <c r="K846">
        <v>46044</v>
      </c>
      <c r="N846">
        <v>303</v>
      </c>
      <c r="O846" t="s">
        <v>26</v>
      </c>
      <c r="Q846">
        <v>148.28</v>
      </c>
      <c r="R846" t="str">
        <f>"PENSE FARMA 59 (10211)"</f>
        <v>PENSE FARMA 59 (10211)</v>
      </c>
      <c r="S846" t="s">
        <v>27</v>
      </c>
      <c r="T846">
        <v>4034</v>
      </c>
      <c r="U846">
        <v>3478</v>
      </c>
      <c r="V846" t="s">
        <v>88</v>
      </c>
    </row>
    <row r="847" spans="1:22">
      <c r="A847" t="str">
        <f t="shared" si="295"/>
        <v>22/01/2026</v>
      </c>
      <c r="B847" t="str">
        <f t="shared" si="298"/>
        <v>ENTRADA</v>
      </c>
      <c r="C847" t="str">
        <f t="shared" si="299"/>
        <v>NFSE</v>
      </c>
      <c r="D847" t="str">
        <f t="shared" si="303"/>
        <v>112</v>
      </c>
      <c r="E847" t="str">
        <f t="shared" si="300"/>
        <v>1</v>
      </c>
      <c r="F847" t="str">
        <f t="shared" si="294"/>
        <v>COM</v>
      </c>
      <c r="G847" t="str">
        <f t="shared" si="304"/>
        <v>PENSE FARMA 36 (10206)</v>
      </c>
      <c r="H847" t="s">
        <v>233</v>
      </c>
      <c r="I847" t="str">
        <f t="shared" si="301"/>
        <v>21/01/2026</v>
      </c>
      <c r="J847" t="str">
        <f t="shared" si="302"/>
        <v>19/01/2026</v>
      </c>
      <c r="K847">
        <v>46044</v>
      </c>
      <c r="N847">
        <v>303</v>
      </c>
      <c r="O847" t="s">
        <v>26</v>
      </c>
      <c r="Q847">
        <v>152.93</v>
      </c>
      <c r="R847" t="str">
        <f>"PENSE FARMA DARK STORE 361 (10212)"</f>
        <v>PENSE FARMA DARK STORE 361 (10212)</v>
      </c>
      <c r="S847" t="s">
        <v>27</v>
      </c>
      <c r="T847">
        <v>4034</v>
      </c>
      <c r="U847">
        <v>3478</v>
      </c>
      <c r="V847" t="s">
        <v>88</v>
      </c>
    </row>
    <row r="848" spans="1:22">
      <c r="A848" t="str">
        <f t="shared" si="295"/>
        <v>22/01/2026</v>
      </c>
      <c r="B848" t="str">
        <f t="shared" si="298"/>
        <v>ENTRADA</v>
      </c>
      <c r="C848" t="str">
        <f t="shared" si="299"/>
        <v>NFSE</v>
      </c>
      <c r="D848" t="str">
        <f>"113"</f>
        <v>113</v>
      </c>
      <c r="E848" t="str">
        <f t="shared" si="300"/>
        <v>1</v>
      </c>
      <c r="F848" t="str">
        <f t="shared" si="294"/>
        <v>COM</v>
      </c>
      <c r="G848" t="str">
        <f>"PENSE FARMA 27 (10204)"</f>
        <v>PENSE FARMA 27 (10204)</v>
      </c>
      <c r="H848" t="str">
        <f>"Serv.Prest. 12/01/2026 a 18/01/2026 - RPS: 2039 - NFSe: 113"</f>
        <v>Serv.Prest. 12/01/2026 a 18/01/2026 - RPS: 2039 - NFSe: 113</v>
      </c>
      <c r="I848" t="str">
        <f t="shared" si="301"/>
        <v>21/01/2026</v>
      </c>
      <c r="J848" t="str">
        <f t="shared" si="302"/>
        <v>19/01/2026</v>
      </c>
      <c r="K848" t="str">
        <f>("22/01/2026")</f>
        <v>22/01/2026</v>
      </c>
      <c r="L848">
        <v>577.5</v>
      </c>
      <c r="M848">
        <v>577.5</v>
      </c>
      <c r="N848">
        <v>303</v>
      </c>
      <c r="O848" t="str">
        <f>"RECEITAS COM ENTREGAS"</f>
        <v>RECEITAS COM ENTREGAS</v>
      </c>
      <c r="P848">
        <v>577.5</v>
      </c>
      <c r="S848" t="str">
        <f>"RECEITAS COM ENTREGAS (303)"</f>
        <v>RECEITAS COM ENTREGAS (303)</v>
      </c>
      <c r="T848">
        <v>4035</v>
      </c>
      <c r="U848">
        <v>3479</v>
      </c>
      <c r="V848" t="s">
        <v>88</v>
      </c>
    </row>
    <row r="849" spans="1:22">
      <c r="A849" t="str">
        <f t="shared" si="295"/>
        <v>22/01/2026</v>
      </c>
      <c r="B849" t="str">
        <f t="shared" si="298"/>
        <v>ENTRADA</v>
      </c>
      <c r="C849" t="str">
        <f t="shared" si="299"/>
        <v>NFSE</v>
      </c>
      <c r="D849" t="str">
        <f>"113"</f>
        <v>113</v>
      </c>
      <c r="E849" t="str">
        <f t="shared" si="300"/>
        <v>1</v>
      </c>
      <c r="F849" t="str">
        <f t="shared" si="294"/>
        <v>COM</v>
      </c>
      <c r="G849" t="str">
        <f>"PENSE FARMA 27 (10204)"</f>
        <v>PENSE FARMA 27 (10204)</v>
      </c>
      <c r="H849" t="s">
        <v>234</v>
      </c>
      <c r="I849" t="str">
        <f t="shared" si="301"/>
        <v>21/01/2026</v>
      </c>
      <c r="J849" t="str">
        <f t="shared" si="302"/>
        <v>19/01/2026</v>
      </c>
      <c r="K849">
        <v>46044</v>
      </c>
      <c r="N849">
        <v>303</v>
      </c>
      <c r="O849" t="s">
        <v>26</v>
      </c>
      <c r="Q849">
        <v>192.14</v>
      </c>
      <c r="R849" t="str">
        <f>"PENSE FARMA 05 (10200)"</f>
        <v>PENSE FARMA 05 (10200)</v>
      </c>
      <c r="S849" t="s">
        <v>27</v>
      </c>
      <c r="T849">
        <v>4035</v>
      </c>
      <c r="U849">
        <v>3479</v>
      </c>
      <c r="V849" t="s">
        <v>88</v>
      </c>
    </row>
    <row r="850" spans="1:22">
      <c r="A850" t="str">
        <f t="shared" si="295"/>
        <v>22/01/2026</v>
      </c>
      <c r="B850" t="str">
        <f t="shared" si="298"/>
        <v>ENTRADA</v>
      </c>
      <c r="C850" t="str">
        <f t="shared" si="299"/>
        <v>NFSE</v>
      </c>
      <c r="D850" t="str">
        <f>"113"</f>
        <v>113</v>
      </c>
      <c r="E850" t="str">
        <f t="shared" si="300"/>
        <v>1</v>
      </c>
      <c r="F850" t="str">
        <f t="shared" si="294"/>
        <v>COM</v>
      </c>
      <c r="G850" t="str">
        <f>"PENSE FARMA 27 (10204)"</f>
        <v>PENSE FARMA 27 (10204)</v>
      </c>
      <c r="H850" t="s">
        <v>234</v>
      </c>
      <c r="I850" t="str">
        <f t="shared" si="301"/>
        <v>21/01/2026</v>
      </c>
      <c r="J850" t="str">
        <f t="shared" si="302"/>
        <v>19/01/2026</v>
      </c>
      <c r="K850">
        <v>46044</v>
      </c>
      <c r="N850">
        <v>303</v>
      </c>
      <c r="O850" t="s">
        <v>26</v>
      </c>
      <c r="Q850">
        <v>192.13</v>
      </c>
      <c r="R850" t="str">
        <f>"PENSE FARMA 13 (10202)"</f>
        <v>PENSE FARMA 13 (10202)</v>
      </c>
      <c r="S850" t="s">
        <v>27</v>
      </c>
      <c r="T850">
        <v>4035</v>
      </c>
      <c r="U850">
        <v>3479</v>
      </c>
      <c r="V850" t="s">
        <v>88</v>
      </c>
    </row>
    <row r="851" spans="1:22">
      <c r="A851" t="str">
        <f t="shared" si="295"/>
        <v>22/01/2026</v>
      </c>
      <c r="B851" t="str">
        <f t="shared" si="298"/>
        <v>ENTRADA</v>
      </c>
      <c r="C851" t="str">
        <f t="shared" si="299"/>
        <v>NFSE</v>
      </c>
      <c r="D851" t="str">
        <f>"113"</f>
        <v>113</v>
      </c>
      <c r="E851" t="str">
        <f t="shared" si="300"/>
        <v>1</v>
      </c>
      <c r="F851" t="str">
        <f t="shared" si="294"/>
        <v>COM</v>
      </c>
      <c r="G851" t="str">
        <f>"PENSE FARMA 27 (10204)"</f>
        <v>PENSE FARMA 27 (10204)</v>
      </c>
      <c r="H851" t="s">
        <v>234</v>
      </c>
      <c r="I851" t="str">
        <f t="shared" si="301"/>
        <v>21/01/2026</v>
      </c>
      <c r="J851" t="str">
        <f t="shared" si="302"/>
        <v>19/01/2026</v>
      </c>
      <c r="K851">
        <v>46044</v>
      </c>
      <c r="N851">
        <v>303</v>
      </c>
      <c r="O851" t="s">
        <v>26</v>
      </c>
      <c r="Q851">
        <v>193.23</v>
      </c>
      <c r="R851" t="str">
        <f>"PENSE FARMA 27 (10204)"</f>
        <v>PENSE FARMA 27 (10204)</v>
      </c>
      <c r="S851" t="s">
        <v>27</v>
      </c>
      <c r="T851">
        <v>4035</v>
      </c>
      <c r="U851">
        <v>3479</v>
      </c>
      <c r="V851" t="s">
        <v>88</v>
      </c>
    </row>
    <row r="852" spans="1:22">
      <c r="A852" t="str">
        <f t="shared" si="295"/>
        <v>22/01/2026</v>
      </c>
      <c r="B852" t="str">
        <f t="shared" si="298"/>
        <v>ENTRADA</v>
      </c>
      <c r="C852" t="str">
        <f t="shared" si="299"/>
        <v>NFSE</v>
      </c>
      <c r="D852" t="str">
        <f>"114"</f>
        <v>114</v>
      </c>
      <c r="E852" t="str">
        <f t="shared" si="300"/>
        <v>1</v>
      </c>
      <c r="F852" t="str">
        <f t="shared" ref="F852:F883" si="305">"COM"</f>
        <v>COM</v>
      </c>
      <c r="G852" t="str">
        <f>"PENSE FARMA 07 (10201)"</f>
        <v>PENSE FARMA 07 (10201)</v>
      </c>
      <c r="H852" t="str">
        <f>"Serv.Prest. 12/01/2026 a 18/01/2026 - RPS: 2040 - NFSe: 114"</f>
        <v>Serv.Prest. 12/01/2026 a 18/01/2026 - RPS: 2040 - NFSe: 114</v>
      </c>
      <c r="I852" t="str">
        <f t="shared" si="301"/>
        <v>21/01/2026</v>
      </c>
      <c r="J852" t="str">
        <f t="shared" si="302"/>
        <v>19/01/2026</v>
      </c>
      <c r="K852" t="str">
        <f>("22/01/2026")</f>
        <v>22/01/2026</v>
      </c>
      <c r="L852">
        <v>309.75</v>
      </c>
      <c r="M852">
        <v>309.75</v>
      </c>
      <c r="N852">
        <v>303</v>
      </c>
      <c r="O852" t="str">
        <f>"RECEITAS COM ENTREGAS"</f>
        <v>RECEITAS COM ENTREGAS</v>
      </c>
      <c r="P852">
        <v>309.75</v>
      </c>
      <c r="S852" t="str">
        <f>"RECEITAS COM ENTREGAS (303)"</f>
        <v>RECEITAS COM ENTREGAS (303)</v>
      </c>
      <c r="T852">
        <v>4036</v>
      </c>
      <c r="U852">
        <v>3480</v>
      </c>
      <c r="V852" t="s">
        <v>88</v>
      </c>
    </row>
    <row r="853" spans="1:22">
      <c r="A853" t="str">
        <f t="shared" si="295"/>
        <v>22/01/2026</v>
      </c>
      <c r="B853" t="str">
        <f t="shared" si="298"/>
        <v>ENTRADA</v>
      </c>
      <c r="C853" t="str">
        <f t="shared" si="299"/>
        <v>NFSE</v>
      </c>
      <c r="D853" t="str">
        <f>"114"</f>
        <v>114</v>
      </c>
      <c r="E853" t="str">
        <f t="shared" si="300"/>
        <v>1</v>
      </c>
      <c r="F853" t="str">
        <f t="shared" si="305"/>
        <v>COM</v>
      </c>
      <c r="G853" t="str">
        <f>"PENSE FARMA 07 (10201)"</f>
        <v>PENSE FARMA 07 (10201)</v>
      </c>
      <c r="H853" t="s">
        <v>235</v>
      </c>
      <c r="I853" t="str">
        <f t="shared" si="301"/>
        <v>21/01/2026</v>
      </c>
      <c r="J853" t="str">
        <f t="shared" si="302"/>
        <v>19/01/2026</v>
      </c>
      <c r="K853">
        <v>46044</v>
      </c>
      <c r="N853">
        <v>303</v>
      </c>
      <c r="O853" t="s">
        <v>26</v>
      </c>
      <c r="Q853">
        <v>102.9</v>
      </c>
      <c r="R853" t="str">
        <f>"PENSE FARMA 07 (10201)"</f>
        <v>PENSE FARMA 07 (10201)</v>
      </c>
      <c r="S853" t="s">
        <v>27</v>
      </c>
      <c r="T853">
        <v>4036</v>
      </c>
      <c r="U853">
        <v>3480</v>
      </c>
      <c r="V853" t="s">
        <v>88</v>
      </c>
    </row>
    <row r="854" spans="1:22">
      <c r="A854" t="str">
        <f t="shared" si="295"/>
        <v>22/01/2026</v>
      </c>
      <c r="B854" t="str">
        <f t="shared" si="298"/>
        <v>ENTRADA</v>
      </c>
      <c r="C854" t="str">
        <f t="shared" si="299"/>
        <v>NFSE</v>
      </c>
      <c r="D854" t="str">
        <f>"114"</f>
        <v>114</v>
      </c>
      <c r="E854" t="str">
        <f t="shared" si="300"/>
        <v>1</v>
      </c>
      <c r="F854" t="str">
        <f t="shared" si="305"/>
        <v>COM</v>
      </c>
      <c r="G854" t="str">
        <f>"PENSE FARMA 07 (10201)"</f>
        <v>PENSE FARMA 07 (10201)</v>
      </c>
      <c r="H854" t="s">
        <v>235</v>
      </c>
      <c r="I854" t="str">
        <f t="shared" si="301"/>
        <v>21/01/2026</v>
      </c>
      <c r="J854" t="str">
        <f t="shared" si="302"/>
        <v>19/01/2026</v>
      </c>
      <c r="K854">
        <v>46044</v>
      </c>
      <c r="N854">
        <v>303</v>
      </c>
      <c r="O854" t="s">
        <v>26</v>
      </c>
      <c r="Q854">
        <v>102.9</v>
      </c>
      <c r="R854" t="str">
        <f>"PENSE FARMA 45 (10209)"</f>
        <v>PENSE FARMA 45 (10209)</v>
      </c>
      <c r="S854" t="s">
        <v>27</v>
      </c>
      <c r="T854">
        <v>4036</v>
      </c>
      <c r="U854">
        <v>3480</v>
      </c>
      <c r="V854" t="s">
        <v>88</v>
      </c>
    </row>
    <row r="855" spans="1:22">
      <c r="A855" t="str">
        <f t="shared" si="295"/>
        <v>22/01/2026</v>
      </c>
      <c r="B855" t="str">
        <f t="shared" si="298"/>
        <v>ENTRADA</v>
      </c>
      <c r="C855" t="str">
        <f t="shared" si="299"/>
        <v>NFSE</v>
      </c>
      <c r="D855" t="str">
        <f>"114"</f>
        <v>114</v>
      </c>
      <c r="E855" t="str">
        <f t="shared" si="300"/>
        <v>1</v>
      </c>
      <c r="F855" t="str">
        <f t="shared" si="305"/>
        <v>COM</v>
      </c>
      <c r="G855" t="str">
        <f>"PENSE FARMA 07 (10201)"</f>
        <v>PENSE FARMA 07 (10201)</v>
      </c>
      <c r="H855" t="s">
        <v>235</v>
      </c>
      <c r="I855" t="str">
        <f t="shared" si="301"/>
        <v>21/01/2026</v>
      </c>
      <c r="J855" t="str">
        <f t="shared" si="302"/>
        <v>19/01/2026</v>
      </c>
      <c r="K855">
        <v>46044</v>
      </c>
      <c r="N855">
        <v>303</v>
      </c>
      <c r="O855" t="s">
        <v>26</v>
      </c>
      <c r="Q855">
        <v>103.95</v>
      </c>
      <c r="R855" t="str">
        <f>"PENSE FARMA 50 (10210)"</f>
        <v>PENSE FARMA 50 (10210)</v>
      </c>
      <c r="S855" t="s">
        <v>27</v>
      </c>
      <c r="T855">
        <v>4036</v>
      </c>
      <c r="U855">
        <v>3480</v>
      </c>
      <c r="V855" t="s">
        <v>88</v>
      </c>
    </row>
    <row r="856" spans="1:22">
      <c r="A856" t="str">
        <f t="shared" si="295"/>
        <v>22/01/2026</v>
      </c>
      <c r="B856" t="str">
        <f t="shared" si="298"/>
        <v>ENTRADA</v>
      </c>
      <c r="C856" t="str">
        <f t="shared" si="299"/>
        <v>NFSE</v>
      </c>
      <c r="D856" t="str">
        <f>"115"</f>
        <v>115</v>
      </c>
      <c r="E856" t="str">
        <f t="shared" si="300"/>
        <v>1</v>
      </c>
      <c r="F856" t="str">
        <f t="shared" si="305"/>
        <v>COM</v>
      </c>
      <c r="G856" t="str">
        <f>"DROGALIDER 25 (10246)"</f>
        <v>DROGALIDER 25 (10246)</v>
      </c>
      <c r="H856" t="str">
        <f>"Serv.Prest. 12/01/2026 a 18/01/2026 - RPS: 2041 - NFSe: 115"</f>
        <v>Serv.Prest. 12/01/2026 a 18/01/2026 - RPS: 2041 - NFSe: 115</v>
      </c>
      <c r="I856" t="str">
        <f t="shared" si="301"/>
        <v>21/01/2026</v>
      </c>
      <c r="J856" t="str">
        <f t="shared" si="302"/>
        <v>19/01/2026</v>
      </c>
      <c r="K856" t="str">
        <f>("22/01/2026")</f>
        <v>22/01/2026</v>
      </c>
      <c r="L856">
        <v>337.6</v>
      </c>
      <c r="M856">
        <v>337.6</v>
      </c>
      <c r="N856">
        <v>303</v>
      </c>
      <c r="O856" t="str">
        <f>"RECEITAS COM ENTREGAS"</f>
        <v>RECEITAS COM ENTREGAS</v>
      </c>
      <c r="P856">
        <v>337.6</v>
      </c>
      <c r="S856" t="str">
        <f>"RECEITAS COM ENTREGAS (303)"</f>
        <v>RECEITAS COM ENTREGAS (303)</v>
      </c>
      <c r="T856">
        <v>4037</v>
      </c>
      <c r="U856">
        <v>3481</v>
      </c>
      <c r="V856" t="s">
        <v>88</v>
      </c>
    </row>
    <row r="857" spans="1:22">
      <c r="A857" t="str">
        <f t="shared" si="295"/>
        <v>22/01/2026</v>
      </c>
      <c r="B857" t="str">
        <f t="shared" si="298"/>
        <v>ENTRADA</v>
      </c>
      <c r="C857" t="str">
        <f t="shared" si="299"/>
        <v>NFSE</v>
      </c>
      <c r="D857" t="str">
        <f>"115"</f>
        <v>115</v>
      </c>
      <c r="E857" t="str">
        <f t="shared" si="300"/>
        <v>1</v>
      </c>
      <c r="F857" t="str">
        <f t="shared" si="305"/>
        <v>COM</v>
      </c>
      <c r="G857" t="str">
        <f>"DROGALIDER 25 (10246)"</f>
        <v>DROGALIDER 25 (10246)</v>
      </c>
      <c r="H857" t="s">
        <v>236</v>
      </c>
      <c r="I857" t="str">
        <f t="shared" si="301"/>
        <v>21/01/2026</v>
      </c>
      <c r="J857" t="str">
        <f t="shared" si="302"/>
        <v>19/01/2026</v>
      </c>
      <c r="K857">
        <v>46044</v>
      </c>
      <c r="N857">
        <v>303</v>
      </c>
      <c r="O857" t="s">
        <v>26</v>
      </c>
      <c r="Q857">
        <v>76.81</v>
      </c>
      <c r="R857" t="str">
        <f>"DROGALIDER 58 (10213)"</f>
        <v>DROGALIDER 58 (10213)</v>
      </c>
      <c r="S857" t="s">
        <v>27</v>
      </c>
      <c r="T857">
        <v>4037</v>
      </c>
      <c r="U857">
        <v>3481</v>
      </c>
      <c r="V857" t="s">
        <v>88</v>
      </c>
    </row>
    <row r="858" spans="1:22">
      <c r="A858" t="str">
        <f t="shared" ref="A858:A889" si="306">("22/01/2026")</f>
        <v>22/01/2026</v>
      </c>
      <c r="B858" t="str">
        <f t="shared" si="298"/>
        <v>ENTRADA</v>
      </c>
      <c r="C858" t="str">
        <f t="shared" si="299"/>
        <v>NFSE</v>
      </c>
      <c r="D858" t="str">
        <f>"115"</f>
        <v>115</v>
      </c>
      <c r="E858" t="str">
        <f t="shared" si="300"/>
        <v>1</v>
      </c>
      <c r="F858" t="str">
        <f t="shared" si="305"/>
        <v>COM</v>
      </c>
      <c r="G858" t="str">
        <f>"DROGALIDER 25 (10246)"</f>
        <v>DROGALIDER 25 (10246)</v>
      </c>
      <c r="H858" t="s">
        <v>236</v>
      </c>
      <c r="I858" t="str">
        <f t="shared" si="301"/>
        <v>21/01/2026</v>
      </c>
      <c r="J858" t="str">
        <f t="shared" si="302"/>
        <v>19/01/2026</v>
      </c>
      <c r="K858">
        <v>46044</v>
      </c>
      <c r="N858">
        <v>303</v>
      </c>
      <c r="O858" t="s">
        <v>26</v>
      </c>
      <c r="Q858">
        <v>88.01</v>
      </c>
      <c r="R858" t="str">
        <f>"DROGALIDER 25 (10246)"</f>
        <v>DROGALIDER 25 (10246)</v>
      </c>
      <c r="S858" t="s">
        <v>27</v>
      </c>
      <c r="T858">
        <v>4037</v>
      </c>
      <c r="U858">
        <v>3481</v>
      </c>
      <c r="V858" t="s">
        <v>88</v>
      </c>
    </row>
    <row r="859" spans="1:22">
      <c r="A859" t="str">
        <f t="shared" si="306"/>
        <v>22/01/2026</v>
      </c>
      <c r="B859" t="str">
        <f t="shared" si="298"/>
        <v>ENTRADA</v>
      </c>
      <c r="C859" t="str">
        <f t="shared" si="299"/>
        <v>NFSE</v>
      </c>
      <c r="D859" t="str">
        <f>"115"</f>
        <v>115</v>
      </c>
      <c r="E859" t="str">
        <f t="shared" si="300"/>
        <v>1</v>
      </c>
      <c r="F859" t="str">
        <f t="shared" si="305"/>
        <v>COM</v>
      </c>
      <c r="G859" t="str">
        <f>"DROGALIDER 25 (10246)"</f>
        <v>DROGALIDER 25 (10246)</v>
      </c>
      <c r="H859" t="s">
        <v>236</v>
      </c>
      <c r="I859" t="str">
        <f t="shared" si="301"/>
        <v>21/01/2026</v>
      </c>
      <c r="J859" t="str">
        <f t="shared" si="302"/>
        <v>19/01/2026</v>
      </c>
      <c r="K859">
        <v>46044</v>
      </c>
      <c r="N859">
        <v>303</v>
      </c>
      <c r="O859" t="s">
        <v>26</v>
      </c>
      <c r="Q859">
        <v>96.01</v>
      </c>
      <c r="R859" t="str">
        <f>"DROGALIDER 46 (10248)"</f>
        <v>DROGALIDER 46 (10248)</v>
      </c>
      <c r="S859" t="s">
        <v>27</v>
      </c>
      <c r="T859">
        <v>4037</v>
      </c>
      <c r="U859">
        <v>3481</v>
      </c>
      <c r="V859" t="s">
        <v>88</v>
      </c>
    </row>
    <row r="860" spans="1:22">
      <c r="A860" t="str">
        <f t="shared" si="306"/>
        <v>22/01/2026</v>
      </c>
      <c r="B860" t="str">
        <f t="shared" ref="B860:B891" si="307">"ENTRADA"</f>
        <v>ENTRADA</v>
      </c>
      <c r="C860" t="str">
        <f t="shared" ref="C860:C891" si="308">"NFSE"</f>
        <v>NFSE</v>
      </c>
      <c r="D860" t="str">
        <f>"115"</f>
        <v>115</v>
      </c>
      <c r="E860" t="str">
        <f t="shared" ref="E860:E891" si="309">"1"</f>
        <v>1</v>
      </c>
      <c r="F860" t="str">
        <f t="shared" si="305"/>
        <v>COM</v>
      </c>
      <c r="G860" t="str">
        <f>"DROGALIDER 25 (10246)"</f>
        <v>DROGALIDER 25 (10246)</v>
      </c>
      <c r="H860" t="s">
        <v>236</v>
      </c>
      <c r="I860" t="str">
        <f t="shared" ref="I860:I895" si="310">("21/01/2026")</f>
        <v>21/01/2026</v>
      </c>
      <c r="J860" t="str">
        <f t="shared" si="302"/>
        <v>19/01/2026</v>
      </c>
      <c r="K860">
        <v>46044</v>
      </c>
      <c r="N860">
        <v>303</v>
      </c>
      <c r="O860" t="s">
        <v>26</v>
      </c>
      <c r="Q860">
        <v>76.77</v>
      </c>
      <c r="R860" t="str">
        <f>"DROGALIDER 66 (10251)"</f>
        <v>DROGALIDER 66 (10251)</v>
      </c>
      <c r="S860" t="s">
        <v>27</v>
      </c>
      <c r="T860">
        <v>4037</v>
      </c>
      <c r="U860">
        <v>3481</v>
      </c>
      <c r="V860" t="s">
        <v>88</v>
      </c>
    </row>
    <row r="861" spans="1:22">
      <c r="A861" t="str">
        <f t="shared" si="306"/>
        <v>22/01/2026</v>
      </c>
      <c r="B861" t="str">
        <f t="shared" si="307"/>
        <v>ENTRADA</v>
      </c>
      <c r="C861" t="str">
        <f t="shared" si="308"/>
        <v>NFSE</v>
      </c>
      <c r="D861" t="str">
        <f t="shared" ref="D861:D866" si="311">"116"</f>
        <v>116</v>
      </c>
      <c r="E861" t="str">
        <f t="shared" si="309"/>
        <v>1</v>
      </c>
      <c r="F861" t="str">
        <f t="shared" si="305"/>
        <v>COM</v>
      </c>
      <c r="G861" t="str">
        <f t="shared" ref="G861:G866" si="312">"DROGALIDER 31 (10256)"</f>
        <v>DROGALIDER 31 (10256)</v>
      </c>
      <c r="H861" t="str">
        <f>"Serv.Prest. 12/01/2026 a 18/01/2026 - RPS: 2042 - NFSe: 116"</f>
        <v>Serv.Prest. 12/01/2026 a 18/01/2026 - RPS: 2042 - NFSe: 116</v>
      </c>
      <c r="I861" t="str">
        <f t="shared" si="310"/>
        <v>21/01/2026</v>
      </c>
      <c r="J861" t="str">
        <f t="shared" si="302"/>
        <v>19/01/2026</v>
      </c>
      <c r="K861" t="str">
        <f>("22/01/2026")</f>
        <v>22/01/2026</v>
      </c>
      <c r="L861">
        <v>300</v>
      </c>
      <c r="M861">
        <v>300</v>
      </c>
      <c r="N861">
        <v>303</v>
      </c>
      <c r="O861" t="str">
        <f>"RECEITAS COM ENTREGAS"</f>
        <v>RECEITAS COM ENTREGAS</v>
      </c>
      <c r="P861">
        <v>300</v>
      </c>
      <c r="S861" t="str">
        <f>"RECEITAS COM ENTREGAS (303)"</f>
        <v>RECEITAS COM ENTREGAS (303)</v>
      </c>
      <c r="T861">
        <v>4038</v>
      </c>
      <c r="U861">
        <v>3482</v>
      </c>
      <c r="V861" t="s">
        <v>88</v>
      </c>
    </row>
    <row r="862" spans="1:22">
      <c r="A862" t="str">
        <f t="shared" si="306"/>
        <v>22/01/2026</v>
      </c>
      <c r="B862" t="str">
        <f t="shared" si="307"/>
        <v>ENTRADA</v>
      </c>
      <c r="C862" t="str">
        <f t="shared" si="308"/>
        <v>NFSE</v>
      </c>
      <c r="D862" t="str">
        <f t="shared" si="311"/>
        <v>116</v>
      </c>
      <c r="E862" t="str">
        <f t="shared" si="309"/>
        <v>1</v>
      </c>
      <c r="F862" t="str">
        <f t="shared" si="305"/>
        <v>COM</v>
      </c>
      <c r="G862" t="str">
        <f t="shared" si="312"/>
        <v>DROGALIDER 31 (10256)</v>
      </c>
      <c r="H862" t="s">
        <v>237</v>
      </c>
      <c r="I862" t="str">
        <f t="shared" si="310"/>
        <v>21/01/2026</v>
      </c>
      <c r="J862" t="str">
        <f t="shared" si="302"/>
        <v>19/01/2026</v>
      </c>
      <c r="K862">
        <v>46044</v>
      </c>
      <c r="N862">
        <v>303</v>
      </c>
      <c r="O862" t="s">
        <v>26</v>
      </c>
      <c r="Q862">
        <v>49.5</v>
      </c>
      <c r="R862" t="str">
        <f>"DROGALIDER 42 (10247)"</f>
        <v>DROGALIDER 42 (10247)</v>
      </c>
      <c r="S862" t="s">
        <v>27</v>
      </c>
      <c r="T862">
        <v>4038</v>
      </c>
      <c r="U862">
        <v>3482</v>
      </c>
      <c r="V862" t="s">
        <v>88</v>
      </c>
    </row>
    <row r="863" spans="1:22">
      <c r="A863" t="str">
        <f t="shared" si="306"/>
        <v>22/01/2026</v>
      </c>
      <c r="B863" t="str">
        <f t="shared" si="307"/>
        <v>ENTRADA</v>
      </c>
      <c r="C863" t="str">
        <f t="shared" si="308"/>
        <v>NFSE</v>
      </c>
      <c r="D863" t="str">
        <f t="shared" si="311"/>
        <v>116</v>
      </c>
      <c r="E863" t="str">
        <f t="shared" si="309"/>
        <v>1</v>
      </c>
      <c r="F863" t="str">
        <f t="shared" si="305"/>
        <v>COM</v>
      </c>
      <c r="G863" t="str">
        <f t="shared" si="312"/>
        <v>DROGALIDER 31 (10256)</v>
      </c>
      <c r="H863" t="s">
        <v>237</v>
      </c>
      <c r="I863" t="str">
        <f t="shared" si="310"/>
        <v>21/01/2026</v>
      </c>
      <c r="J863" t="str">
        <f t="shared" si="302"/>
        <v>19/01/2026</v>
      </c>
      <c r="K863">
        <v>46044</v>
      </c>
      <c r="N863">
        <v>303</v>
      </c>
      <c r="O863" t="s">
        <v>26</v>
      </c>
      <c r="Q863">
        <v>49.5</v>
      </c>
      <c r="R863" t="str">
        <f>"DROGALIDER 55 (10249)"</f>
        <v>DROGALIDER 55 (10249)</v>
      </c>
      <c r="S863" t="s">
        <v>27</v>
      </c>
      <c r="T863">
        <v>4038</v>
      </c>
      <c r="U863">
        <v>3482</v>
      </c>
      <c r="V863" t="s">
        <v>88</v>
      </c>
    </row>
    <row r="864" spans="1:22">
      <c r="A864" t="str">
        <f t="shared" si="306"/>
        <v>22/01/2026</v>
      </c>
      <c r="B864" t="str">
        <f t="shared" si="307"/>
        <v>ENTRADA</v>
      </c>
      <c r="C864" t="str">
        <f t="shared" si="308"/>
        <v>NFSE</v>
      </c>
      <c r="D864" t="str">
        <f t="shared" si="311"/>
        <v>116</v>
      </c>
      <c r="E864" t="str">
        <f t="shared" si="309"/>
        <v>1</v>
      </c>
      <c r="F864" t="str">
        <f t="shared" si="305"/>
        <v>COM</v>
      </c>
      <c r="G864" t="str">
        <f t="shared" si="312"/>
        <v>DROGALIDER 31 (10256)</v>
      </c>
      <c r="H864" t="s">
        <v>237</v>
      </c>
      <c r="I864" t="str">
        <f t="shared" si="310"/>
        <v>21/01/2026</v>
      </c>
      <c r="J864" t="str">
        <f t="shared" si="302"/>
        <v>19/01/2026</v>
      </c>
      <c r="K864">
        <v>46044</v>
      </c>
      <c r="N864">
        <v>303</v>
      </c>
      <c r="O864" t="s">
        <v>26</v>
      </c>
      <c r="Q864">
        <v>50.25</v>
      </c>
      <c r="R864" t="str">
        <f>"DROGALIDER 67 (10252)"</f>
        <v>DROGALIDER 67 (10252)</v>
      </c>
      <c r="S864" t="s">
        <v>27</v>
      </c>
      <c r="T864">
        <v>4038</v>
      </c>
      <c r="U864">
        <v>3482</v>
      </c>
      <c r="V864" t="s">
        <v>88</v>
      </c>
    </row>
    <row r="865" spans="1:22">
      <c r="A865" t="str">
        <f t="shared" si="306"/>
        <v>22/01/2026</v>
      </c>
      <c r="B865" t="str">
        <f t="shared" si="307"/>
        <v>ENTRADA</v>
      </c>
      <c r="C865" t="str">
        <f t="shared" si="308"/>
        <v>NFSE</v>
      </c>
      <c r="D865" t="str">
        <f t="shared" si="311"/>
        <v>116</v>
      </c>
      <c r="E865" t="str">
        <f t="shared" si="309"/>
        <v>1</v>
      </c>
      <c r="F865" t="str">
        <f t="shared" si="305"/>
        <v>COM</v>
      </c>
      <c r="G865" t="str">
        <f t="shared" si="312"/>
        <v>DROGALIDER 31 (10256)</v>
      </c>
      <c r="H865" t="s">
        <v>237</v>
      </c>
      <c r="I865" t="str">
        <f t="shared" si="310"/>
        <v>21/01/2026</v>
      </c>
      <c r="J865" t="str">
        <f t="shared" si="302"/>
        <v>19/01/2026</v>
      </c>
      <c r="K865">
        <v>46044</v>
      </c>
      <c r="N865">
        <v>303</v>
      </c>
      <c r="O865" t="s">
        <v>26</v>
      </c>
      <c r="Q865">
        <v>59.25</v>
      </c>
      <c r="R865" t="str">
        <f>"DROGALIDER 68 (10253)"</f>
        <v>DROGALIDER 68 (10253)</v>
      </c>
      <c r="S865" t="s">
        <v>27</v>
      </c>
      <c r="T865">
        <v>4038</v>
      </c>
      <c r="U865">
        <v>3482</v>
      </c>
      <c r="V865" t="s">
        <v>88</v>
      </c>
    </row>
    <row r="866" spans="1:22">
      <c r="A866" t="str">
        <f t="shared" si="306"/>
        <v>22/01/2026</v>
      </c>
      <c r="B866" t="str">
        <f t="shared" si="307"/>
        <v>ENTRADA</v>
      </c>
      <c r="C866" t="str">
        <f t="shared" si="308"/>
        <v>NFSE</v>
      </c>
      <c r="D866" t="str">
        <f t="shared" si="311"/>
        <v>116</v>
      </c>
      <c r="E866" t="str">
        <f t="shared" si="309"/>
        <v>1</v>
      </c>
      <c r="F866" t="str">
        <f t="shared" si="305"/>
        <v>COM</v>
      </c>
      <c r="G866" t="str">
        <f t="shared" si="312"/>
        <v>DROGALIDER 31 (10256)</v>
      </c>
      <c r="H866" t="s">
        <v>237</v>
      </c>
      <c r="I866" t="str">
        <f t="shared" si="310"/>
        <v>21/01/2026</v>
      </c>
      <c r="J866" t="str">
        <f t="shared" si="302"/>
        <v>19/01/2026</v>
      </c>
      <c r="K866">
        <v>46044</v>
      </c>
      <c r="N866">
        <v>303</v>
      </c>
      <c r="O866" t="s">
        <v>26</v>
      </c>
      <c r="Q866">
        <v>91.5</v>
      </c>
      <c r="R866" t="str">
        <f>"DROGALIDER 31 (10256)"</f>
        <v>DROGALIDER 31 (10256)</v>
      </c>
      <c r="S866" t="s">
        <v>27</v>
      </c>
      <c r="T866">
        <v>4038</v>
      </c>
      <c r="U866">
        <v>3482</v>
      </c>
      <c r="V866" t="s">
        <v>88</v>
      </c>
    </row>
    <row r="867" spans="1:22">
      <c r="A867" t="str">
        <f t="shared" si="306"/>
        <v>22/01/2026</v>
      </c>
      <c r="B867" t="str">
        <f t="shared" si="307"/>
        <v>ENTRADA</v>
      </c>
      <c r="C867" t="str">
        <f t="shared" si="308"/>
        <v>NFSE</v>
      </c>
      <c r="D867" t="str">
        <f>"120"</f>
        <v>120</v>
      </c>
      <c r="E867" t="str">
        <f t="shared" si="309"/>
        <v>1</v>
      </c>
      <c r="F867" t="str">
        <f t="shared" si="305"/>
        <v>COM</v>
      </c>
      <c r="G867" t="str">
        <f>"DROGARIA AGAPEAMA (10167)"</f>
        <v>DROGARIA AGAPEAMA (10167)</v>
      </c>
      <c r="H867" t="str">
        <f>"Serv.Prest. 12/01/2026 a 18/01/2026 - RPS: 2046 - NFSe: 120"</f>
        <v>Serv.Prest. 12/01/2026 a 18/01/2026 - RPS: 2046 - NFSe: 120</v>
      </c>
      <c r="I867" t="str">
        <f t="shared" si="310"/>
        <v>21/01/2026</v>
      </c>
      <c r="J867" t="str">
        <f t="shared" si="302"/>
        <v>19/01/2026</v>
      </c>
      <c r="K867" t="str">
        <f>("22/01/2026")</f>
        <v>22/01/2026</v>
      </c>
      <c r="L867">
        <v>394.4</v>
      </c>
      <c r="M867">
        <v>394.4</v>
      </c>
      <c r="N867">
        <v>303</v>
      </c>
      <c r="O867" t="str">
        <f>"RECEITAS COM ENTREGAS"</f>
        <v>RECEITAS COM ENTREGAS</v>
      </c>
      <c r="P867">
        <v>394.4</v>
      </c>
      <c r="S867" t="str">
        <f>"RECEITAS COM ENTREGAS (303)"</f>
        <v>RECEITAS COM ENTREGAS (303)</v>
      </c>
      <c r="T867">
        <v>4039</v>
      </c>
      <c r="U867">
        <v>3486</v>
      </c>
      <c r="V867" t="s">
        <v>88</v>
      </c>
    </row>
    <row r="868" spans="1:22">
      <c r="A868" t="str">
        <f t="shared" si="306"/>
        <v>22/01/2026</v>
      </c>
      <c r="B868" t="str">
        <f t="shared" si="307"/>
        <v>ENTRADA</v>
      </c>
      <c r="C868" t="str">
        <f t="shared" si="308"/>
        <v>NFSE</v>
      </c>
      <c r="D868" t="str">
        <f>"120"</f>
        <v>120</v>
      </c>
      <c r="E868" t="str">
        <f t="shared" si="309"/>
        <v>1</v>
      </c>
      <c r="F868" t="str">
        <f t="shared" si="305"/>
        <v>COM</v>
      </c>
      <c r="G868" t="str">
        <f>"DROGARIA AGAPEAMA (10167)"</f>
        <v>DROGARIA AGAPEAMA (10167)</v>
      </c>
      <c r="H868" t="s">
        <v>238</v>
      </c>
      <c r="I868" t="str">
        <f t="shared" si="310"/>
        <v>21/01/2026</v>
      </c>
      <c r="J868" t="str">
        <f t="shared" si="302"/>
        <v>19/01/2026</v>
      </c>
      <c r="K868">
        <v>46044</v>
      </c>
      <c r="N868">
        <v>303</v>
      </c>
      <c r="O868" t="s">
        <v>26</v>
      </c>
      <c r="Q868">
        <v>394.4</v>
      </c>
      <c r="R868" t="str">
        <f>"DROGARIA AGAPEAMA (10167)"</f>
        <v>DROGARIA AGAPEAMA (10167)</v>
      </c>
      <c r="S868" t="s">
        <v>27</v>
      </c>
      <c r="T868">
        <v>4039</v>
      </c>
      <c r="U868">
        <v>3486</v>
      </c>
      <c r="V868" t="s">
        <v>88</v>
      </c>
    </row>
    <row r="869" spans="1:22">
      <c r="A869" t="str">
        <f t="shared" si="306"/>
        <v>22/01/2026</v>
      </c>
      <c r="B869" t="str">
        <f t="shared" si="307"/>
        <v>ENTRADA</v>
      </c>
      <c r="C869" t="str">
        <f t="shared" si="308"/>
        <v>NFSE</v>
      </c>
      <c r="D869" t="str">
        <f>"121"</f>
        <v>121</v>
      </c>
      <c r="E869" t="str">
        <f t="shared" si="309"/>
        <v>1</v>
      </c>
      <c r="F869" t="str">
        <f t="shared" si="305"/>
        <v>COM</v>
      </c>
      <c r="G869" t="str">
        <f>"BELLESE FARMA (10279)"</f>
        <v>BELLESE FARMA (10279)</v>
      </c>
      <c r="H869" t="str">
        <f>"Serv.Prest. 12/01/2026 a 18/01/2026 - RPS: 2047 - NFSe: 121"</f>
        <v>Serv.Prest. 12/01/2026 a 18/01/2026 - RPS: 2047 - NFSe: 121</v>
      </c>
      <c r="I869" t="str">
        <f t="shared" si="310"/>
        <v>21/01/2026</v>
      </c>
      <c r="J869" t="str">
        <f t="shared" si="302"/>
        <v>19/01/2026</v>
      </c>
      <c r="K869" t="str">
        <f>("22/01/2026")</f>
        <v>22/01/2026</v>
      </c>
      <c r="L869">
        <v>150.05000000000001</v>
      </c>
      <c r="M869">
        <v>150.05000000000001</v>
      </c>
      <c r="N869">
        <v>303</v>
      </c>
      <c r="O869" t="str">
        <f>"RECEITAS COM ENTREGAS"</f>
        <v>RECEITAS COM ENTREGAS</v>
      </c>
      <c r="P869">
        <v>150.05000000000001</v>
      </c>
      <c r="S869" t="str">
        <f>"RECEITAS COM ENTREGAS (303)"</f>
        <v>RECEITAS COM ENTREGAS (303)</v>
      </c>
      <c r="T869">
        <v>4040</v>
      </c>
      <c r="U869">
        <v>3487</v>
      </c>
      <c r="V869" t="s">
        <v>88</v>
      </c>
    </row>
    <row r="870" spans="1:22">
      <c r="A870" t="str">
        <f t="shared" si="306"/>
        <v>22/01/2026</v>
      </c>
      <c r="B870" t="str">
        <f t="shared" si="307"/>
        <v>ENTRADA</v>
      </c>
      <c r="C870" t="str">
        <f t="shared" si="308"/>
        <v>NFSE</v>
      </c>
      <c r="D870" t="str">
        <f>"121"</f>
        <v>121</v>
      </c>
      <c r="E870" t="str">
        <f t="shared" si="309"/>
        <v>1</v>
      </c>
      <c r="F870" t="str">
        <f t="shared" si="305"/>
        <v>COM</v>
      </c>
      <c r="G870" t="str">
        <f>"BELLESE FARMA (10279)"</f>
        <v>BELLESE FARMA (10279)</v>
      </c>
      <c r="H870" t="s">
        <v>239</v>
      </c>
      <c r="I870" t="str">
        <f t="shared" si="310"/>
        <v>21/01/2026</v>
      </c>
      <c r="J870" t="str">
        <f t="shared" si="302"/>
        <v>19/01/2026</v>
      </c>
      <c r="K870">
        <v>46044</v>
      </c>
      <c r="N870">
        <v>303</v>
      </c>
      <c r="O870" t="s">
        <v>26</v>
      </c>
      <c r="Q870">
        <v>150.05000000000001</v>
      </c>
      <c r="R870" t="str">
        <f>"BELLESE FARMA (10279)"</f>
        <v>BELLESE FARMA (10279)</v>
      </c>
      <c r="S870" t="s">
        <v>27</v>
      </c>
      <c r="T870">
        <v>4040</v>
      </c>
      <c r="U870">
        <v>3487</v>
      </c>
      <c r="V870" t="s">
        <v>88</v>
      </c>
    </row>
    <row r="871" spans="1:22">
      <c r="A871" t="str">
        <f t="shared" si="306"/>
        <v>22/01/2026</v>
      </c>
      <c r="B871" t="str">
        <f t="shared" si="307"/>
        <v>ENTRADA</v>
      </c>
      <c r="C871" t="str">
        <f t="shared" si="308"/>
        <v>NFSE</v>
      </c>
      <c r="D871" t="str">
        <f>"123"</f>
        <v>123</v>
      </c>
      <c r="E871" t="str">
        <f t="shared" si="309"/>
        <v>1</v>
      </c>
      <c r="F871" t="str">
        <f t="shared" si="305"/>
        <v>COM</v>
      </c>
      <c r="G871" t="str">
        <f>"DROGARIA ANA VISCONDE DO RIO BRANCO (10182)"</f>
        <v>DROGARIA ANA VISCONDE DO RIO BRANCO (10182)</v>
      </c>
      <c r="H871" t="str">
        <f>"Serv.Prest. 12/01/2026 a 18/01/2026 - RPS: 2049 - NFSe: 123"</f>
        <v>Serv.Prest. 12/01/2026 a 18/01/2026 - RPS: 2049 - NFSe: 123</v>
      </c>
      <c r="I871" t="str">
        <f t="shared" si="310"/>
        <v>21/01/2026</v>
      </c>
      <c r="J871" t="str">
        <f t="shared" si="302"/>
        <v>19/01/2026</v>
      </c>
      <c r="K871" t="str">
        <f>("22/01/2026")</f>
        <v>22/01/2026</v>
      </c>
      <c r="L871">
        <v>792.45</v>
      </c>
      <c r="M871">
        <v>792.45</v>
      </c>
      <c r="N871">
        <v>303</v>
      </c>
      <c r="O871" t="str">
        <f>"RECEITAS COM ENTREGAS"</f>
        <v>RECEITAS COM ENTREGAS</v>
      </c>
      <c r="P871">
        <v>792.45</v>
      </c>
      <c r="S871" t="str">
        <f>"RECEITAS COM ENTREGAS (303)"</f>
        <v>RECEITAS COM ENTREGAS (303)</v>
      </c>
      <c r="T871">
        <v>4041</v>
      </c>
      <c r="U871">
        <v>3489</v>
      </c>
      <c r="V871" t="s">
        <v>88</v>
      </c>
    </row>
    <row r="872" spans="1:22">
      <c r="A872" t="str">
        <f t="shared" si="306"/>
        <v>22/01/2026</v>
      </c>
      <c r="B872" t="str">
        <f t="shared" si="307"/>
        <v>ENTRADA</v>
      </c>
      <c r="C872" t="str">
        <f t="shared" si="308"/>
        <v>NFSE</v>
      </c>
      <c r="D872" t="str">
        <f>"123"</f>
        <v>123</v>
      </c>
      <c r="E872" t="str">
        <f t="shared" si="309"/>
        <v>1</v>
      </c>
      <c r="F872" t="str">
        <f t="shared" si="305"/>
        <v>COM</v>
      </c>
      <c r="G872" t="str">
        <f>"DROGARIA ANA VISCONDE DO RIO BRANCO (10182)"</f>
        <v>DROGARIA ANA VISCONDE DO RIO BRANCO (10182)</v>
      </c>
      <c r="H872" t="s">
        <v>240</v>
      </c>
      <c r="I872" t="str">
        <f t="shared" si="310"/>
        <v>21/01/2026</v>
      </c>
      <c r="J872" t="str">
        <f t="shared" si="302"/>
        <v>19/01/2026</v>
      </c>
      <c r="K872">
        <v>46044</v>
      </c>
      <c r="N872">
        <v>303</v>
      </c>
      <c r="O872" t="s">
        <v>26</v>
      </c>
      <c r="Q872">
        <v>792.45</v>
      </c>
      <c r="R872" t="str">
        <f>"DROGARIA ANA VISCONDE DO RIO BRANCO (10182)"</f>
        <v>DROGARIA ANA VISCONDE DO RIO BRANCO (10182)</v>
      </c>
      <c r="S872" t="s">
        <v>27</v>
      </c>
      <c r="T872">
        <v>4041</v>
      </c>
      <c r="U872">
        <v>3489</v>
      </c>
      <c r="V872" t="s">
        <v>88</v>
      </c>
    </row>
    <row r="873" spans="1:22">
      <c r="A873" t="str">
        <f t="shared" si="306"/>
        <v>22/01/2026</v>
      </c>
      <c r="B873" t="str">
        <f t="shared" si="307"/>
        <v>ENTRADA</v>
      </c>
      <c r="C873" t="str">
        <f t="shared" si="308"/>
        <v>NFSE</v>
      </c>
      <c r="D873" t="str">
        <f>"129"</f>
        <v>129</v>
      </c>
      <c r="E873" t="str">
        <f t="shared" si="309"/>
        <v>1</v>
      </c>
      <c r="F873" t="str">
        <f t="shared" si="305"/>
        <v>COM</v>
      </c>
      <c r="G873" t="str">
        <f>"FRAN FARMA (10124)"</f>
        <v>FRAN FARMA (10124)</v>
      </c>
      <c r="H873" t="str">
        <f>"Serv.Prest. 12/01/2026 a 18/01/2026 - RPS: 2055 - NFSe: 129"</f>
        <v>Serv.Prest. 12/01/2026 a 18/01/2026 - RPS: 2055 - NFSe: 129</v>
      </c>
      <c r="I873" t="str">
        <f t="shared" si="310"/>
        <v>21/01/2026</v>
      </c>
      <c r="J873" t="str">
        <f t="shared" ref="J873:J895" si="313">("20/01/2026")</f>
        <v>20/01/2026</v>
      </c>
      <c r="K873" t="str">
        <f>("22/01/2026")</f>
        <v>22/01/2026</v>
      </c>
      <c r="L873">
        <v>114.56</v>
      </c>
      <c r="M873">
        <v>114.56</v>
      </c>
      <c r="N873">
        <v>303</v>
      </c>
      <c r="O873" t="str">
        <f>"RECEITAS COM ENTREGAS"</f>
        <v>RECEITAS COM ENTREGAS</v>
      </c>
      <c r="P873">
        <v>114.56</v>
      </c>
      <c r="S873" t="str">
        <f>"RECEITAS COM ENTREGAS (303)"</f>
        <v>RECEITAS COM ENTREGAS (303)</v>
      </c>
      <c r="T873">
        <v>4042</v>
      </c>
      <c r="U873">
        <v>3495</v>
      </c>
      <c r="V873" t="s">
        <v>88</v>
      </c>
    </row>
    <row r="874" spans="1:22">
      <c r="A874" t="str">
        <f t="shared" si="306"/>
        <v>22/01/2026</v>
      </c>
      <c r="B874" t="str">
        <f t="shared" si="307"/>
        <v>ENTRADA</v>
      </c>
      <c r="C874" t="str">
        <f t="shared" si="308"/>
        <v>NFSE</v>
      </c>
      <c r="D874" t="str">
        <f>"129"</f>
        <v>129</v>
      </c>
      <c r="E874" t="str">
        <f t="shared" si="309"/>
        <v>1</v>
      </c>
      <c r="F874" t="str">
        <f t="shared" si="305"/>
        <v>COM</v>
      </c>
      <c r="G874" t="str">
        <f>"FRAN FARMA (10124)"</f>
        <v>FRAN FARMA (10124)</v>
      </c>
      <c r="H874" t="s">
        <v>241</v>
      </c>
      <c r="I874" t="str">
        <f t="shared" si="310"/>
        <v>21/01/2026</v>
      </c>
      <c r="J874" t="str">
        <f t="shared" si="313"/>
        <v>20/01/2026</v>
      </c>
      <c r="K874">
        <v>46044</v>
      </c>
      <c r="N874">
        <v>303</v>
      </c>
      <c r="O874" t="s">
        <v>26</v>
      </c>
      <c r="Q874">
        <v>114.56</v>
      </c>
      <c r="R874" t="str">
        <f>"FRAN FARMA LJ 2 (10131)"</f>
        <v>FRAN FARMA LJ 2 (10131)</v>
      </c>
      <c r="S874" t="s">
        <v>27</v>
      </c>
      <c r="T874">
        <v>4042</v>
      </c>
      <c r="U874">
        <v>3495</v>
      </c>
      <c r="V874" t="s">
        <v>88</v>
      </c>
    </row>
    <row r="875" spans="1:22">
      <c r="A875" t="str">
        <f t="shared" si="306"/>
        <v>22/01/2026</v>
      </c>
      <c r="B875" t="str">
        <f t="shared" si="307"/>
        <v>ENTRADA</v>
      </c>
      <c r="C875" t="str">
        <f t="shared" si="308"/>
        <v>NFSE</v>
      </c>
      <c r="D875" t="str">
        <f>"130"</f>
        <v>130</v>
      </c>
      <c r="E875" t="str">
        <f t="shared" si="309"/>
        <v>1</v>
      </c>
      <c r="F875" t="str">
        <f t="shared" si="305"/>
        <v>COM</v>
      </c>
      <c r="G875" t="str">
        <f>"DROGARIA TOTAL JUNDIAI (10177)"</f>
        <v>DROGARIA TOTAL JUNDIAI (10177)</v>
      </c>
      <c r="H875" t="str">
        <f>"Serv.Prest. 12/01/2026 a 18/01/2026 - RPS: 2056 - NFSe: 130"</f>
        <v>Serv.Prest. 12/01/2026 a 18/01/2026 - RPS: 2056 - NFSe: 130</v>
      </c>
      <c r="I875" t="str">
        <f t="shared" si="310"/>
        <v>21/01/2026</v>
      </c>
      <c r="J875" t="str">
        <f t="shared" si="313"/>
        <v>20/01/2026</v>
      </c>
      <c r="K875" t="str">
        <f>("22/01/2026")</f>
        <v>22/01/2026</v>
      </c>
      <c r="L875">
        <v>100.27</v>
      </c>
      <c r="M875">
        <v>100.27</v>
      </c>
      <c r="N875">
        <v>303</v>
      </c>
      <c r="O875" t="str">
        <f>"RECEITAS COM ENTREGAS"</f>
        <v>RECEITAS COM ENTREGAS</v>
      </c>
      <c r="P875">
        <v>100.27</v>
      </c>
      <c r="S875" t="str">
        <f>"RECEITAS COM ENTREGAS (303)"</f>
        <v>RECEITAS COM ENTREGAS (303)</v>
      </c>
      <c r="T875">
        <v>4043</v>
      </c>
      <c r="U875">
        <v>3496</v>
      </c>
      <c r="V875" t="s">
        <v>88</v>
      </c>
    </row>
    <row r="876" spans="1:22">
      <c r="A876" t="str">
        <f t="shared" si="306"/>
        <v>22/01/2026</v>
      </c>
      <c r="B876" t="str">
        <f t="shared" si="307"/>
        <v>ENTRADA</v>
      </c>
      <c r="C876" t="str">
        <f t="shared" si="308"/>
        <v>NFSE</v>
      </c>
      <c r="D876" t="str">
        <f>"130"</f>
        <v>130</v>
      </c>
      <c r="E876" t="str">
        <f t="shared" si="309"/>
        <v>1</v>
      </c>
      <c r="F876" t="str">
        <f t="shared" si="305"/>
        <v>COM</v>
      </c>
      <c r="G876" t="str">
        <f>"DROGARIA TOTAL JUNDIAI (10177)"</f>
        <v>DROGARIA TOTAL JUNDIAI (10177)</v>
      </c>
      <c r="H876" t="s">
        <v>242</v>
      </c>
      <c r="I876" t="str">
        <f t="shared" si="310"/>
        <v>21/01/2026</v>
      </c>
      <c r="J876" t="str">
        <f t="shared" si="313"/>
        <v>20/01/2026</v>
      </c>
      <c r="K876">
        <v>46044</v>
      </c>
      <c r="N876">
        <v>303</v>
      </c>
      <c r="O876" t="s">
        <v>26</v>
      </c>
      <c r="Q876">
        <v>100.27</v>
      </c>
      <c r="R876" t="str">
        <f>"DROGARIA TOTAL JUNDIAI (10177)"</f>
        <v>DROGARIA TOTAL JUNDIAI (10177)</v>
      </c>
      <c r="S876" t="s">
        <v>27</v>
      </c>
      <c r="T876">
        <v>4043</v>
      </c>
      <c r="U876">
        <v>3496</v>
      </c>
      <c r="V876" t="s">
        <v>88</v>
      </c>
    </row>
    <row r="877" spans="1:22">
      <c r="A877" t="str">
        <f t="shared" si="306"/>
        <v>22/01/2026</v>
      </c>
      <c r="B877" t="str">
        <f t="shared" si="307"/>
        <v>ENTRADA</v>
      </c>
      <c r="C877" t="str">
        <f t="shared" si="308"/>
        <v>NFSE</v>
      </c>
      <c r="D877" t="str">
        <f>"131"</f>
        <v>131</v>
      </c>
      <c r="E877" t="str">
        <f t="shared" si="309"/>
        <v>1</v>
      </c>
      <c r="F877" t="str">
        <f t="shared" si="305"/>
        <v>COM</v>
      </c>
      <c r="G877" t="str">
        <f>"JAL FARMACIA E DROGARIA LJ 2 (10138)"</f>
        <v>JAL FARMACIA E DROGARIA LJ 2 (10138)</v>
      </c>
      <c r="H877" t="str">
        <f>"Serv.Prest. 12/01/2026 a 18/01/2026 - RPS: 2057 - NFSe: 131"</f>
        <v>Serv.Prest. 12/01/2026 a 18/01/2026 - RPS: 2057 - NFSe: 131</v>
      </c>
      <c r="I877" t="str">
        <f t="shared" si="310"/>
        <v>21/01/2026</v>
      </c>
      <c r="J877" t="str">
        <f t="shared" si="313"/>
        <v>20/01/2026</v>
      </c>
      <c r="K877" t="str">
        <f>("22/01/2026")</f>
        <v>22/01/2026</v>
      </c>
      <c r="L877">
        <v>273</v>
      </c>
      <c r="M877">
        <v>273</v>
      </c>
      <c r="N877">
        <v>303</v>
      </c>
      <c r="O877" t="str">
        <f>"RECEITAS COM ENTREGAS"</f>
        <v>RECEITAS COM ENTREGAS</v>
      </c>
      <c r="P877">
        <v>273</v>
      </c>
      <c r="S877" t="str">
        <f>"RECEITAS COM ENTREGAS (303)"</f>
        <v>RECEITAS COM ENTREGAS (303)</v>
      </c>
      <c r="T877">
        <v>4044</v>
      </c>
      <c r="U877">
        <v>3497</v>
      </c>
      <c r="V877" t="s">
        <v>88</v>
      </c>
    </row>
    <row r="878" spans="1:22">
      <c r="A878" t="str">
        <f t="shared" si="306"/>
        <v>22/01/2026</v>
      </c>
      <c r="B878" t="str">
        <f t="shared" si="307"/>
        <v>ENTRADA</v>
      </c>
      <c r="C878" t="str">
        <f t="shared" si="308"/>
        <v>NFSE</v>
      </c>
      <c r="D878" t="str">
        <f>"131"</f>
        <v>131</v>
      </c>
      <c r="E878" t="str">
        <f t="shared" si="309"/>
        <v>1</v>
      </c>
      <c r="F878" t="str">
        <f t="shared" si="305"/>
        <v>COM</v>
      </c>
      <c r="G878" t="str">
        <f>"JAL FARMACIA E DROGARIA LJ 2 (10138)"</f>
        <v>JAL FARMACIA E DROGARIA LJ 2 (10138)</v>
      </c>
      <c r="H878" t="s">
        <v>243</v>
      </c>
      <c r="I878" t="str">
        <f t="shared" si="310"/>
        <v>21/01/2026</v>
      </c>
      <c r="J878" t="str">
        <f t="shared" si="313"/>
        <v>20/01/2026</v>
      </c>
      <c r="K878">
        <v>46044</v>
      </c>
      <c r="N878">
        <v>303</v>
      </c>
      <c r="O878" t="s">
        <v>26</v>
      </c>
      <c r="Q878">
        <v>273</v>
      </c>
      <c r="R878" t="str">
        <f>"JAL FARMACIA E DROGARIA LJ 2 (10138)"</f>
        <v>JAL FARMACIA E DROGARIA LJ 2 (10138)</v>
      </c>
      <c r="S878" t="s">
        <v>27</v>
      </c>
      <c r="T878">
        <v>4044</v>
      </c>
      <c r="U878">
        <v>3497</v>
      </c>
      <c r="V878" t="s">
        <v>88</v>
      </c>
    </row>
    <row r="879" spans="1:22">
      <c r="A879" t="str">
        <f t="shared" si="306"/>
        <v>22/01/2026</v>
      </c>
      <c r="B879" t="str">
        <f t="shared" si="307"/>
        <v>ENTRADA</v>
      </c>
      <c r="C879" t="str">
        <f t="shared" si="308"/>
        <v>NFSE</v>
      </c>
      <c r="D879" t="str">
        <f>"133"</f>
        <v>133</v>
      </c>
      <c r="E879" t="str">
        <f t="shared" si="309"/>
        <v>1</v>
      </c>
      <c r="F879" t="str">
        <f t="shared" si="305"/>
        <v>COM</v>
      </c>
      <c r="G879" t="str">
        <f>"JAL FARMACIA E DROGARIA LJ 1 (10137)"</f>
        <v>JAL FARMACIA E DROGARIA LJ 1 (10137)</v>
      </c>
      <c r="H879" t="str">
        <f>"Serv.Prest. 12/01/2026 a 18/01/2026 - RPS: 2059 - NFSe: 133"</f>
        <v>Serv.Prest. 12/01/2026 a 18/01/2026 - RPS: 2059 - NFSe: 133</v>
      </c>
      <c r="I879" t="str">
        <f t="shared" si="310"/>
        <v>21/01/2026</v>
      </c>
      <c r="J879" t="str">
        <f t="shared" si="313"/>
        <v>20/01/2026</v>
      </c>
      <c r="K879" t="str">
        <f>("22/01/2026")</f>
        <v>22/01/2026</v>
      </c>
      <c r="L879">
        <v>385.5</v>
      </c>
      <c r="M879">
        <v>385.5</v>
      </c>
      <c r="N879">
        <v>303</v>
      </c>
      <c r="O879" t="str">
        <f>"RECEITAS COM ENTREGAS"</f>
        <v>RECEITAS COM ENTREGAS</v>
      </c>
      <c r="P879">
        <v>385.5</v>
      </c>
      <c r="S879" t="str">
        <f>"RECEITAS COM ENTREGAS (303)"</f>
        <v>RECEITAS COM ENTREGAS (303)</v>
      </c>
      <c r="T879">
        <v>4045</v>
      </c>
      <c r="U879">
        <v>3499</v>
      </c>
      <c r="V879" t="s">
        <v>88</v>
      </c>
    </row>
    <row r="880" spans="1:22">
      <c r="A880" t="str">
        <f t="shared" si="306"/>
        <v>22/01/2026</v>
      </c>
      <c r="B880" t="str">
        <f t="shared" si="307"/>
        <v>ENTRADA</v>
      </c>
      <c r="C880" t="str">
        <f t="shared" si="308"/>
        <v>NFSE</v>
      </c>
      <c r="D880" t="str">
        <f>"133"</f>
        <v>133</v>
      </c>
      <c r="E880" t="str">
        <f t="shared" si="309"/>
        <v>1</v>
      </c>
      <c r="F880" t="str">
        <f t="shared" si="305"/>
        <v>COM</v>
      </c>
      <c r="G880" t="str">
        <f>"JAL FARMACIA E DROGARIA LJ 1 (10137)"</f>
        <v>JAL FARMACIA E DROGARIA LJ 1 (10137)</v>
      </c>
      <c r="H880" t="s">
        <v>244</v>
      </c>
      <c r="I880" t="str">
        <f t="shared" si="310"/>
        <v>21/01/2026</v>
      </c>
      <c r="J880" t="str">
        <f t="shared" si="313"/>
        <v>20/01/2026</v>
      </c>
      <c r="K880">
        <v>46044</v>
      </c>
      <c r="N880">
        <v>303</v>
      </c>
      <c r="O880" t="s">
        <v>26</v>
      </c>
      <c r="Q880">
        <v>385.5</v>
      </c>
      <c r="R880" t="str">
        <f>"JAL FARMACIA E DROGARIA LJ 1 (10137)"</f>
        <v>JAL FARMACIA E DROGARIA LJ 1 (10137)</v>
      </c>
      <c r="S880" t="s">
        <v>27</v>
      </c>
      <c r="T880">
        <v>4045</v>
      </c>
      <c r="U880">
        <v>3499</v>
      </c>
      <c r="V880" t="s">
        <v>88</v>
      </c>
    </row>
    <row r="881" spans="1:22">
      <c r="A881" t="str">
        <f t="shared" si="306"/>
        <v>22/01/2026</v>
      </c>
      <c r="B881" t="str">
        <f t="shared" si="307"/>
        <v>ENTRADA</v>
      </c>
      <c r="C881" t="str">
        <f t="shared" si="308"/>
        <v>NFSE</v>
      </c>
      <c r="D881" t="str">
        <f>"136"</f>
        <v>136</v>
      </c>
      <c r="E881" t="str">
        <f t="shared" si="309"/>
        <v>1</v>
      </c>
      <c r="F881" t="str">
        <f t="shared" si="305"/>
        <v>COM</v>
      </c>
      <c r="G881" t="str">
        <f>"DROGA ELIDA (10121)"</f>
        <v>DROGA ELIDA (10121)</v>
      </c>
      <c r="H881" t="str">
        <f>"Serv.Prest. 12/01/2026 a 18/01/2026 - RPS: 2062 - NFSe: 136"</f>
        <v>Serv.Prest. 12/01/2026 a 18/01/2026 - RPS: 2062 - NFSe: 136</v>
      </c>
      <c r="I881" t="str">
        <f t="shared" si="310"/>
        <v>21/01/2026</v>
      </c>
      <c r="J881" t="str">
        <f t="shared" si="313"/>
        <v>20/01/2026</v>
      </c>
      <c r="K881" t="str">
        <f>("22/01/2026")</f>
        <v>22/01/2026</v>
      </c>
      <c r="L881">
        <v>328.5</v>
      </c>
      <c r="M881">
        <v>328.5</v>
      </c>
      <c r="N881">
        <v>303</v>
      </c>
      <c r="O881" t="str">
        <f>"RECEITAS COM ENTREGAS"</f>
        <v>RECEITAS COM ENTREGAS</v>
      </c>
      <c r="P881">
        <v>328.5</v>
      </c>
      <c r="S881" t="str">
        <f>"RECEITAS COM ENTREGAS (303)"</f>
        <v>RECEITAS COM ENTREGAS (303)</v>
      </c>
      <c r="T881">
        <v>4046</v>
      </c>
      <c r="U881">
        <v>3502</v>
      </c>
      <c r="V881" t="s">
        <v>88</v>
      </c>
    </row>
    <row r="882" spans="1:22">
      <c r="A882" t="str">
        <f t="shared" si="306"/>
        <v>22/01/2026</v>
      </c>
      <c r="B882" t="str">
        <f t="shared" si="307"/>
        <v>ENTRADA</v>
      </c>
      <c r="C882" t="str">
        <f t="shared" si="308"/>
        <v>NFSE</v>
      </c>
      <c r="D882" t="str">
        <f>"136"</f>
        <v>136</v>
      </c>
      <c r="E882" t="str">
        <f t="shared" si="309"/>
        <v>1</v>
      </c>
      <c r="F882" t="str">
        <f t="shared" si="305"/>
        <v>COM</v>
      </c>
      <c r="G882" t="str">
        <f>"DROGA ELIDA (10121)"</f>
        <v>DROGA ELIDA (10121)</v>
      </c>
      <c r="H882" t="s">
        <v>245</v>
      </c>
      <c r="I882" t="str">
        <f t="shared" si="310"/>
        <v>21/01/2026</v>
      </c>
      <c r="J882" t="str">
        <f t="shared" si="313"/>
        <v>20/01/2026</v>
      </c>
      <c r="K882">
        <v>46044</v>
      </c>
      <c r="N882">
        <v>303</v>
      </c>
      <c r="O882" t="s">
        <v>26</v>
      </c>
      <c r="Q882">
        <v>328.5</v>
      </c>
      <c r="R882" t="str">
        <f>"DROGA ELIDA (10121)"</f>
        <v>DROGA ELIDA (10121)</v>
      </c>
      <c r="S882" t="s">
        <v>27</v>
      </c>
      <c r="T882">
        <v>4046</v>
      </c>
      <c r="U882">
        <v>3502</v>
      </c>
      <c r="V882" t="s">
        <v>88</v>
      </c>
    </row>
    <row r="883" spans="1:22">
      <c r="A883" t="str">
        <f t="shared" si="306"/>
        <v>22/01/2026</v>
      </c>
      <c r="B883" t="str">
        <f t="shared" si="307"/>
        <v>ENTRADA</v>
      </c>
      <c r="C883" t="str">
        <f t="shared" si="308"/>
        <v>NFSE</v>
      </c>
      <c r="D883" t="str">
        <f>"137"</f>
        <v>137</v>
      </c>
      <c r="E883" t="str">
        <f t="shared" si="309"/>
        <v>1</v>
      </c>
      <c r="F883" t="str">
        <f t="shared" si="305"/>
        <v>COM</v>
      </c>
      <c r="G883" t="str">
        <f>"DROGARIA NIQUINHO (10257)"</f>
        <v>DROGARIA NIQUINHO (10257)</v>
      </c>
      <c r="H883" t="str">
        <f>"Serv.Prest. 12/01/2026 a 18/01/2026 - RPS: 2063 - NFSe: 137"</f>
        <v>Serv.Prest. 12/01/2026 a 18/01/2026 - RPS: 2063 - NFSe: 137</v>
      </c>
      <c r="I883" t="str">
        <f t="shared" si="310"/>
        <v>21/01/2026</v>
      </c>
      <c r="J883" t="str">
        <f t="shared" si="313"/>
        <v>20/01/2026</v>
      </c>
      <c r="K883" t="str">
        <f>("22/01/2026")</f>
        <v>22/01/2026</v>
      </c>
      <c r="L883">
        <v>267.42</v>
      </c>
      <c r="M883">
        <v>267.42</v>
      </c>
      <c r="N883">
        <v>303</v>
      </c>
      <c r="O883" t="str">
        <f>"RECEITAS COM ENTREGAS"</f>
        <v>RECEITAS COM ENTREGAS</v>
      </c>
      <c r="P883">
        <v>267.42</v>
      </c>
      <c r="S883" t="str">
        <f>"RECEITAS COM ENTREGAS (303)"</f>
        <v>RECEITAS COM ENTREGAS (303)</v>
      </c>
      <c r="T883">
        <v>4047</v>
      </c>
      <c r="U883">
        <v>3503</v>
      </c>
      <c r="V883" t="s">
        <v>88</v>
      </c>
    </row>
    <row r="884" spans="1:22">
      <c r="A884" t="str">
        <f t="shared" si="306"/>
        <v>22/01/2026</v>
      </c>
      <c r="B884" t="str">
        <f t="shared" si="307"/>
        <v>ENTRADA</v>
      </c>
      <c r="C884" t="str">
        <f t="shared" si="308"/>
        <v>NFSE</v>
      </c>
      <c r="D884" t="str">
        <f>"137"</f>
        <v>137</v>
      </c>
      <c r="E884" t="str">
        <f t="shared" si="309"/>
        <v>1</v>
      </c>
      <c r="F884" t="str">
        <f t="shared" ref="F884:F915" si="314">"COM"</f>
        <v>COM</v>
      </c>
      <c r="G884" t="str">
        <f>"DROGARIA NIQUINHO (10257)"</f>
        <v>DROGARIA NIQUINHO (10257)</v>
      </c>
      <c r="H884" t="s">
        <v>246</v>
      </c>
      <c r="I884" t="str">
        <f t="shared" si="310"/>
        <v>21/01/2026</v>
      </c>
      <c r="J884" t="str">
        <f t="shared" si="313"/>
        <v>20/01/2026</v>
      </c>
      <c r="K884">
        <v>46044</v>
      </c>
      <c r="N884">
        <v>303</v>
      </c>
      <c r="O884" t="s">
        <v>26</v>
      </c>
      <c r="Q884">
        <v>267.42</v>
      </c>
      <c r="R884" t="str">
        <f>"DROGARIA NIQUINHO (10257)"</f>
        <v>DROGARIA NIQUINHO (10257)</v>
      </c>
      <c r="S884" t="s">
        <v>27</v>
      </c>
      <c r="T884">
        <v>4047</v>
      </c>
      <c r="U884">
        <v>3503</v>
      </c>
      <c r="V884" t="s">
        <v>88</v>
      </c>
    </row>
    <row r="885" spans="1:22">
      <c r="A885" t="str">
        <f t="shared" si="306"/>
        <v>22/01/2026</v>
      </c>
      <c r="B885" t="str">
        <f t="shared" si="307"/>
        <v>ENTRADA</v>
      </c>
      <c r="C885" t="str">
        <f t="shared" si="308"/>
        <v>NFSE</v>
      </c>
      <c r="D885" t="str">
        <f>"139"</f>
        <v>139</v>
      </c>
      <c r="E885" t="str">
        <f t="shared" si="309"/>
        <v>1</v>
      </c>
      <c r="F885" t="str">
        <f t="shared" si="314"/>
        <v>COM</v>
      </c>
      <c r="G885" t="str">
        <f>"ULTRA POPULAR  UBA 2 (10214)"</f>
        <v>ULTRA POPULAR  UBA 2 (10214)</v>
      </c>
      <c r="H885" t="str">
        <f>"Serv.Prest. 12/01/2026 a 18/01/2026 - RPS: 2065 - NFSe: 139"</f>
        <v>Serv.Prest. 12/01/2026 a 18/01/2026 - RPS: 2065 - NFSe: 139</v>
      </c>
      <c r="I885" t="str">
        <f t="shared" si="310"/>
        <v>21/01/2026</v>
      </c>
      <c r="J885" t="str">
        <f t="shared" si="313"/>
        <v>20/01/2026</v>
      </c>
      <c r="K885" t="str">
        <f>("22/01/2026")</f>
        <v>22/01/2026</v>
      </c>
      <c r="L885">
        <v>107.48</v>
      </c>
      <c r="M885">
        <v>107.48</v>
      </c>
      <c r="N885">
        <v>303</v>
      </c>
      <c r="O885" t="str">
        <f>"RECEITAS COM ENTREGAS"</f>
        <v>RECEITAS COM ENTREGAS</v>
      </c>
      <c r="P885">
        <v>107.48</v>
      </c>
      <c r="S885" t="str">
        <f>"RECEITAS COM ENTREGAS (303)"</f>
        <v>RECEITAS COM ENTREGAS (303)</v>
      </c>
      <c r="T885">
        <v>4048</v>
      </c>
      <c r="U885">
        <v>3505</v>
      </c>
      <c r="V885" t="s">
        <v>88</v>
      </c>
    </row>
    <row r="886" spans="1:22">
      <c r="A886" t="str">
        <f t="shared" si="306"/>
        <v>22/01/2026</v>
      </c>
      <c r="B886" t="str">
        <f t="shared" si="307"/>
        <v>ENTRADA</v>
      </c>
      <c r="C886" t="str">
        <f t="shared" si="308"/>
        <v>NFSE</v>
      </c>
      <c r="D886" t="str">
        <f>"139"</f>
        <v>139</v>
      </c>
      <c r="E886" t="str">
        <f t="shared" si="309"/>
        <v>1</v>
      </c>
      <c r="F886" t="str">
        <f t="shared" si="314"/>
        <v>COM</v>
      </c>
      <c r="G886" t="str">
        <f>"ULTRA POPULAR  UBA 2 (10214)"</f>
        <v>ULTRA POPULAR  UBA 2 (10214)</v>
      </c>
      <c r="H886" t="s">
        <v>247</v>
      </c>
      <c r="I886" t="str">
        <f t="shared" si="310"/>
        <v>21/01/2026</v>
      </c>
      <c r="J886" t="str">
        <f t="shared" si="313"/>
        <v>20/01/2026</v>
      </c>
      <c r="K886">
        <v>46044</v>
      </c>
      <c r="N886">
        <v>303</v>
      </c>
      <c r="O886" t="s">
        <v>26</v>
      </c>
      <c r="Q886">
        <v>71.650000000000006</v>
      </c>
      <c r="R886" t="str">
        <f>"ULTRA POPULAR  UBA 2 (10214)"</f>
        <v>ULTRA POPULAR  UBA 2 (10214)</v>
      </c>
      <c r="S886" t="s">
        <v>27</v>
      </c>
      <c r="T886">
        <v>4048</v>
      </c>
      <c r="U886">
        <v>3505</v>
      </c>
      <c r="V886" t="s">
        <v>88</v>
      </c>
    </row>
    <row r="887" spans="1:22">
      <c r="A887" t="str">
        <f t="shared" si="306"/>
        <v>22/01/2026</v>
      </c>
      <c r="B887" t="str">
        <f t="shared" si="307"/>
        <v>ENTRADA</v>
      </c>
      <c r="C887" t="str">
        <f t="shared" si="308"/>
        <v>NFSE</v>
      </c>
      <c r="D887" t="str">
        <f>"139"</f>
        <v>139</v>
      </c>
      <c r="E887" t="str">
        <f t="shared" si="309"/>
        <v>1</v>
      </c>
      <c r="F887" t="str">
        <f t="shared" si="314"/>
        <v>COM</v>
      </c>
      <c r="G887" t="str">
        <f>"ULTRA POPULAR  UBA 2 (10214)"</f>
        <v>ULTRA POPULAR  UBA 2 (10214)</v>
      </c>
      <c r="H887" t="s">
        <v>247</v>
      </c>
      <c r="I887" t="str">
        <f t="shared" si="310"/>
        <v>21/01/2026</v>
      </c>
      <c r="J887" t="str">
        <f t="shared" si="313"/>
        <v>20/01/2026</v>
      </c>
      <c r="K887">
        <v>46044</v>
      </c>
      <c r="N887">
        <v>303</v>
      </c>
      <c r="O887" t="s">
        <v>26</v>
      </c>
      <c r="Q887">
        <v>35.83</v>
      </c>
      <c r="R887" t="str">
        <f>"UBA 1 (10263)"</f>
        <v>UBA 1 (10263)</v>
      </c>
      <c r="S887" t="s">
        <v>27</v>
      </c>
      <c r="T887">
        <v>4048</v>
      </c>
      <c r="U887">
        <v>3505</v>
      </c>
      <c r="V887" t="s">
        <v>88</v>
      </c>
    </row>
    <row r="888" spans="1:22">
      <c r="A888" t="str">
        <f t="shared" si="306"/>
        <v>22/01/2026</v>
      </c>
      <c r="B888" t="str">
        <f t="shared" si="307"/>
        <v>ENTRADA</v>
      </c>
      <c r="C888" t="str">
        <f t="shared" si="308"/>
        <v>NFSE</v>
      </c>
      <c r="D888" t="str">
        <f>"140"</f>
        <v>140</v>
      </c>
      <c r="E888" t="str">
        <f t="shared" si="309"/>
        <v>1</v>
      </c>
      <c r="F888" t="str">
        <f t="shared" si="314"/>
        <v>COM</v>
      </c>
      <c r="G888" t="str">
        <f>"FARMACIA ECONOMIZE (10103)"</f>
        <v>FARMACIA ECONOMIZE (10103)</v>
      </c>
      <c r="H888" t="str">
        <f>"Serv.Prest. 12/01/2026 a 18/01/2026 - RPS: 2066 - NFSe: 140"</f>
        <v>Serv.Prest. 12/01/2026 a 18/01/2026 - RPS: 2066 - NFSe: 140</v>
      </c>
      <c r="I888" t="str">
        <f t="shared" si="310"/>
        <v>21/01/2026</v>
      </c>
      <c r="J888" t="str">
        <f t="shared" si="313"/>
        <v>20/01/2026</v>
      </c>
      <c r="K888" t="str">
        <f>("22/01/2026")</f>
        <v>22/01/2026</v>
      </c>
      <c r="L888">
        <v>27.32</v>
      </c>
      <c r="M888">
        <v>27.32</v>
      </c>
      <c r="N888">
        <v>303</v>
      </c>
      <c r="O888" t="str">
        <f>"RECEITAS COM ENTREGAS"</f>
        <v>RECEITAS COM ENTREGAS</v>
      </c>
      <c r="P888">
        <v>27.32</v>
      </c>
      <c r="S888" t="str">
        <f>"RECEITAS COM ENTREGAS (303)"</f>
        <v>RECEITAS COM ENTREGAS (303)</v>
      </c>
      <c r="T888">
        <v>4049</v>
      </c>
      <c r="U888">
        <v>3506</v>
      </c>
      <c r="V888" t="s">
        <v>88</v>
      </c>
    </row>
    <row r="889" spans="1:22">
      <c r="A889" t="str">
        <f t="shared" si="306"/>
        <v>22/01/2026</v>
      </c>
      <c r="B889" t="str">
        <f t="shared" si="307"/>
        <v>ENTRADA</v>
      </c>
      <c r="C889" t="str">
        <f t="shared" si="308"/>
        <v>NFSE</v>
      </c>
      <c r="D889" t="str">
        <f>"140"</f>
        <v>140</v>
      </c>
      <c r="E889" t="str">
        <f t="shared" si="309"/>
        <v>1</v>
      </c>
      <c r="F889" t="str">
        <f t="shared" si="314"/>
        <v>COM</v>
      </c>
      <c r="G889" t="str">
        <f>"FARMACIA ECONOMIZE (10103)"</f>
        <v>FARMACIA ECONOMIZE (10103)</v>
      </c>
      <c r="H889" t="s">
        <v>248</v>
      </c>
      <c r="I889" t="str">
        <f t="shared" si="310"/>
        <v>21/01/2026</v>
      </c>
      <c r="J889" t="str">
        <f t="shared" si="313"/>
        <v>20/01/2026</v>
      </c>
      <c r="K889">
        <v>46044</v>
      </c>
      <c r="N889">
        <v>303</v>
      </c>
      <c r="O889" t="s">
        <v>26</v>
      </c>
      <c r="Q889">
        <v>27.32</v>
      </c>
      <c r="R889" t="str">
        <f>"FARMACIA ECONOMIZE (10103)"</f>
        <v>FARMACIA ECONOMIZE (10103)</v>
      </c>
      <c r="S889" t="s">
        <v>27</v>
      </c>
      <c r="T889">
        <v>4049</v>
      </c>
      <c r="U889">
        <v>3506</v>
      </c>
      <c r="V889" t="s">
        <v>88</v>
      </c>
    </row>
    <row r="890" spans="1:22">
      <c r="A890" t="str">
        <f t="shared" ref="A890:A899" si="315">("22/01/2026")</f>
        <v>22/01/2026</v>
      </c>
      <c r="B890" t="str">
        <f t="shared" si="307"/>
        <v>ENTRADA</v>
      </c>
      <c r="C890" t="str">
        <f t="shared" si="308"/>
        <v>NFSE</v>
      </c>
      <c r="D890" t="str">
        <f>"141"</f>
        <v>141</v>
      </c>
      <c r="E890" t="str">
        <f t="shared" si="309"/>
        <v>1</v>
      </c>
      <c r="F890" t="str">
        <f t="shared" si="314"/>
        <v>COM</v>
      </c>
      <c r="G890" t="str">
        <f>"DELTA LOJA 2 (10123)"</f>
        <v>DELTA LOJA 2 (10123)</v>
      </c>
      <c r="H890" t="str">
        <f>"Serv.Prest. 12/01/2026 a 18/01/2026 - RPS: 2067 - NFSe: 141"</f>
        <v>Serv.Prest. 12/01/2026 a 18/01/2026 - RPS: 2067 - NFSe: 141</v>
      </c>
      <c r="I890" t="str">
        <f t="shared" si="310"/>
        <v>21/01/2026</v>
      </c>
      <c r="J890" t="str">
        <f t="shared" si="313"/>
        <v>20/01/2026</v>
      </c>
      <c r="K890" t="str">
        <f>("22/01/2026")</f>
        <v>22/01/2026</v>
      </c>
      <c r="L890">
        <v>820.05</v>
      </c>
      <c r="M890">
        <v>820.05</v>
      </c>
      <c r="N890">
        <v>303</v>
      </c>
      <c r="O890" t="str">
        <f>"RECEITAS COM ENTREGAS"</f>
        <v>RECEITAS COM ENTREGAS</v>
      </c>
      <c r="P890">
        <v>820.05</v>
      </c>
      <c r="S890" t="str">
        <f>"RECEITAS COM ENTREGAS (303)"</f>
        <v>RECEITAS COM ENTREGAS (303)</v>
      </c>
      <c r="T890">
        <v>4050</v>
      </c>
      <c r="U890">
        <v>3507</v>
      </c>
      <c r="V890" t="s">
        <v>88</v>
      </c>
    </row>
    <row r="891" spans="1:22">
      <c r="A891" t="str">
        <f t="shared" si="315"/>
        <v>22/01/2026</v>
      </c>
      <c r="B891" t="str">
        <f t="shared" si="307"/>
        <v>ENTRADA</v>
      </c>
      <c r="C891" t="str">
        <f t="shared" si="308"/>
        <v>NFSE</v>
      </c>
      <c r="D891" t="str">
        <f>"141"</f>
        <v>141</v>
      </c>
      <c r="E891" t="str">
        <f t="shared" si="309"/>
        <v>1</v>
      </c>
      <c r="F891" t="str">
        <f t="shared" si="314"/>
        <v>COM</v>
      </c>
      <c r="G891" t="str">
        <f>"DELTA LOJA 2 (10123)"</f>
        <v>DELTA LOJA 2 (10123)</v>
      </c>
      <c r="H891" t="s">
        <v>249</v>
      </c>
      <c r="I891" t="str">
        <f t="shared" si="310"/>
        <v>21/01/2026</v>
      </c>
      <c r="J891" t="str">
        <f t="shared" si="313"/>
        <v>20/01/2026</v>
      </c>
      <c r="K891">
        <v>46044</v>
      </c>
      <c r="N891">
        <v>303</v>
      </c>
      <c r="O891" t="s">
        <v>26</v>
      </c>
      <c r="Q891">
        <v>820.05</v>
      </c>
      <c r="R891" t="str">
        <f>"DELTA LOJA 2 (10123)"</f>
        <v>DELTA LOJA 2 (10123)</v>
      </c>
      <c r="S891" t="s">
        <v>27</v>
      </c>
      <c r="T891">
        <v>4050</v>
      </c>
      <c r="U891">
        <v>3507</v>
      </c>
      <c r="V891" t="s">
        <v>88</v>
      </c>
    </row>
    <row r="892" spans="1:22">
      <c r="A892" t="str">
        <f t="shared" si="315"/>
        <v>22/01/2026</v>
      </c>
      <c r="B892" t="str">
        <f t="shared" ref="B892:B897" si="316">"ENTRADA"</f>
        <v>ENTRADA</v>
      </c>
      <c r="C892" t="str">
        <f t="shared" ref="C892:C897" si="317">"NFSE"</f>
        <v>NFSE</v>
      </c>
      <c r="D892" t="str">
        <f>"142"</f>
        <v>142</v>
      </c>
      <c r="E892" t="str">
        <f t="shared" ref="E892:E897" si="318">"1"</f>
        <v>1</v>
      </c>
      <c r="F892" t="str">
        <f t="shared" si="314"/>
        <v>COM</v>
      </c>
      <c r="G892" t="str">
        <f>"PENSE FARMA 46 (10194)"</f>
        <v>PENSE FARMA 46 (10194)</v>
      </c>
      <c r="H892" t="str">
        <f>"Serv.Prest. 12/01/2026 a 18/01/2026 - RPS: 2068 - NFSe: 142"</f>
        <v>Serv.Prest. 12/01/2026 a 18/01/2026 - RPS: 2068 - NFSe: 142</v>
      </c>
      <c r="I892" t="str">
        <f t="shared" si="310"/>
        <v>21/01/2026</v>
      </c>
      <c r="J892" t="str">
        <f t="shared" si="313"/>
        <v>20/01/2026</v>
      </c>
      <c r="K892" t="str">
        <f>("22/01/2026")</f>
        <v>22/01/2026</v>
      </c>
      <c r="L892">
        <v>342</v>
      </c>
      <c r="M892">
        <v>342</v>
      </c>
      <c r="N892">
        <v>303</v>
      </c>
      <c r="O892" t="str">
        <f>"RECEITAS COM ENTREGAS"</f>
        <v>RECEITAS COM ENTREGAS</v>
      </c>
      <c r="P892">
        <v>342</v>
      </c>
      <c r="S892" t="str">
        <f>"RECEITAS COM ENTREGAS (303)"</f>
        <v>RECEITAS COM ENTREGAS (303)</v>
      </c>
      <c r="T892">
        <v>4051</v>
      </c>
      <c r="U892">
        <v>3508</v>
      </c>
      <c r="V892" t="s">
        <v>88</v>
      </c>
    </row>
    <row r="893" spans="1:22">
      <c r="A893" t="str">
        <f t="shared" si="315"/>
        <v>22/01/2026</v>
      </c>
      <c r="B893" t="str">
        <f t="shared" si="316"/>
        <v>ENTRADA</v>
      </c>
      <c r="C893" t="str">
        <f t="shared" si="317"/>
        <v>NFSE</v>
      </c>
      <c r="D893" t="str">
        <f>"142"</f>
        <v>142</v>
      </c>
      <c r="E893" t="str">
        <f t="shared" si="318"/>
        <v>1</v>
      </c>
      <c r="F893" t="str">
        <f t="shared" si="314"/>
        <v>COM</v>
      </c>
      <c r="G893" t="str">
        <f>"PENSE FARMA 46 (10194)"</f>
        <v>PENSE FARMA 46 (10194)</v>
      </c>
      <c r="H893" t="s">
        <v>250</v>
      </c>
      <c r="I893" t="str">
        <f t="shared" si="310"/>
        <v>21/01/2026</v>
      </c>
      <c r="J893" t="str">
        <f t="shared" si="313"/>
        <v>20/01/2026</v>
      </c>
      <c r="K893">
        <v>46044</v>
      </c>
      <c r="N893">
        <v>303</v>
      </c>
      <c r="O893" t="s">
        <v>26</v>
      </c>
      <c r="Q893">
        <v>342</v>
      </c>
      <c r="R893" t="str">
        <f>"PENSE FARMA 46 (10194)"</f>
        <v>PENSE FARMA 46 (10194)</v>
      </c>
      <c r="S893" t="s">
        <v>27</v>
      </c>
      <c r="T893">
        <v>4051</v>
      </c>
      <c r="U893">
        <v>3508</v>
      </c>
      <c r="V893" t="s">
        <v>88</v>
      </c>
    </row>
    <row r="894" spans="1:22">
      <c r="A894" t="str">
        <f t="shared" si="315"/>
        <v>22/01/2026</v>
      </c>
      <c r="B894" t="str">
        <f t="shared" si="316"/>
        <v>ENTRADA</v>
      </c>
      <c r="C894" t="str">
        <f t="shared" si="317"/>
        <v>NFSE</v>
      </c>
      <c r="D894" t="str">
        <f>"146"</f>
        <v>146</v>
      </c>
      <c r="E894" t="str">
        <f t="shared" si="318"/>
        <v>1</v>
      </c>
      <c r="F894" t="str">
        <f t="shared" si="314"/>
        <v>COM</v>
      </c>
      <c r="G894" t="str">
        <f>"PENSE FARMA 22 (10198)"</f>
        <v>PENSE FARMA 22 (10198)</v>
      </c>
      <c r="H894" t="str">
        <f>"Serv.Prest. 12/01/2026 a 18/01/2026 - RPS: 2072 - NFSe: 146"</f>
        <v>Serv.Prest. 12/01/2026 a 18/01/2026 - RPS: 2072 - NFSe: 146</v>
      </c>
      <c r="I894" t="str">
        <f t="shared" si="310"/>
        <v>21/01/2026</v>
      </c>
      <c r="J894" t="str">
        <f t="shared" si="313"/>
        <v>20/01/2026</v>
      </c>
      <c r="K894" t="str">
        <f>("22/01/2026")</f>
        <v>22/01/2026</v>
      </c>
      <c r="L894">
        <v>432.73</v>
      </c>
      <c r="M894">
        <v>432.73</v>
      </c>
      <c r="N894">
        <v>303</v>
      </c>
      <c r="O894" t="str">
        <f>"RECEITAS COM ENTREGAS"</f>
        <v>RECEITAS COM ENTREGAS</v>
      </c>
      <c r="P894">
        <v>432.73</v>
      </c>
      <c r="S894" t="str">
        <f>"RECEITAS COM ENTREGAS (303)"</f>
        <v>RECEITAS COM ENTREGAS (303)</v>
      </c>
      <c r="T894">
        <v>4052</v>
      </c>
      <c r="U894">
        <v>3512</v>
      </c>
      <c r="V894" t="s">
        <v>88</v>
      </c>
    </row>
    <row r="895" spans="1:22">
      <c r="A895" t="str">
        <f t="shared" si="315"/>
        <v>22/01/2026</v>
      </c>
      <c r="B895" t="str">
        <f t="shared" si="316"/>
        <v>ENTRADA</v>
      </c>
      <c r="C895" t="str">
        <f t="shared" si="317"/>
        <v>NFSE</v>
      </c>
      <c r="D895" t="str">
        <f>"146"</f>
        <v>146</v>
      </c>
      <c r="E895" t="str">
        <f t="shared" si="318"/>
        <v>1</v>
      </c>
      <c r="F895" t="str">
        <f t="shared" si="314"/>
        <v>COM</v>
      </c>
      <c r="G895" t="str">
        <f>"PENSE FARMA 22 (10198)"</f>
        <v>PENSE FARMA 22 (10198)</v>
      </c>
      <c r="H895" t="s">
        <v>251</v>
      </c>
      <c r="I895" t="str">
        <f t="shared" si="310"/>
        <v>21/01/2026</v>
      </c>
      <c r="J895" t="str">
        <f t="shared" si="313"/>
        <v>20/01/2026</v>
      </c>
      <c r="K895">
        <v>46044</v>
      </c>
      <c r="N895">
        <v>303</v>
      </c>
      <c r="O895" t="s">
        <v>26</v>
      </c>
      <c r="Q895">
        <v>432.73</v>
      </c>
      <c r="R895" t="str">
        <f>"PENSE FARMA 22 (10198)"</f>
        <v>PENSE FARMA 22 (10198)</v>
      </c>
      <c r="S895" t="s">
        <v>27</v>
      </c>
      <c r="T895">
        <v>4052</v>
      </c>
      <c r="U895">
        <v>3512</v>
      </c>
      <c r="V895" t="s">
        <v>88</v>
      </c>
    </row>
    <row r="896" spans="1:22">
      <c r="A896" t="str">
        <f t="shared" si="315"/>
        <v>22/01/2026</v>
      </c>
      <c r="B896" t="str">
        <f t="shared" si="316"/>
        <v>ENTRADA</v>
      </c>
      <c r="C896" t="str">
        <f t="shared" si="317"/>
        <v>NFSE</v>
      </c>
      <c r="D896" t="str">
        <f>"24"</f>
        <v>24</v>
      </c>
      <c r="E896" t="str">
        <f t="shared" si="318"/>
        <v>1</v>
      </c>
      <c r="F896" t="str">
        <f t="shared" si="314"/>
        <v>COM</v>
      </c>
      <c r="G896" t="str">
        <f>"DROGARIA NIQUINHO (10257)"</f>
        <v>DROGARIA NIQUINHO (10257)</v>
      </c>
      <c r="H896" t="str">
        <f>"Serv.Prest. 29/12/2025 a 04/01/2026 - RPS: 1953 - NFSe: 24"</f>
        <v>Serv.Prest. 29/12/2025 a 04/01/2026 - RPS: 1953 - NFSe: 24</v>
      </c>
      <c r="I896" t="str">
        <f>("07/01/2026")</f>
        <v>07/01/2026</v>
      </c>
      <c r="J896" t="str">
        <f>("06/01/2026")</f>
        <v>06/01/2026</v>
      </c>
      <c r="K896" t="str">
        <f>("22/01/2026")</f>
        <v>22/01/2026</v>
      </c>
      <c r="L896">
        <v>264.86</v>
      </c>
      <c r="M896">
        <v>307.23</v>
      </c>
      <c r="N896">
        <v>303</v>
      </c>
      <c r="O896" t="str">
        <f>"RECEITAS COM ENTREGAS"</f>
        <v>RECEITAS COM ENTREGAS</v>
      </c>
      <c r="P896">
        <v>307.23</v>
      </c>
      <c r="S896" t="str">
        <f>"RECEITAS COM ENTREGAS (303)"</f>
        <v>RECEITAS COM ENTREGAS (303)</v>
      </c>
      <c r="T896">
        <v>4097</v>
      </c>
      <c r="U896">
        <v>3263</v>
      </c>
      <c r="V896" t="s">
        <v>88</v>
      </c>
    </row>
    <row r="897" spans="1:22">
      <c r="A897" t="str">
        <f t="shared" si="315"/>
        <v>22/01/2026</v>
      </c>
      <c r="B897" t="str">
        <f t="shared" si="316"/>
        <v>ENTRADA</v>
      </c>
      <c r="C897" t="str">
        <f t="shared" si="317"/>
        <v>NFSE</v>
      </c>
      <c r="D897" t="str">
        <f>"24"</f>
        <v>24</v>
      </c>
      <c r="E897" t="str">
        <f t="shared" si="318"/>
        <v>1</v>
      </c>
      <c r="F897" t="str">
        <f t="shared" si="314"/>
        <v>COM</v>
      </c>
      <c r="G897" t="str">
        <f>"DROGARIA NIQUINHO (10257)"</f>
        <v>DROGARIA NIQUINHO (10257)</v>
      </c>
      <c r="H897" t="s">
        <v>252</v>
      </c>
      <c r="I897" t="str">
        <f>("07/01/2026")</f>
        <v>07/01/2026</v>
      </c>
      <c r="J897" t="str">
        <f>("06/01/2026")</f>
        <v>06/01/2026</v>
      </c>
      <c r="K897">
        <v>46044</v>
      </c>
      <c r="N897">
        <v>303</v>
      </c>
      <c r="O897" t="s">
        <v>26</v>
      </c>
      <c r="Q897">
        <v>307.23</v>
      </c>
      <c r="R897" t="str">
        <f>"DROGARIA NIQUINHO (10257)"</f>
        <v>DROGARIA NIQUINHO (10257)</v>
      </c>
      <c r="S897" t="s">
        <v>27</v>
      </c>
      <c r="T897">
        <v>4097</v>
      </c>
      <c r="U897">
        <v>3263</v>
      </c>
      <c r="V897" t="s">
        <v>88</v>
      </c>
    </row>
    <row r="898" spans="1:22">
      <c r="A898" t="str">
        <f t="shared" si="315"/>
        <v>22/01/2026</v>
      </c>
      <c r="B898" t="str">
        <f>"SAÍDA"</f>
        <v>SAÍDA</v>
      </c>
      <c r="C898" t="str">
        <f>"PIX"</f>
        <v>PIX</v>
      </c>
      <c r="D898" t="str">
        <f>"2201"</f>
        <v>2201</v>
      </c>
      <c r="E898" t="str">
        <f>"26"</f>
        <v>26</v>
      </c>
      <c r="F898" t="str">
        <f t="shared" si="314"/>
        <v>COM</v>
      </c>
      <c r="G898" t="str">
        <f>"LILIANE DE FATIMA REZENDE JUSTINO (20013)"</f>
        <v>LILIANE DE FATIMA REZENDE JUSTINO (20013)</v>
      </c>
      <c r="H898" t="str">
        <f>"DISTRIBUIÇÃO DE LUCROS"</f>
        <v>DISTRIBUIÇÃO DE LUCROS</v>
      </c>
      <c r="I898" t="str">
        <f>("22/01/2026")</f>
        <v>22/01/2026</v>
      </c>
      <c r="J898" t="str">
        <f>("22/01/2026")</f>
        <v>22/01/2026</v>
      </c>
      <c r="K898" t="str">
        <f>("22/01/2026")</f>
        <v>22/01/2026</v>
      </c>
      <c r="L898">
        <v>11666</v>
      </c>
      <c r="M898">
        <v>11666</v>
      </c>
      <c r="N898">
        <v>125</v>
      </c>
      <c r="O898" t="str">
        <f>"DISTRIBUIÇÃO DE LUCRO"</f>
        <v>DISTRIBUIÇÃO DE LUCRO</v>
      </c>
      <c r="P898">
        <v>11666</v>
      </c>
      <c r="S898" t="str">
        <f>"BANCO CORA (102)"</f>
        <v>BANCO CORA (102)</v>
      </c>
      <c r="T898">
        <v>4189</v>
      </c>
      <c r="U898">
        <v>3760</v>
      </c>
      <c r="V898" t="s">
        <v>22</v>
      </c>
    </row>
    <row r="899" spans="1:22">
      <c r="A899" t="str">
        <f t="shared" si="315"/>
        <v>22/01/2026</v>
      </c>
      <c r="B899" t="str">
        <f>"SAÍDA"</f>
        <v>SAÍDA</v>
      </c>
      <c r="C899" t="str">
        <f>"PIX"</f>
        <v>PIX</v>
      </c>
      <c r="D899" t="str">
        <f>"2201"</f>
        <v>2201</v>
      </c>
      <c r="E899" t="str">
        <f>"26"</f>
        <v>26</v>
      </c>
      <c r="F899" t="str">
        <f t="shared" si="314"/>
        <v>COM</v>
      </c>
      <c r="G899" t="str">
        <f>"LILIANE DE FATIMA REZENDE JUSTINO (20013)"</f>
        <v>LILIANE DE FATIMA REZENDE JUSTINO (20013)</v>
      </c>
      <c r="H899" t="s">
        <v>127</v>
      </c>
      <c r="I899" t="str">
        <f>("22/01/2026")</f>
        <v>22/01/2026</v>
      </c>
      <c r="J899" t="str">
        <f>("22/01/2026")</f>
        <v>22/01/2026</v>
      </c>
      <c r="K899">
        <v>46044</v>
      </c>
      <c r="N899">
        <v>125</v>
      </c>
      <c r="O899" t="s">
        <v>128</v>
      </c>
      <c r="Q899">
        <v>11666</v>
      </c>
      <c r="R899" t="str">
        <f>"LILIANE DE FATIMA REZENDE JUSTINO (20013)"</f>
        <v>LILIANE DE FATIMA REZENDE JUSTINO (20013)</v>
      </c>
      <c r="S899" t="s">
        <v>22</v>
      </c>
      <c r="T899">
        <v>4189</v>
      </c>
      <c r="U899">
        <v>3760</v>
      </c>
      <c r="V899" t="s">
        <v>22</v>
      </c>
    </row>
    <row r="900" spans="1:22">
      <c r="A900" t="str">
        <f t="shared" ref="A900:A919" si="319">("23/01/2026")</f>
        <v>23/01/2026</v>
      </c>
      <c r="B900" t="str">
        <f>"SAÍDA"</f>
        <v>SAÍDA</v>
      </c>
      <c r="C900" t="str">
        <f>"PIX"</f>
        <v>PIX</v>
      </c>
      <c r="D900" t="str">
        <f>"23012026"</f>
        <v>23012026</v>
      </c>
      <c r="E900" t="str">
        <f>""</f>
        <v/>
      </c>
      <c r="F900" t="str">
        <f t="shared" si="314"/>
        <v>COM</v>
      </c>
      <c r="G900" t="str">
        <f>"MURILO COZAR (20135)"</f>
        <v>MURILO COZAR (20135)</v>
      </c>
      <c r="H900" t="str">
        <f>"COMISSÃO DE VENDA SETUP FARMÁCIA ROSA - CHAVE PIX: 33821159804"</f>
        <v>COMISSÃO DE VENDA SETUP FARMÁCIA ROSA - CHAVE PIX: 33821159804</v>
      </c>
      <c r="I900" t="str">
        <f>("23/01/2026")</f>
        <v>23/01/2026</v>
      </c>
      <c r="J900" t="str">
        <f>("23/01/2026")</f>
        <v>23/01/2026</v>
      </c>
      <c r="K900" t="str">
        <f>("23/01/2026")</f>
        <v>23/01/2026</v>
      </c>
      <c r="L900">
        <v>1750</v>
      </c>
      <c r="M900">
        <v>1750</v>
      </c>
      <c r="N900">
        <v>126</v>
      </c>
      <c r="O900" t="str">
        <f>"COMISSÕES DE REPRESENTANTES"</f>
        <v>COMISSÕES DE REPRESENTANTES</v>
      </c>
      <c r="P900">
        <v>1750</v>
      </c>
      <c r="S900" t="str">
        <f>"BANCO CORA (102)"</f>
        <v>BANCO CORA (102)</v>
      </c>
      <c r="T900">
        <v>3945</v>
      </c>
      <c r="U900">
        <v>3544</v>
      </c>
      <c r="V900" t="s">
        <v>22</v>
      </c>
    </row>
    <row r="901" spans="1:22">
      <c r="A901" t="str">
        <f t="shared" si="319"/>
        <v>23/01/2026</v>
      </c>
      <c r="B901" t="str">
        <f>"SAÍDA"</f>
        <v>SAÍDA</v>
      </c>
      <c r="C901" t="str">
        <f>"PIX"</f>
        <v>PIX</v>
      </c>
      <c r="D901" t="str">
        <f>"23012026"</f>
        <v>23012026</v>
      </c>
      <c r="E901" t="str">
        <f>""</f>
        <v/>
      </c>
      <c r="F901" t="str">
        <f t="shared" si="314"/>
        <v>COM</v>
      </c>
      <c r="G901" t="str">
        <f>"MURILO COZAR (20135)"</f>
        <v>MURILO COZAR (20135)</v>
      </c>
      <c r="H901" t="s">
        <v>253</v>
      </c>
      <c r="I901" t="str">
        <f>("23/01/2026")</f>
        <v>23/01/2026</v>
      </c>
      <c r="J901" t="str">
        <f>("23/01/2026")</f>
        <v>23/01/2026</v>
      </c>
      <c r="K901">
        <v>46045</v>
      </c>
      <c r="N901">
        <v>126</v>
      </c>
      <c r="O901" t="s">
        <v>193</v>
      </c>
      <c r="Q901">
        <v>1750</v>
      </c>
      <c r="R901" t="str">
        <f>"MURILO COZAR (20135)"</f>
        <v>MURILO COZAR (20135)</v>
      </c>
      <c r="S901" t="s">
        <v>22</v>
      </c>
      <c r="T901">
        <v>3945</v>
      </c>
      <c r="U901">
        <v>3544</v>
      </c>
      <c r="V901" t="s">
        <v>22</v>
      </c>
    </row>
    <row r="902" spans="1:22">
      <c r="A902" t="str">
        <f t="shared" si="319"/>
        <v>23/01/2026</v>
      </c>
      <c r="B902" t="str">
        <f t="shared" ref="B902:B917" si="320">"ENTRADA"</f>
        <v>ENTRADA</v>
      </c>
      <c r="C902" t="str">
        <f t="shared" ref="C902:C917" si="321">"NFSE"</f>
        <v>NFSE</v>
      </c>
      <c r="D902" t="str">
        <f>"125"</f>
        <v>125</v>
      </c>
      <c r="E902" t="str">
        <f t="shared" ref="E902:E917" si="322">"1"</f>
        <v>1</v>
      </c>
      <c r="F902" t="str">
        <f t="shared" si="314"/>
        <v>COM</v>
      </c>
      <c r="G902" t="str">
        <f>"DROGARIA POUPA MINAS (ULTRAMINAS) 3 (10129)"</f>
        <v>DROGARIA POUPA MINAS (ULTRAMINAS) 3 (10129)</v>
      </c>
      <c r="H902" t="str">
        <f>"Serv.Prest. 12/01/2026 a 18/01/2026 - RPS: 2051 - NFSe: 125"</f>
        <v>Serv.Prest. 12/01/2026 a 18/01/2026 - RPS: 2051 - NFSe: 125</v>
      </c>
      <c r="I902" t="str">
        <f>("22/01/2026")</f>
        <v>22/01/2026</v>
      </c>
      <c r="J902" t="str">
        <f>("19/01/2026")</f>
        <v>19/01/2026</v>
      </c>
      <c r="K902" t="str">
        <f>("23/01/2026")</f>
        <v>23/01/2026</v>
      </c>
      <c r="L902">
        <v>171.6</v>
      </c>
      <c r="M902">
        <v>171.6</v>
      </c>
      <c r="N902">
        <v>303</v>
      </c>
      <c r="O902" t="str">
        <f>"RECEITAS COM ENTREGAS"</f>
        <v>RECEITAS COM ENTREGAS</v>
      </c>
      <c r="P902">
        <v>171.6</v>
      </c>
      <c r="S902" t="str">
        <f>"RECEITAS COM ENTREGAS (303)"</f>
        <v>RECEITAS COM ENTREGAS (303)</v>
      </c>
      <c r="T902">
        <v>4053</v>
      </c>
      <c r="U902">
        <v>3491</v>
      </c>
      <c r="V902" t="s">
        <v>88</v>
      </c>
    </row>
    <row r="903" spans="1:22">
      <c r="A903" t="str">
        <f t="shared" si="319"/>
        <v>23/01/2026</v>
      </c>
      <c r="B903" t="str">
        <f t="shared" si="320"/>
        <v>ENTRADA</v>
      </c>
      <c r="C903" t="str">
        <f t="shared" si="321"/>
        <v>NFSE</v>
      </c>
      <c r="D903" t="str">
        <f>"125"</f>
        <v>125</v>
      </c>
      <c r="E903" t="str">
        <f t="shared" si="322"/>
        <v>1</v>
      </c>
      <c r="F903" t="str">
        <f t="shared" si="314"/>
        <v>COM</v>
      </c>
      <c r="G903" t="str">
        <f>"DROGARIA POUPA MINAS (ULTRAMINAS) 3 (10129)"</f>
        <v>DROGARIA POUPA MINAS (ULTRAMINAS) 3 (10129)</v>
      </c>
      <c r="H903" t="s">
        <v>254</v>
      </c>
      <c r="I903" t="str">
        <f>("22/01/2026")</f>
        <v>22/01/2026</v>
      </c>
      <c r="J903" t="str">
        <f>("19/01/2026")</f>
        <v>19/01/2026</v>
      </c>
      <c r="K903">
        <v>46045</v>
      </c>
      <c r="N903">
        <v>303</v>
      </c>
      <c r="O903" t="s">
        <v>26</v>
      </c>
      <c r="Q903">
        <v>171.6</v>
      </c>
      <c r="R903" t="str">
        <f>"DROGARIA POUPA MINAS (ULTRAMINAS) 3 (10129)"</f>
        <v>DROGARIA POUPA MINAS (ULTRAMINAS) 3 (10129)</v>
      </c>
      <c r="S903" t="s">
        <v>27</v>
      </c>
      <c r="T903">
        <v>4053</v>
      </c>
      <c r="U903">
        <v>3491</v>
      </c>
      <c r="V903" t="s">
        <v>88</v>
      </c>
    </row>
    <row r="904" spans="1:22">
      <c r="A904" t="str">
        <f t="shared" si="319"/>
        <v>23/01/2026</v>
      </c>
      <c r="B904" t="str">
        <f t="shared" si="320"/>
        <v>ENTRADA</v>
      </c>
      <c r="C904" t="str">
        <f t="shared" si="321"/>
        <v>NFSE</v>
      </c>
      <c r="D904" t="str">
        <f>"132"</f>
        <v>132</v>
      </c>
      <c r="E904" t="str">
        <f t="shared" si="322"/>
        <v>1</v>
      </c>
      <c r="F904" t="str">
        <f t="shared" si="314"/>
        <v>COM</v>
      </c>
      <c r="G904" t="str">
        <f>"DROGARIA POUPA MINAS (DOIS AMIGOS) 5 (10140)"</f>
        <v>DROGARIA POUPA MINAS (DOIS AMIGOS) 5 (10140)</v>
      </c>
      <c r="H904" t="str">
        <f>"Serv.Prest. 12/01/2026 a 18/01/2026 - RPS: 2058 - NFSe: 132"</f>
        <v>Serv.Prest. 12/01/2026 a 18/01/2026 - RPS: 2058 - NFSe: 132</v>
      </c>
      <c r="I904" t="str">
        <f>("22/01/2026")</f>
        <v>22/01/2026</v>
      </c>
      <c r="J904" t="str">
        <f>("20/01/2026")</f>
        <v>20/01/2026</v>
      </c>
      <c r="K904" t="str">
        <f>("23/01/2026")</f>
        <v>23/01/2026</v>
      </c>
      <c r="L904">
        <v>827.73</v>
      </c>
      <c r="M904">
        <v>827.73</v>
      </c>
      <c r="N904">
        <v>303</v>
      </c>
      <c r="O904" t="str">
        <f>"RECEITAS COM ENTREGAS"</f>
        <v>RECEITAS COM ENTREGAS</v>
      </c>
      <c r="P904">
        <v>827.73</v>
      </c>
      <c r="S904" t="str">
        <f>"RECEITAS COM ENTREGAS (303)"</f>
        <v>RECEITAS COM ENTREGAS (303)</v>
      </c>
      <c r="T904">
        <v>4054</v>
      </c>
      <c r="U904">
        <v>3498</v>
      </c>
      <c r="V904" t="s">
        <v>88</v>
      </c>
    </row>
    <row r="905" spans="1:22">
      <c r="A905" t="str">
        <f t="shared" si="319"/>
        <v>23/01/2026</v>
      </c>
      <c r="B905" t="str">
        <f t="shared" si="320"/>
        <v>ENTRADA</v>
      </c>
      <c r="C905" t="str">
        <f t="shared" si="321"/>
        <v>NFSE</v>
      </c>
      <c r="D905" t="str">
        <f>"132"</f>
        <v>132</v>
      </c>
      <c r="E905" t="str">
        <f t="shared" si="322"/>
        <v>1</v>
      </c>
      <c r="F905" t="str">
        <f t="shared" si="314"/>
        <v>COM</v>
      </c>
      <c r="G905" t="str">
        <f>"DROGARIA POUPA MINAS (DOIS AMIGOS) 5 (10140)"</f>
        <v>DROGARIA POUPA MINAS (DOIS AMIGOS) 5 (10140)</v>
      </c>
      <c r="H905" t="s">
        <v>255</v>
      </c>
      <c r="I905" t="str">
        <f>("22/01/2026")</f>
        <v>22/01/2026</v>
      </c>
      <c r="J905" t="str">
        <f>("20/01/2026")</f>
        <v>20/01/2026</v>
      </c>
      <c r="K905">
        <v>46045</v>
      </c>
      <c r="N905">
        <v>303</v>
      </c>
      <c r="O905" t="s">
        <v>26</v>
      </c>
      <c r="Q905">
        <v>827.73</v>
      </c>
      <c r="R905" t="str">
        <f>"DROGARIA POUPA MINAS (ULTRAMINAS) 1 (10181)"</f>
        <v>DROGARIA POUPA MINAS (ULTRAMINAS) 1 (10181)</v>
      </c>
      <c r="S905" t="s">
        <v>27</v>
      </c>
      <c r="T905">
        <v>4054</v>
      </c>
      <c r="U905">
        <v>3498</v>
      </c>
      <c r="V905" t="s">
        <v>88</v>
      </c>
    </row>
    <row r="906" spans="1:22">
      <c r="A906" t="str">
        <f t="shared" si="319"/>
        <v>23/01/2026</v>
      </c>
      <c r="B906" t="str">
        <f t="shared" si="320"/>
        <v>ENTRADA</v>
      </c>
      <c r="C906" t="str">
        <f t="shared" si="321"/>
        <v>NFSE</v>
      </c>
      <c r="D906" t="str">
        <f>"122"</f>
        <v>122</v>
      </c>
      <c r="E906" t="str">
        <f t="shared" si="322"/>
        <v>1</v>
      </c>
      <c r="F906" t="str">
        <f t="shared" si="314"/>
        <v>COM</v>
      </c>
      <c r="G906" t="str">
        <f>"BRASIL FARMA (10173)"</f>
        <v>BRASIL FARMA (10173)</v>
      </c>
      <c r="H906" t="str">
        <f>"Serv.Prest. 12/01/2026 a 18/01/2026 - RPS: 2048 - NFSe: 122"</f>
        <v>Serv.Prest. 12/01/2026 a 18/01/2026 - RPS: 2048 - NFSe: 122</v>
      </c>
      <c r="I906" t="str">
        <f>("21/01/2026")</f>
        <v>21/01/2026</v>
      </c>
      <c r="J906" t="str">
        <f>("19/01/2026")</f>
        <v>19/01/2026</v>
      </c>
      <c r="K906" t="str">
        <f>("23/01/2026")</f>
        <v>23/01/2026</v>
      </c>
      <c r="L906">
        <v>300.89999999999998</v>
      </c>
      <c r="M906">
        <v>309.91000000000003</v>
      </c>
      <c r="N906">
        <v>303</v>
      </c>
      <c r="O906" t="str">
        <f>"RECEITAS COM ENTREGAS"</f>
        <v>RECEITAS COM ENTREGAS</v>
      </c>
      <c r="P906">
        <v>309.91000000000003</v>
      </c>
      <c r="S906" t="str">
        <f>"RECEITAS COM ENTREGAS (303)"</f>
        <v>RECEITAS COM ENTREGAS (303)</v>
      </c>
      <c r="T906">
        <v>4095</v>
      </c>
      <c r="U906">
        <v>3488</v>
      </c>
      <c r="V906" t="s">
        <v>88</v>
      </c>
    </row>
    <row r="907" spans="1:22">
      <c r="A907" t="str">
        <f t="shared" si="319"/>
        <v>23/01/2026</v>
      </c>
      <c r="B907" t="str">
        <f t="shared" si="320"/>
        <v>ENTRADA</v>
      </c>
      <c r="C907" t="str">
        <f t="shared" si="321"/>
        <v>NFSE</v>
      </c>
      <c r="D907" t="str">
        <f>"122"</f>
        <v>122</v>
      </c>
      <c r="E907" t="str">
        <f t="shared" si="322"/>
        <v>1</v>
      </c>
      <c r="F907" t="str">
        <f t="shared" si="314"/>
        <v>COM</v>
      </c>
      <c r="G907" t="str">
        <f>"BRASIL FARMA (10173)"</f>
        <v>BRASIL FARMA (10173)</v>
      </c>
      <c r="H907" t="s">
        <v>256</v>
      </c>
      <c r="I907" t="str">
        <f>("21/01/2026")</f>
        <v>21/01/2026</v>
      </c>
      <c r="J907" t="str">
        <f>("19/01/2026")</f>
        <v>19/01/2026</v>
      </c>
      <c r="K907">
        <v>46045</v>
      </c>
      <c r="N907">
        <v>303</v>
      </c>
      <c r="O907" t="s">
        <v>26</v>
      </c>
      <c r="Q907">
        <v>309.91000000000003</v>
      </c>
      <c r="R907" t="str">
        <f>"BRASIL FARMA (10173)"</f>
        <v>BRASIL FARMA (10173)</v>
      </c>
      <c r="S907" t="s">
        <v>27</v>
      </c>
      <c r="T907">
        <v>4095</v>
      </c>
      <c r="U907">
        <v>3488</v>
      </c>
      <c r="V907" t="s">
        <v>88</v>
      </c>
    </row>
    <row r="908" spans="1:22">
      <c r="A908" t="str">
        <f t="shared" si="319"/>
        <v>23/01/2026</v>
      </c>
      <c r="B908" t="str">
        <f t="shared" si="320"/>
        <v>ENTRADA</v>
      </c>
      <c r="C908" t="str">
        <f t="shared" si="321"/>
        <v>NFSE</v>
      </c>
      <c r="D908" t="str">
        <f>"27"</f>
        <v>27</v>
      </c>
      <c r="E908" t="str">
        <f t="shared" si="322"/>
        <v>1</v>
      </c>
      <c r="F908" t="str">
        <f t="shared" si="314"/>
        <v>COM</v>
      </c>
      <c r="G908" t="str">
        <f>"DROGARIA VAZ (10179)"</f>
        <v>DROGARIA VAZ (10179)</v>
      </c>
      <c r="H908" t="str">
        <f>"Serv.Prest. 29/12/2025 a 04/01/2026 - RPS: 1956 - NFSe: 27"</f>
        <v>Serv.Prest. 29/12/2025 a 04/01/2026 - RPS: 1956 - NFSe: 27</v>
      </c>
      <c r="I908" t="str">
        <f>("07/01/2026")</f>
        <v>07/01/2026</v>
      </c>
      <c r="J908" t="str">
        <f>("06/01/2026")</f>
        <v>06/01/2026</v>
      </c>
      <c r="K908" t="str">
        <f>("23/01/2026")</f>
        <v>23/01/2026</v>
      </c>
      <c r="L908">
        <v>300.68</v>
      </c>
      <c r="M908">
        <v>351.79</v>
      </c>
      <c r="N908">
        <v>303</v>
      </c>
      <c r="O908" t="str">
        <f>"RECEITAS COM ENTREGAS"</f>
        <v>RECEITAS COM ENTREGAS</v>
      </c>
      <c r="P908">
        <v>351.79</v>
      </c>
      <c r="S908" t="str">
        <f>"RECEITAS COM ENTREGAS (303)"</f>
        <v>RECEITAS COM ENTREGAS (303)</v>
      </c>
      <c r="T908">
        <v>4098</v>
      </c>
      <c r="U908">
        <v>3266</v>
      </c>
      <c r="V908" t="s">
        <v>88</v>
      </c>
    </row>
    <row r="909" spans="1:22">
      <c r="A909" t="str">
        <f t="shared" si="319"/>
        <v>23/01/2026</v>
      </c>
      <c r="B909" t="str">
        <f t="shared" si="320"/>
        <v>ENTRADA</v>
      </c>
      <c r="C909" t="str">
        <f t="shared" si="321"/>
        <v>NFSE</v>
      </c>
      <c r="D909" t="str">
        <f>"27"</f>
        <v>27</v>
      </c>
      <c r="E909" t="str">
        <f t="shared" si="322"/>
        <v>1</v>
      </c>
      <c r="F909" t="str">
        <f t="shared" si="314"/>
        <v>COM</v>
      </c>
      <c r="G909" t="str">
        <f>"DROGARIA VAZ (10179)"</f>
        <v>DROGARIA VAZ (10179)</v>
      </c>
      <c r="H909" t="s">
        <v>257</v>
      </c>
      <c r="I909" t="str">
        <f>("07/01/2026")</f>
        <v>07/01/2026</v>
      </c>
      <c r="J909" t="str">
        <f>("06/01/2026")</f>
        <v>06/01/2026</v>
      </c>
      <c r="K909">
        <v>46045</v>
      </c>
      <c r="N909">
        <v>303</v>
      </c>
      <c r="O909" t="s">
        <v>26</v>
      </c>
      <c r="Q909">
        <v>351.79</v>
      </c>
      <c r="R909" t="str">
        <f>"DROGARIA VAZ (10179)"</f>
        <v>DROGARIA VAZ (10179)</v>
      </c>
      <c r="S909" t="s">
        <v>27</v>
      </c>
      <c r="T909">
        <v>4098</v>
      </c>
      <c r="U909">
        <v>3266</v>
      </c>
      <c r="V909" t="s">
        <v>88</v>
      </c>
    </row>
    <row r="910" spans="1:22">
      <c r="A910" t="str">
        <f t="shared" si="319"/>
        <v>23/01/2026</v>
      </c>
      <c r="B910" t="str">
        <f t="shared" si="320"/>
        <v>ENTRADA</v>
      </c>
      <c r="C910" t="str">
        <f t="shared" si="321"/>
        <v>NFSE</v>
      </c>
      <c r="D910" t="str">
        <f>"128"</f>
        <v>128</v>
      </c>
      <c r="E910" t="str">
        <f t="shared" si="322"/>
        <v>1</v>
      </c>
      <c r="F910" t="str">
        <f t="shared" si="314"/>
        <v>COM</v>
      </c>
      <c r="G910" t="str">
        <f>"ENTREFARMA (10164)"</f>
        <v>ENTREFARMA (10164)</v>
      </c>
      <c r="H910" t="str">
        <f>"Serv.Prest. 12/01/2026 a 18/01/2026 - RPS: 2054 - NFSe: 128"</f>
        <v>Serv.Prest. 12/01/2026 a 18/01/2026 - RPS: 2054 - NFSe: 128</v>
      </c>
      <c r="I910" t="str">
        <f>("21/01/2026")</f>
        <v>21/01/2026</v>
      </c>
      <c r="J910" t="str">
        <f>("20/01/2026")</f>
        <v>20/01/2026</v>
      </c>
      <c r="K910" t="str">
        <f>("23/01/2026")</f>
        <v>23/01/2026</v>
      </c>
      <c r="L910">
        <v>947.33</v>
      </c>
      <c r="M910">
        <v>975.75</v>
      </c>
      <c r="N910">
        <v>303</v>
      </c>
      <c r="O910" t="str">
        <f>"RECEITAS COM ENTREGAS"</f>
        <v>RECEITAS COM ENTREGAS</v>
      </c>
      <c r="P910">
        <v>975.75</v>
      </c>
      <c r="S910" t="str">
        <f>"RECEITAS COM ENTREGAS (303)"</f>
        <v>RECEITAS COM ENTREGAS (303)</v>
      </c>
      <c r="T910">
        <v>4102</v>
      </c>
      <c r="U910">
        <v>3494</v>
      </c>
      <c r="V910" t="s">
        <v>88</v>
      </c>
    </row>
    <row r="911" spans="1:22">
      <c r="A911" t="str">
        <f t="shared" si="319"/>
        <v>23/01/2026</v>
      </c>
      <c r="B911" t="str">
        <f t="shared" si="320"/>
        <v>ENTRADA</v>
      </c>
      <c r="C911" t="str">
        <f t="shared" si="321"/>
        <v>NFSE</v>
      </c>
      <c r="D911" t="str">
        <f>"128"</f>
        <v>128</v>
      </c>
      <c r="E911" t="str">
        <f t="shared" si="322"/>
        <v>1</v>
      </c>
      <c r="F911" t="str">
        <f t="shared" si="314"/>
        <v>COM</v>
      </c>
      <c r="G911" t="str">
        <f>"ENTREFARMA (10164)"</f>
        <v>ENTREFARMA (10164)</v>
      </c>
      <c r="H911" t="s">
        <v>258</v>
      </c>
      <c r="I911" t="str">
        <f>("21/01/2026")</f>
        <v>21/01/2026</v>
      </c>
      <c r="J911" t="str">
        <f>("20/01/2026")</f>
        <v>20/01/2026</v>
      </c>
      <c r="K911">
        <v>46045</v>
      </c>
      <c r="N911">
        <v>303</v>
      </c>
      <c r="O911" t="s">
        <v>26</v>
      </c>
      <c r="Q911">
        <v>975.75</v>
      </c>
      <c r="R911" t="str">
        <f>"ENTREFARMA (10164)"</f>
        <v>ENTREFARMA (10164)</v>
      </c>
      <c r="S911" t="s">
        <v>27</v>
      </c>
      <c r="T911">
        <v>4102</v>
      </c>
      <c r="U911">
        <v>3494</v>
      </c>
      <c r="V911" t="s">
        <v>88</v>
      </c>
    </row>
    <row r="912" spans="1:22">
      <c r="A912" t="str">
        <f t="shared" si="319"/>
        <v>23/01/2026</v>
      </c>
      <c r="B912" t="str">
        <f t="shared" si="320"/>
        <v>ENTRADA</v>
      </c>
      <c r="C912" t="str">
        <f t="shared" si="321"/>
        <v>NFSE</v>
      </c>
      <c r="D912" t="str">
        <f>"148"</f>
        <v>148</v>
      </c>
      <c r="E912" t="str">
        <f t="shared" si="322"/>
        <v>1</v>
      </c>
      <c r="F912" t="str">
        <f t="shared" si="314"/>
        <v>COM</v>
      </c>
      <c r="G912" t="str">
        <f>"FARMALYRA (10272)"</f>
        <v>FARMALYRA (10272)</v>
      </c>
      <c r="H912" t="str">
        <f>"Serv.Prest. 12/01/2026 a 18/01/2026 - RPS: 2074 - NFSe: 148"</f>
        <v>Serv.Prest. 12/01/2026 a 18/01/2026 - RPS: 2074 - NFSe: 148</v>
      </c>
      <c r="I912" t="str">
        <f>("22/01/2026")</f>
        <v>22/01/2026</v>
      </c>
      <c r="J912" t="str">
        <f>("20/01/2026")</f>
        <v>20/01/2026</v>
      </c>
      <c r="K912" t="str">
        <f>("23/01/2026")</f>
        <v>23/01/2026</v>
      </c>
      <c r="L912">
        <v>299.69</v>
      </c>
      <c r="M912">
        <v>299.69</v>
      </c>
      <c r="N912">
        <v>303</v>
      </c>
      <c r="O912" t="str">
        <f>"RECEITAS COM ENTREGAS"</f>
        <v>RECEITAS COM ENTREGAS</v>
      </c>
      <c r="P912">
        <v>299.69</v>
      </c>
      <c r="S912" t="str">
        <f>"RECEITAS COM ENTREGAS (303)"</f>
        <v>RECEITAS COM ENTREGAS (303)</v>
      </c>
      <c r="T912">
        <v>4117</v>
      </c>
      <c r="U912">
        <v>3539</v>
      </c>
      <c r="V912" t="s">
        <v>22</v>
      </c>
    </row>
    <row r="913" spans="1:22">
      <c r="A913" t="str">
        <f t="shared" si="319"/>
        <v>23/01/2026</v>
      </c>
      <c r="B913" t="str">
        <f t="shared" si="320"/>
        <v>ENTRADA</v>
      </c>
      <c r="C913" t="str">
        <f t="shared" si="321"/>
        <v>NFSE</v>
      </c>
      <c r="D913" t="str">
        <f>"148"</f>
        <v>148</v>
      </c>
      <c r="E913" t="str">
        <f t="shared" si="322"/>
        <v>1</v>
      </c>
      <c r="F913" t="str">
        <f t="shared" si="314"/>
        <v>COM</v>
      </c>
      <c r="G913" t="str">
        <f>"FARMALYRA (10272)"</f>
        <v>FARMALYRA (10272)</v>
      </c>
      <c r="H913" t="s">
        <v>259</v>
      </c>
      <c r="I913" t="str">
        <f>("22/01/2026")</f>
        <v>22/01/2026</v>
      </c>
      <c r="J913" t="str">
        <f>("20/01/2026")</f>
        <v>20/01/2026</v>
      </c>
      <c r="K913">
        <v>46045</v>
      </c>
      <c r="N913">
        <v>303</v>
      </c>
      <c r="O913" t="s">
        <v>26</v>
      </c>
      <c r="Q913">
        <v>299.69</v>
      </c>
      <c r="R913" t="str">
        <f>"FARMALYRA (10272)"</f>
        <v>FARMALYRA (10272)</v>
      </c>
      <c r="S913" t="s">
        <v>27</v>
      </c>
      <c r="T913">
        <v>4117</v>
      </c>
      <c r="U913">
        <v>3539</v>
      </c>
      <c r="V913" t="s">
        <v>22</v>
      </c>
    </row>
    <row r="914" spans="1:22">
      <c r="A914" t="str">
        <f t="shared" si="319"/>
        <v>23/01/2026</v>
      </c>
      <c r="B914" t="str">
        <f t="shared" si="320"/>
        <v>ENTRADA</v>
      </c>
      <c r="C914" t="str">
        <f t="shared" si="321"/>
        <v>NFSE</v>
      </c>
      <c r="D914" t="str">
        <f>"100"</f>
        <v>100</v>
      </c>
      <c r="E914" t="str">
        <f t="shared" si="322"/>
        <v>1</v>
      </c>
      <c r="F914" t="str">
        <f t="shared" si="314"/>
        <v>COM</v>
      </c>
      <c r="G914" t="str">
        <f>"FARMALYRA (10272)"</f>
        <v>FARMALYRA (10272)</v>
      </c>
      <c r="H914" t="str">
        <f>"Serv.Prest. 05/01/2026 a 11/01/2026 - RPS: 2026 - NFSe: 100"</f>
        <v>Serv.Prest. 05/01/2026 a 11/01/2026 - RPS: 2026 - NFSe: 100</v>
      </c>
      <c r="I914" t="str">
        <f>("23/01/2026")</f>
        <v>23/01/2026</v>
      </c>
      <c r="J914" t="str">
        <f>("16/01/2026")</f>
        <v>16/01/2026</v>
      </c>
      <c r="K914" t="str">
        <f>("23/01/2026")</f>
        <v>23/01/2026</v>
      </c>
      <c r="L914">
        <v>283.24</v>
      </c>
      <c r="M914">
        <v>283.24</v>
      </c>
      <c r="N914">
        <v>303</v>
      </c>
      <c r="O914" t="str">
        <f>"RECEITAS COM ENTREGAS"</f>
        <v>RECEITAS COM ENTREGAS</v>
      </c>
      <c r="P914">
        <v>283.24</v>
      </c>
      <c r="S914" t="str">
        <f>"RECEITAS COM ENTREGAS (303)"</f>
        <v>RECEITAS COM ENTREGAS (303)</v>
      </c>
      <c r="T914">
        <v>4118</v>
      </c>
      <c r="U914">
        <v>3466</v>
      </c>
      <c r="V914" t="s">
        <v>22</v>
      </c>
    </row>
    <row r="915" spans="1:22">
      <c r="A915" t="str">
        <f t="shared" si="319"/>
        <v>23/01/2026</v>
      </c>
      <c r="B915" t="str">
        <f t="shared" si="320"/>
        <v>ENTRADA</v>
      </c>
      <c r="C915" t="str">
        <f t="shared" si="321"/>
        <v>NFSE</v>
      </c>
      <c r="D915" t="str">
        <f>"100"</f>
        <v>100</v>
      </c>
      <c r="E915" t="str">
        <f t="shared" si="322"/>
        <v>1</v>
      </c>
      <c r="F915" t="str">
        <f t="shared" si="314"/>
        <v>COM</v>
      </c>
      <c r="G915" t="str">
        <f>"FARMALYRA (10272)"</f>
        <v>FARMALYRA (10272)</v>
      </c>
      <c r="H915" t="s">
        <v>260</v>
      </c>
      <c r="I915" t="str">
        <f>("23/01/2026")</f>
        <v>23/01/2026</v>
      </c>
      <c r="J915" t="str">
        <f>("16/01/2026")</f>
        <v>16/01/2026</v>
      </c>
      <c r="K915">
        <v>46045</v>
      </c>
      <c r="N915">
        <v>303</v>
      </c>
      <c r="O915" t="s">
        <v>26</v>
      </c>
      <c r="Q915">
        <v>283.24</v>
      </c>
      <c r="R915" t="str">
        <f>"FARMALYRA (10272)"</f>
        <v>FARMALYRA (10272)</v>
      </c>
      <c r="S915" t="s">
        <v>27</v>
      </c>
      <c r="T915">
        <v>4118</v>
      </c>
      <c r="U915">
        <v>3466</v>
      </c>
      <c r="V915" t="s">
        <v>22</v>
      </c>
    </row>
    <row r="916" spans="1:22">
      <c r="A916" t="str">
        <f t="shared" si="319"/>
        <v>23/01/2026</v>
      </c>
      <c r="B916" t="str">
        <f t="shared" si="320"/>
        <v>ENTRADA</v>
      </c>
      <c r="C916" t="str">
        <f t="shared" si="321"/>
        <v>NFSE</v>
      </c>
      <c r="D916" t="str">
        <f>"151"</f>
        <v>151</v>
      </c>
      <c r="E916" t="str">
        <f t="shared" si="322"/>
        <v>1</v>
      </c>
      <c r="F916" t="str">
        <f t="shared" ref="F916:F925" si="323">"COM"</f>
        <v>COM</v>
      </c>
      <c r="G916" t="str">
        <f>"DROGARIA BEM ESTAR (10193)"</f>
        <v>DROGARIA BEM ESTAR (10193)</v>
      </c>
      <c r="H916" t="str">
        <f>"Serv.Prest. 12/01/2026 a 18/01/2026 - RPS: 2077 - NFSe: 151"</f>
        <v>Serv.Prest. 12/01/2026 a 18/01/2026 - RPS: 2077 - NFSe: 151</v>
      </c>
      <c r="I916" t="str">
        <f>("26/01/2026")</f>
        <v>26/01/2026</v>
      </c>
      <c r="J916" t="str">
        <f>("22/01/2026")</f>
        <v>22/01/2026</v>
      </c>
      <c r="K916" t="str">
        <f>("23/01/2026")</f>
        <v>23/01/2026</v>
      </c>
      <c r="L916">
        <v>243.53</v>
      </c>
      <c r="M916">
        <v>243.53</v>
      </c>
      <c r="N916">
        <v>303</v>
      </c>
      <c r="O916" t="str">
        <f>"RECEITAS COM ENTREGAS"</f>
        <v>RECEITAS COM ENTREGAS</v>
      </c>
      <c r="P916">
        <v>243.53</v>
      </c>
      <c r="S916" t="str">
        <f>"RECEITAS COM ENTREGAS (303)"</f>
        <v>RECEITAS COM ENTREGAS (303)</v>
      </c>
      <c r="T916">
        <v>4119</v>
      </c>
      <c r="U916">
        <v>3543</v>
      </c>
      <c r="V916" t="s">
        <v>22</v>
      </c>
    </row>
    <row r="917" spans="1:22">
      <c r="A917" t="str">
        <f t="shared" si="319"/>
        <v>23/01/2026</v>
      </c>
      <c r="B917" t="str">
        <f t="shared" si="320"/>
        <v>ENTRADA</v>
      </c>
      <c r="C917" t="str">
        <f t="shared" si="321"/>
        <v>NFSE</v>
      </c>
      <c r="D917" t="str">
        <f>"151"</f>
        <v>151</v>
      </c>
      <c r="E917" t="str">
        <f t="shared" si="322"/>
        <v>1</v>
      </c>
      <c r="F917" t="str">
        <f t="shared" si="323"/>
        <v>COM</v>
      </c>
      <c r="G917" t="str">
        <f>"DROGARIA BEM ESTAR (10193)"</f>
        <v>DROGARIA BEM ESTAR (10193)</v>
      </c>
      <c r="H917" t="s">
        <v>261</v>
      </c>
      <c r="I917" t="str">
        <f>("26/01/2026")</f>
        <v>26/01/2026</v>
      </c>
      <c r="J917" t="str">
        <f>("22/01/2026")</f>
        <v>22/01/2026</v>
      </c>
      <c r="K917">
        <v>46045</v>
      </c>
      <c r="N917">
        <v>303</v>
      </c>
      <c r="O917" t="s">
        <v>26</v>
      </c>
      <c r="Q917">
        <v>243.53</v>
      </c>
      <c r="R917" t="str">
        <f>"DROGARIA BEM ESTAR (10193)"</f>
        <v>DROGARIA BEM ESTAR (10193)</v>
      </c>
      <c r="S917" t="s">
        <v>27</v>
      </c>
      <c r="T917">
        <v>4119</v>
      </c>
      <c r="U917">
        <v>3543</v>
      </c>
      <c r="V917" t="s">
        <v>22</v>
      </c>
    </row>
    <row r="918" spans="1:22">
      <c r="A918" t="str">
        <f t="shared" si="319"/>
        <v>23/01/2026</v>
      </c>
      <c r="B918" t="str">
        <f>"SAÍDA"</f>
        <v>SAÍDA</v>
      </c>
      <c r="C918" t="str">
        <f>"BOLETO"</f>
        <v>BOLETO</v>
      </c>
      <c r="D918" t="str">
        <f>"2301"</f>
        <v>2301</v>
      </c>
      <c r="E918" t="str">
        <f>"26"</f>
        <v>26</v>
      </c>
      <c r="F918" t="str">
        <f t="shared" si="323"/>
        <v>COM</v>
      </c>
      <c r="G918" t="str">
        <f>"CORA SOCIEDADE DE CREDITO, FINANCIAMENTO E INVESTIMENTO (20035)"</f>
        <v>CORA SOCIEDADE DE CREDITO, FINANCIAMENTO E INVESTIMENTO (20035)</v>
      </c>
      <c r="H918" t="str">
        <f>"TAXA BOLETO CORA (01x1,7) E (02 X 0,50)"</f>
        <v>TAXA BOLETO CORA (01x1,7) E (02 X 0,50)</v>
      </c>
      <c r="I918" t="str">
        <f>("23/01/2026")</f>
        <v>23/01/2026</v>
      </c>
      <c r="J918" t="str">
        <f>("01/11/2025")</f>
        <v>01/11/2025</v>
      </c>
      <c r="K918" t="str">
        <f>("23/01/2026")</f>
        <v>23/01/2026</v>
      </c>
      <c r="L918">
        <v>2.7</v>
      </c>
      <c r="M918">
        <v>2.7</v>
      </c>
      <c r="N918">
        <v>401</v>
      </c>
      <c r="O918" t="str">
        <f>"IOF/JUROS/DESP.FINANCEIRA"</f>
        <v>IOF/JUROS/DESP.FINANCEIRA</v>
      </c>
      <c r="P918">
        <v>2.7</v>
      </c>
      <c r="S918" t="str">
        <f>"BANCO CORA (102)"</f>
        <v>BANCO CORA (102)</v>
      </c>
      <c r="T918">
        <v>4191</v>
      </c>
      <c r="U918">
        <v>3762</v>
      </c>
      <c r="V918" t="s">
        <v>22</v>
      </c>
    </row>
    <row r="919" spans="1:22">
      <c r="A919" t="str">
        <f t="shared" si="319"/>
        <v>23/01/2026</v>
      </c>
      <c r="B919" t="str">
        <f>"SAÍDA"</f>
        <v>SAÍDA</v>
      </c>
      <c r="C919" t="str">
        <f>"BOLETO"</f>
        <v>BOLETO</v>
      </c>
      <c r="D919" t="str">
        <f>"2301"</f>
        <v>2301</v>
      </c>
      <c r="E919" t="str">
        <f>"26"</f>
        <v>26</v>
      </c>
      <c r="F919" t="str">
        <f t="shared" si="323"/>
        <v>COM</v>
      </c>
      <c r="G919" t="str">
        <f>"CORA SOCIEDADE DE CREDITO, FINANCIAMENTO E INVESTIMENTO (20035)"</f>
        <v>CORA SOCIEDADE DE CREDITO, FINANCIAMENTO E INVESTIMENTO (20035)</v>
      </c>
      <c r="H919" t="s">
        <v>262</v>
      </c>
      <c r="I919" t="str">
        <f>("23/01/2026")</f>
        <v>23/01/2026</v>
      </c>
      <c r="J919" t="str">
        <f>("01/11/2025")</f>
        <v>01/11/2025</v>
      </c>
      <c r="K919">
        <v>46045</v>
      </c>
      <c r="N919">
        <v>401</v>
      </c>
      <c r="O919" t="s">
        <v>58</v>
      </c>
      <c r="Q919">
        <v>2.7</v>
      </c>
      <c r="R919" t="str">
        <f>"CORA SOCIEDADE DE CREDITO, FINANCIAMENTO E INVESTIMENTO (20035)"</f>
        <v>CORA SOCIEDADE DE CREDITO, FINANCIAMENTO E INVESTIMENTO (20035)</v>
      </c>
      <c r="S919" t="s">
        <v>22</v>
      </c>
      <c r="T919">
        <v>4191</v>
      </c>
      <c r="U919">
        <v>3762</v>
      </c>
      <c r="V919" t="s">
        <v>22</v>
      </c>
    </row>
    <row r="920" spans="1:22">
      <c r="A920" t="str">
        <f t="shared" ref="A920:A931" si="324">("26/01/2026")</f>
        <v>26/01/2026</v>
      </c>
      <c r="B920" t="str">
        <f t="shared" ref="B920:B925" si="325">"ENTRADA"</f>
        <v>ENTRADA</v>
      </c>
      <c r="C920" t="str">
        <f t="shared" ref="C920:C925" si="326">"NFSE"</f>
        <v>NFSE</v>
      </c>
      <c r="D920" t="str">
        <f>"90"</f>
        <v>90</v>
      </c>
      <c r="E920" t="str">
        <f t="shared" ref="E920:E925" si="327">"1"</f>
        <v>1</v>
      </c>
      <c r="F920" t="str">
        <f t="shared" si="323"/>
        <v>COM</v>
      </c>
      <c r="G920" t="str">
        <f>"DROGARIA VAZ (10179)"</f>
        <v>DROGARIA VAZ (10179)</v>
      </c>
      <c r="H920" t="str">
        <f>"Serv.Prest. 05/01/2026 a 11/01/2026 - RPS: 2016 - NFSe: 90"</f>
        <v>Serv.Prest. 05/01/2026 a 11/01/2026 - RPS: 2016 - NFSe: 90</v>
      </c>
      <c r="I920" t="str">
        <f>("14/01/2026")</f>
        <v>14/01/2026</v>
      </c>
      <c r="J920" t="str">
        <f>("13/01/2026")</f>
        <v>13/01/2026</v>
      </c>
      <c r="K920" t="str">
        <f>("26/01/2026")</f>
        <v>26/01/2026</v>
      </c>
      <c r="L920">
        <v>374.89</v>
      </c>
      <c r="M920">
        <v>416.12</v>
      </c>
      <c r="N920">
        <v>303</v>
      </c>
      <c r="O920" t="str">
        <f>"RECEITAS COM ENTREGAS"</f>
        <v>RECEITAS COM ENTREGAS</v>
      </c>
      <c r="P920">
        <v>416.12</v>
      </c>
      <c r="S920" t="str">
        <f>"RECEITAS COM ENTREGAS (303)"</f>
        <v>RECEITAS COM ENTREGAS (303)</v>
      </c>
      <c r="T920">
        <v>4099</v>
      </c>
      <c r="U920">
        <v>3371</v>
      </c>
      <c r="V920" t="s">
        <v>88</v>
      </c>
    </row>
    <row r="921" spans="1:22">
      <c r="A921" t="str">
        <f t="shared" si="324"/>
        <v>26/01/2026</v>
      </c>
      <c r="B921" t="str">
        <f t="shared" si="325"/>
        <v>ENTRADA</v>
      </c>
      <c r="C921" t="str">
        <f t="shared" si="326"/>
        <v>NFSE</v>
      </c>
      <c r="D921" t="str">
        <f>"90"</f>
        <v>90</v>
      </c>
      <c r="E921" t="str">
        <f t="shared" si="327"/>
        <v>1</v>
      </c>
      <c r="F921" t="str">
        <f t="shared" si="323"/>
        <v>COM</v>
      </c>
      <c r="G921" t="str">
        <f>"DROGARIA VAZ (10179)"</f>
        <v>DROGARIA VAZ (10179)</v>
      </c>
      <c r="H921" t="s">
        <v>263</v>
      </c>
      <c r="I921" t="str">
        <f>("14/01/2026")</f>
        <v>14/01/2026</v>
      </c>
      <c r="J921" t="str">
        <f>("13/01/2026")</f>
        <v>13/01/2026</v>
      </c>
      <c r="K921">
        <v>46048</v>
      </c>
      <c r="N921">
        <v>303</v>
      </c>
      <c r="O921" t="s">
        <v>26</v>
      </c>
      <c r="Q921">
        <v>416.12</v>
      </c>
      <c r="R921" t="str">
        <f>"DROGARIA VAZ (10179)"</f>
        <v>DROGARIA VAZ (10179)</v>
      </c>
      <c r="S921" t="s">
        <v>27</v>
      </c>
      <c r="T921">
        <v>4099</v>
      </c>
      <c r="U921">
        <v>3371</v>
      </c>
      <c r="V921" t="s">
        <v>88</v>
      </c>
    </row>
    <row r="922" spans="1:22">
      <c r="A922" t="str">
        <f t="shared" si="324"/>
        <v>26/01/2026</v>
      </c>
      <c r="B922" t="str">
        <f t="shared" si="325"/>
        <v>ENTRADA</v>
      </c>
      <c r="C922" t="str">
        <f t="shared" si="326"/>
        <v>NFSE</v>
      </c>
      <c r="D922" t="str">
        <f>"135"</f>
        <v>135</v>
      </c>
      <c r="E922" t="str">
        <f t="shared" si="327"/>
        <v>1</v>
      </c>
      <c r="F922" t="str">
        <f t="shared" si="323"/>
        <v>COM</v>
      </c>
      <c r="G922" t="str">
        <f>"LBL FARMACIA LTDA FILIAL (10192)"</f>
        <v>LBL FARMACIA LTDA FILIAL (10192)</v>
      </c>
      <c r="H922" t="str">
        <f>"Serv.Prest. 12/01/2026 a 18/01/2026 - RPS: 2061 - NFSe: 135"</f>
        <v>Serv.Prest. 12/01/2026 a 18/01/2026 - RPS: 2061 - NFSe: 135</v>
      </c>
      <c r="I922" t="str">
        <f>("21/01/2026")</f>
        <v>21/01/2026</v>
      </c>
      <c r="J922" t="str">
        <f>("20/01/2026")</f>
        <v>20/01/2026</v>
      </c>
      <c r="K922" t="str">
        <f>("26/01/2026")</f>
        <v>26/01/2026</v>
      </c>
      <c r="L922">
        <v>304.5</v>
      </c>
      <c r="M922">
        <v>316.68</v>
      </c>
      <c r="N922">
        <v>303</v>
      </c>
      <c r="O922" t="str">
        <f>"RECEITAS COM ENTREGAS"</f>
        <v>RECEITAS COM ENTREGAS</v>
      </c>
      <c r="P922">
        <v>316.68</v>
      </c>
      <c r="S922" t="str">
        <f>"RECEITAS COM ENTREGAS (303)"</f>
        <v>RECEITAS COM ENTREGAS (303)</v>
      </c>
      <c r="T922">
        <v>4104</v>
      </c>
      <c r="U922">
        <v>3501</v>
      </c>
      <c r="V922" t="s">
        <v>88</v>
      </c>
    </row>
    <row r="923" spans="1:22">
      <c r="A923" t="str">
        <f t="shared" si="324"/>
        <v>26/01/2026</v>
      </c>
      <c r="B923" t="str">
        <f t="shared" si="325"/>
        <v>ENTRADA</v>
      </c>
      <c r="C923" t="str">
        <f t="shared" si="326"/>
        <v>NFSE</v>
      </c>
      <c r="D923" t="str">
        <f>"135"</f>
        <v>135</v>
      </c>
      <c r="E923" t="str">
        <f t="shared" si="327"/>
        <v>1</v>
      </c>
      <c r="F923" t="str">
        <f t="shared" si="323"/>
        <v>COM</v>
      </c>
      <c r="G923" t="str">
        <f>"LBL FARMACIA LTDA FILIAL (10192)"</f>
        <v>LBL FARMACIA LTDA FILIAL (10192)</v>
      </c>
      <c r="H923" t="s">
        <v>264</v>
      </c>
      <c r="I923" t="str">
        <f>("21/01/2026")</f>
        <v>21/01/2026</v>
      </c>
      <c r="J923" t="str">
        <f>("20/01/2026")</f>
        <v>20/01/2026</v>
      </c>
      <c r="K923">
        <v>46048</v>
      </c>
      <c r="N923">
        <v>303</v>
      </c>
      <c r="O923" t="s">
        <v>26</v>
      </c>
      <c r="Q923">
        <v>316.68</v>
      </c>
      <c r="R923" t="str">
        <f>"LBL FARMACIA LTDA FILIAL (10192)"</f>
        <v>LBL FARMACIA LTDA FILIAL (10192)</v>
      </c>
      <c r="S923" t="s">
        <v>27</v>
      </c>
      <c r="T923">
        <v>4104</v>
      </c>
      <c r="U923">
        <v>3501</v>
      </c>
      <c r="V923" t="s">
        <v>88</v>
      </c>
    </row>
    <row r="924" spans="1:22">
      <c r="A924" t="str">
        <f t="shared" si="324"/>
        <v>26/01/2026</v>
      </c>
      <c r="B924" t="str">
        <f t="shared" si="325"/>
        <v>ENTRADA</v>
      </c>
      <c r="C924" t="str">
        <f t="shared" si="326"/>
        <v>NFSE</v>
      </c>
      <c r="D924" t="str">
        <f>"134"</f>
        <v>134</v>
      </c>
      <c r="E924" t="str">
        <f t="shared" si="327"/>
        <v>1</v>
      </c>
      <c r="F924" t="str">
        <f t="shared" si="323"/>
        <v>COM</v>
      </c>
      <c r="G924" t="str">
        <f>"LBL FARMACIA LTDA (10189)"</f>
        <v>LBL FARMACIA LTDA (10189)</v>
      </c>
      <c r="H924" t="str">
        <f>"Serv.Prest. 12/01/2026 a 18/01/2026 - RPS: 2060 - NFSe: 134"</f>
        <v>Serv.Prest. 12/01/2026 a 18/01/2026 - RPS: 2060 - NFSe: 134</v>
      </c>
      <c r="I924" t="str">
        <f>("21/01/2026")</f>
        <v>21/01/2026</v>
      </c>
      <c r="J924" t="str">
        <f>("20/01/2026")</f>
        <v>20/01/2026</v>
      </c>
      <c r="K924" t="str">
        <f>("26/01/2026")</f>
        <v>26/01/2026</v>
      </c>
      <c r="L924">
        <v>150.15</v>
      </c>
      <c r="M924">
        <v>156.15</v>
      </c>
      <c r="N924">
        <v>303</v>
      </c>
      <c r="O924" t="str">
        <f>"RECEITAS COM ENTREGAS"</f>
        <v>RECEITAS COM ENTREGAS</v>
      </c>
      <c r="P924">
        <v>156.15</v>
      </c>
      <c r="S924" t="str">
        <f>"RECEITAS COM ENTREGAS (303)"</f>
        <v>RECEITAS COM ENTREGAS (303)</v>
      </c>
      <c r="T924">
        <v>4105</v>
      </c>
      <c r="U924">
        <v>3500</v>
      </c>
      <c r="V924" t="s">
        <v>88</v>
      </c>
    </row>
    <row r="925" spans="1:22">
      <c r="A925" t="str">
        <f t="shared" si="324"/>
        <v>26/01/2026</v>
      </c>
      <c r="B925" t="str">
        <f t="shared" si="325"/>
        <v>ENTRADA</v>
      </c>
      <c r="C925" t="str">
        <f t="shared" si="326"/>
        <v>NFSE</v>
      </c>
      <c r="D925" t="str">
        <f>"134"</f>
        <v>134</v>
      </c>
      <c r="E925" t="str">
        <f t="shared" si="327"/>
        <v>1</v>
      </c>
      <c r="F925" t="str">
        <f t="shared" si="323"/>
        <v>COM</v>
      </c>
      <c r="G925" t="str">
        <f>"LBL FARMACIA LTDA (10189)"</f>
        <v>LBL FARMACIA LTDA (10189)</v>
      </c>
      <c r="H925" t="s">
        <v>265</v>
      </c>
      <c r="I925" t="str">
        <f>("21/01/2026")</f>
        <v>21/01/2026</v>
      </c>
      <c r="J925" t="str">
        <f>("20/01/2026")</f>
        <v>20/01/2026</v>
      </c>
      <c r="K925">
        <v>46048</v>
      </c>
      <c r="N925">
        <v>303</v>
      </c>
      <c r="O925" t="s">
        <v>26</v>
      </c>
      <c r="Q925">
        <v>156.15</v>
      </c>
      <c r="R925" t="str">
        <f>"LBL FARMACIA LTDA (10189)"</f>
        <v>LBL FARMACIA LTDA (10189)</v>
      </c>
      <c r="S925" t="s">
        <v>27</v>
      </c>
      <c r="T925">
        <v>4105</v>
      </c>
      <c r="U925">
        <v>3500</v>
      </c>
      <c r="V925" t="s">
        <v>88</v>
      </c>
    </row>
    <row r="926" spans="1:22">
      <c r="A926" t="str">
        <f t="shared" si="324"/>
        <v>26/01/2026</v>
      </c>
      <c r="B926" t="str">
        <f t="shared" ref="B926:B933" si="328">"SAÍDA"</f>
        <v>SAÍDA</v>
      </c>
      <c r="C926" t="str">
        <f>"JUROS"</f>
        <v>JUROS</v>
      </c>
      <c r="D926" t="str">
        <f>""</f>
        <v/>
      </c>
      <c r="F926" t="str">
        <f>"CXA"</f>
        <v>CXA</v>
      </c>
      <c r="G926" t="str">
        <f>""</f>
        <v/>
      </c>
      <c r="H926" t="str">
        <f>"MANUTENCAO DE TITULOS"</f>
        <v>MANUTENCAO DE TITULOS</v>
      </c>
      <c r="I926" t="str">
        <f t="shared" ref="I926:K928" si="329">("26/01/2026")</f>
        <v>26/01/2026</v>
      </c>
      <c r="J926" t="str">
        <f t="shared" si="329"/>
        <v>26/01/2026</v>
      </c>
      <c r="K926" t="str">
        <f t="shared" si="329"/>
        <v>26/01/2026</v>
      </c>
      <c r="L926">
        <v>6.5</v>
      </c>
      <c r="M926">
        <v>6.5</v>
      </c>
      <c r="N926">
        <v>401</v>
      </c>
      <c r="O926" t="str">
        <f>"IOF/JUROS/DESP.FINANCEIRA"</f>
        <v>IOF/JUROS/DESP.FINANCEIRA</v>
      </c>
      <c r="P926">
        <v>6.5</v>
      </c>
      <c r="S926" t="str">
        <f>"BANCO SICREDI (131)"</f>
        <v>BANCO SICREDI (131)</v>
      </c>
      <c r="T926">
        <v>4141</v>
      </c>
      <c r="U926">
        <v>0</v>
      </c>
      <c r="V926" t="s">
        <v>54</v>
      </c>
    </row>
    <row r="927" spans="1:22">
      <c r="A927" t="str">
        <f t="shared" si="324"/>
        <v>26/01/2026</v>
      </c>
      <c r="B927" t="str">
        <f t="shared" si="328"/>
        <v>SAÍDA</v>
      </c>
      <c r="C927" t="str">
        <f>"JUROS"</f>
        <v>JUROS</v>
      </c>
      <c r="D927" t="str">
        <f>""</f>
        <v/>
      </c>
      <c r="F927" t="str">
        <f>"CXA"</f>
        <v>CXA</v>
      </c>
      <c r="G927" t="str">
        <f>""</f>
        <v/>
      </c>
      <c r="H927" t="str">
        <f>"TARIFA SERV.COBR.TITULOS"</f>
        <v>TARIFA SERV.COBR.TITULOS</v>
      </c>
      <c r="I927" t="str">
        <f t="shared" si="329"/>
        <v>26/01/2026</v>
      </c>
      <c r="J927" t="str">
        <f t="shared" si="329"/>
        <v>26/01/2026</v>
      </c>
      <c r="K927" t="str">
        <f t="shared" si="329"/>
        <v>26/01/2026</v>
      </c>
      <c r="L927">
        <v>29.19</v>
      </c>
      <c r="M927">
        <v>29.19</v>
      </c>
      <c r="N927">
        <v>401</v>
      </c>
      <c r="O927" t="str">
        <f>"IOF/JUROS/DESP.FINANCEIRA"</f>
        <v>IOF/JUROS/DESP.FINANCEIRA</v>
      </c>
      <c r="P927">
        <v>29.19</v>
      </c>
      <c r="S927" t="str">
        <f>"BANCO SICREDI (131)"</f>
        <v>BANCO SICREDI (131)</v>
      </c>
      <c r="T927">
        <v>4142</v>
      </c>
      <c r="U927">
        <v>0</v>
      </c>
      <c r="V927" t="s">
        <v>54</v>
      </c>
    </row>
    <row r="928" spans="1:22">
      <c r="A928" t="str">
        <f t="shared" si="324"/>
        <v>26/01/2026</v>
      </c>
      <c r="B928" t="str">
        <f t="shared" si="328"/>
        <v>SAÍDA</v>
      </c>
      <c r="C928" t="str">
        <f>"PIX"</f>
        <v>PIX</v>
      </c>
      <c r="D928" t="str">
        <f>"2601"</f>
        <v>2601</v>
      </c>
      <c r="E928" t="str">
        <f>"26"</f>
        <v>26</v>
      </c>
      <c r="F928" t="str">
        <f t="shared" ref="F928:F947" si="330">"COM"</f>
        <v>COM</v>
      </c>
      <c r="G928" t="str">
        <f>"LILIANE DE FATIMA REZENDE JUSTINO (20013)"</f>
        <v>LILIANE DE FATIMA REZENDE JUSTINO (20013)</v>
      </c>
      <c r="H928" t="str">
        <f>"DESPESAS COM VIAGEM LIMEIRA"</f>
        <v>DESPESAS COM VIAGEM LIMEIRA</v>
      </c>
      <c r="I928" t="str">
        <f t="shared" si="329"/>
        <v>26/01/2026</v>
      </c>
      <c r="J928" t="str">
        <f t="shared" si="329"/>
        <v>26/01/2026</v>
      </c>
      <c r="K928" t="str">
        <f t="shared" si="329"/>
        <v>26/01/2026</v>
      </c>
      <c r="L928">
        <v>1500</v>
      </c>
      <c r="M928">
        <v>1500</v>
      </c>
      <c r="N928">
        <v>128</v>
      </c>
      <c r="O928" t="str">
        <f>"DESPESAS COM VIAGENS"</f>
        <v>DESPESAS COM VIAGENS</v>
      </c>
      <c r="P928">
        <v>1500</v>
      </c>
      <c r="S928" t="str">
        <f>"BANCO CORA (102)"</f>
        <v>BANCO CORA (102)</v>
      </c>
      <c r="T928">
        <v>4190</v>
      </c>
      <c r="U928">
        <v>3761</v>
      </c>
      <c r="V928" t="s">
        <v>22</v>
      </c>
    </row>
    <row r="929" spans="1:22">
      <c r="A929" t="str">
        <f t="shared" si="324"/>
        <v>26/01/2026</v>
      </c>
      <c r="B929" t="str">
        <f t="shared" si="328"/>
        <v>SAÍDA</v>
      </c>
      <c r="C929" t="str">
        <f>"PIX"</f>
        <v>PIX</v>
      </c>
      <c r="D929" t="str">
        <f>"2601"</f>
        <v>2601</v>
      </c>
      <c r="E929" t="str">
        <f>"26"</f>
        <v>26</v>
      </c>
      <c r="F929" t="str">
        <f t="shared" si="330"/>
        <v>COM</v>
      </c>
      <c r="G929" t="str">
        <f>"LILIANE DE FATIMA REZENDE JUSTINO (20013)"</f>
        <v>LILIANE DE FATIMA REZENDE JUSTINO (20013)</v>
      </c>
      <c r="H929" t="s">
        <v>266</v>
      </c>
      <c r="I929" t="str">
        <f t="shared" ref="I929:J931" si="331">("26/01/2026")</f>
        <v>26/01/2026</v>
      </c>
      <c r="J929" t="str">
        <f t="shared" si="331"/>
        <v>26/01/2026</v>
      </c>
      <c r="K929">
        <v>46048</v>
      </c>
      <c r="N929">
        <v>128</v>
      </c>
      <c r="O929" t="s">
        <v>60</v>
      </c>
      <c r="Q929">
        <v>1500</v>
      </c>
      <c r="R929" t="str">
        <f>"BEM TE FAZ 01 (10283)"</f>
        <v>BEM TE FAZ 01 (10283)</v>
      </c>
      <c r="S929" t="s">
        <v>22</v>
      </c>
      <c r="T929">
        <v>4190</v>
      </c>
      <c r="U929">
        <v>3761</v>
      </c>
      <c r="V929" t="s">
        <v>22</v>
      </c>
    </row>
    <row r="930" spans="1:22">
      <c r="A930" t="str">
        <f t="shared" si="324"/>
        <v>26/01/2026</v>
      </c>
      <c r="B930" t="str">
        <f t="shared" si="328"/>
        <v>SAÍDA</v>
      </c>
      <c r="C930" t="str">
        <f>"PIX"</f>
        <v>PIX</v>
      </c>
      <c r="D930" t="str">
        <f>"2601"</f>
        <v>2601</v>
      </c>
      <c r="E930" t="str">
        <f>"26"</f>
        <v>26</v>
      </c>
      <c r="F930" t="str">
        <f t="shared" si="330"/>
        <v>COM</v>
      </c>
      <c r="G930" t="str">
        <f>"CONTA SIMPLES SOLUCOES DE PAGAMENTOS LTDA (20019)"</f>
        <v>CONTA SIMPLES SOLUCOES DE PAGAMENTOS LTDA (20019)</v>
      </c>
      <c r="H930" t="str">
        <f>"MARKETING REDES SOCIAIS - PIX- CHAVE ALEATORIA: 1d5b84cc-db31-469d-b8ee-076ced54c3e9"</f>
        <v>MARKETING REDES SOCIAIS - PIX- CHAVE ALEATORIA: 1d5b84cc-db31-469d-b8ee-076ced54c3e9</v>
      </c>
      <c r="I930" t="str">
        <f t="shared" si="331"/>
        <v>26/01/2026</v>
      </c>
      <c r="J930" t="str">
        <f t="shared" si="331"/>
        <v>26/01/2026</v>
      </c>
      <c r="K930" t="str">
        <f>("26/01/2026")</f>
        <v>26/01/2026</v>
      </c>
      <c r="L930">
        <v>1500</v>
      </c>
      <c r="M930">
        <v>1500</v>
      </c>
      <c r="N930">
        <v>127</v>
      </c>
      <c r="O930" t="str">
        <f>"PUBLICIDADE E PROPAGANDAS"</f>
        <v>PUBLICIDADE E PROPAGANDAS</v>
      </c>
      <c r="P930">
        <v>1500</v>
      </c>
      <c r="S930" t="str">
        <f>"BANCO CORA (102)"</f>
        <v>BANCO CORA (102)</v>
      </c>
      <c r="T930">
        <v>4193</v>
      </c>
      <c r="U930">
        <v>3194</v>
      </c>
      <c r="V930" t="s">
        <v>22</v>
      </c>
    </row>
    <row r="931" spans="1:22">
      <c r="A931" t="str">
        <f t="shared" si="324"/>
        <v>26/01/2026</v>
      </c>
      <c r="B931" t="str">
        <f t="shared" si="328"/>
        <v>SAÍDA</v>
      </c>
      <c r="C931" t="str">
        <f>"PIX"</f>
        <v>PIX</v>
      </c>
      <c r="D931" t="str">
        <f>"2601"</f>
        <v>2601</v>
      </c>
      <c r="E931" t="str">
        <f>"26"</f>
        <v>26</v>
      </c>
      <c r="F931" t="str">
        <f t="shared" si="330"/>
        <v>COM</v>
      </c>
      <c r="G931" t="str">
        <f>"CONTA SIMPLES SOLUCOES DE PAGAMENTOS LTDA (20019)"</f>
        <v>CONTA SIMPLES SOLUCOES DE PAGAMENTOS LTDA (20019)</v>
      </c>
      <c r="H931" t="s">
        <v>83</v>
      </c>
      <c r="I931" t="str">
        <f t="shared" si="331"/>
        <v>26/01/2026</v>
      </c>
      <c r="J931" t="str">
        <f t="shared" si="331"/>
        <v>26/01/2026</v>
      </c>
      <c r="K931">
        <v>46048</v>
      </c>
      <c r="N931">
        <v>127</v>
      </c>
      <c r="O931" t="s">
        <v>84</v>
      </c>
      <c r="Q931">
        <v>1500</v>
      </c>
      <c r="R931" t="str">
        <f>"CONTA SIMPLES SOLUCOES DE PAGAMENTOS LTDA (20019)"</f>
        <v>CONTA SIMPLES SOLUCOES DE PAGAMENTOS LTDA (20019)</v>
      </c>
      <c r="S931" t="s">
        <v>22</v>
      </c>
      <c r="T931">
        <v>4193</v>
      </c>
      <c r="U931">
        <v>3194</v>
      </c>
      <c r="V931" t="s">
        <v>22</v>
      </c>
    </row>
    <row r="932" spans="1:22">
      <c r="A932" t="str">
        <f t="shared" ref="A932:A951" si="332">("27/01/2026")</f>
        <v>27/01/2026</v>
      </c>
      <c r="B932" t="str">
        <f t="shared" si="328"/>
        <v>SAÍDA</v>
      </c>
      <c r="C932" t="str">
        <f>"BOLETO"</f>
        <v>BOLETO</v>
      </c>
      <c r="D932" t="str">
        <f>"22399"</f>
        <v>22399</v>
      </c>
      <c r="E932" t="str">
        <f>"4"</f>
        <v>4</v>
      </c>
      <c r="F932" t="str">
        <f t="shared" si="330"/>
        <v>COM</v>
      </c>
      <c r="G932" t="str">
        <f>"ABRADILAN ASSOCIACAO BRASILEIRA DE DISTRIBUICAO E LOGIS (20121)"</f>
        <v>ABRADILAN ASSOCIACAO BRASILEIRA DE DISTRIBUICAO E LOGIS (20121)</v>
      </c>
      <c r="H932" t="str">
        <f>"COTA PATROCINIO - EXPOSITOR FARMACIA DO FUTURO"</f>
        <v>COTA PATROCINIO - EXPOSITOR FARMACIA DO FUTURO</v>
      </c>
      <c r="I932" t="str">
        <f>("25/01/2026")</f>
        <v>25/01/2026</v>
      </c>
      <c r="J932" t="str">
        <f>("16/10/2025")</f>
        <v>16/10/2025</v>
      </c>
      <c r="K932" t="str">
        <f>("27/01/2026")</f>
        <v>27/01/2026</v>
      </c>
      <c r="L932">
        <v>4000</v>
      </c>
      <c r="M932">
        <v>4005.34</v>
      </c>
      <c r="N932">
        <v>127</v>
      </c>
      <c r="O932" t="str">
        <f>"PUBLICIDADE E PROPAGANDAS"</f>
        <v>PUBLICIDADE E PROPAGANDAS</v>
      </c>
      <c r="P932">
        <v>4005.34</v>
      </c>
      <c r="S932" t="str">
        <f>"BANCO CORA (102)"</f>
        <v>BANCO CORA (102)</v>
      </c>
      <c r="T932">
        <v>3946</v>
      </c>
      <c r="U932">
        <v>2398</v>
      </c>
      <c r="V932" t="s">
        <v>22</v>
      </c>
    </row>
    <row r="933" spans="1:22">
      <c r="A933" t="str">
        <f t="shared" si="332"/>
        <v>27/01/2026</v>
      </c>
      <c r="B933" t="str">
        <f t="shared" si="328"/>
        <v>SAÍDA</v>
      </c>
      <c r="C933" t="str">
        <f>"BOLETO"</f>
        <v>BOLETO</v>
      </c>
      <c r="D933" t="str">
        <f>"22399"</f>
        <v>22399</v>
      </c>
      <c r="E933" t="str">
        <f>"4"</f>
        <v>4</v>
      </c>
      <c r="F933" t="str">
        <f t="shared" si="330"/>
        <v>COM</v>
      </c>
      <c r="G933" t="str">
        <f>"ABRADILAN ASSOCIACAO BRASILEIRA DE DISTRIBUICAO E LOGIS (20121)"</f>
        <v>ABRADILAN ASSOCIACAO BRASILEIRA DE DISTRIBUICAO E LOGIS (20121)</v>
      </c>
      <c r="H933" t="s">
        <v>267</v>
      </c>
      <c r="I933" t="str">
        <f>("25/01/2026")</f>
        <v>25/01/2026</v>
      </c>
      <c r="J933" t="str">
        <f>("16/10/2025")</f>
        <v>16/10/2025</v>
      </c>
      <c r="K933">
        <v>46049</v>
      </c>
      <c r="N933">
        <v>127</v>
      </c>
      <c r="O933" t="s">
        <v>84</v>
      </c>
      <c r="Q933">
        <v>4005.34</v>
      </c>
      <c r="R933" t="str">
        <f>"ABRADILAN ASSOCIACAO BRASILEIRA DE DISTRIBUICAO E LOGIS (20121)"</f>
        <v>ABRADILAN ASSOCIACAO BRASILEIRA DE DISTRIBUICAO E LOGIS (20121)</v>
      </c>
      <c r="S933" t="s">
        <v>22</v>
      </c>
      <c r="T933">
        <v>3946</v>
      </c>
      <c r="U933">
        <v>2398</v>
      </c>
      <c r="V933" t="s">
        <v>22</v>
      </c>
    </row>
    <row r="934" spans="1:22">
      <c r="A934" t="str">
        <f t="shared" si="332"/>
        <v>27/01/2026</v>
      </c>
      <c r="B934" t="str">
        <f t="shared" ref="B934:B947" si="333">"ENTRADA"</f>
        <v>ENTRADA</v>
      </c>
      <c r="C934" t="str">
        <f t="shared" ref="C934:C947" si="334">"NFSE"</f>
        <v>NFSE</v>
      </c>
      <c r="D934" t="str">
        <f>"195"</f>
        <v>195</v>
      </c>
      <c r="E934" t="str">
        <f t="shared" ref="E934:E947" si="335">"1"</f>
        <v>1</v>
      </c>
      <c r="F934" t="str">
        <f t="shared" si="330"/>
        <v>COM</v>
      </c>
      <c r="G934" t="str">
        <f>"DROGARIA BEM ESTAR (10193)"</f>
        <v>DROGARIA BEM ESTAR (10193)</v>
      </c>
      <c r="H934" t="str">
        <f>"Serv.Prest. 19/01/2026 a 25/01/2026 - RPS: 2120 - NFSe: 195"</f>
        <v>Serv.Prest. 19/01/2026 a 25/01/2026 - RPS: 2120 - NFSe: 195</v>
      </c>
      <c r="I934" t="str">
        <f>("28/01/2026")</f>
        <v>28/01/2026</v>
      </c>
      <c r="J934" t="str">
        <f>("27/01/2026")</f>
        <v>27/01/2026</v>
      </c>
      <c r="K934" t="str">
        <f>("27/01/2026")</f>
        <v>27/01/2026</v>
      </c>
      <c r="L934">
        <v>265.2</v>
      </c>
      <c r="M934">
        <v>265.2</v>
      </c>
      <c r="N934">
        <v>303</v>
      </c>
      <c r="O934" t="str">
        <f>"RECEITAS COM ENTREGAS"</f>
        <v>RECEITAS COM ENTREGAS</v>
      </c>
      <c r="P934">
        <v>265.2</v>
      </c>
      <c r="S934" t="str">
        <f>"RECEITAS COM ENTREGAS (303)"</f>
        <v>RECEITAS COM ENTREGAS (303)</v>
      </c>
      <c r="T934">
        <v>4092</v>
      </c>
      <c r="U934">
        <v>3587</v>
      </c>
      <c r="V934" t="s">
        <v>88</v>
      </c>
    </row>
    <row r="935" spans="1:22">
      <c r="A935" t="str">
        <f t="shared" si="332"/>
        <v>27/01/2026</v>
      </c>
      <c r="B935" t="str">
        <f t="shared" si="333"/>
        <v>ENTRADA</v>
      </c>
      <c r="C935" t="str">
        <f t="shared" si="334"/>
        <v>NFSE</v>
      </c>
      <c r="D935" t="str">
        <f>"195"</f>
        <v>195</v>
      </c>
      <c r="E935" t="str">
        <f t="shared" si="335"/>
        <v>1</v>
      </c>
      <c r="F935" t="str">
        <f t="shared" si="330"/>
        <v>COM</v>
      </c>
      <c r="G935" t="str">
        <f>"DROGARIA BEM ESTAR (10193)"</f>
        <v>DROGARIA BEM ESTAR (10193)</v>
      </c>
      <c r="H935" t="s">
        <v>268</v>
      </c>
      <c r="I935" t="str">
        <f>("28/01/2026")</f>
        <v>28/01/2026</v>
      </c>
      <c r="J935" t="str">
        <f>("27/01/2026")</f>
        <v>27/01/2026</v>
      </c>
      <c r="K935">
        <v>46049</v>
      </c>
      <c r="N935">
        <v>303</v>
      </c>
      <c r="O935" t="s">
        <v>26</v>
      </c>
      <c r="Q935">
        <v>265.2</v>
      </c>
      <c r="R935" t="str">
        <f>"DROGARIA BEM ESTAR (10193)"</f>
        <v>DROGARIA BEM ESTAR (10193)</v>
      </c>
      <c r="S935" t="s">
        <v>27</v>
      </c>
      <c r="T935">
        <v>4092</v>
      </c>
      <c r="U935">
        <v>3587</v>
      </c>
      <c r="V935" t="s">
        <v>88</v>
      </c>
    </row>
    <row r="936" spans="1:22">
      <c r="A936" t="str">
        <f t="shared" si="332"/>
        <v>27/01/2026</v>
      </c>
      <c r="B936" t="str">
        <f t="shared" si="333"/>
        <v>ENTRADA</v>
      </c>
      <c r="C936" t="str">
        <f t="shared" si="334"/>
        <v>NFSE</v>
      </c>
      <c r="D936" t="str">
        <f t="shared" ref="D936:D941" si="336">"147"</f>
        <v>147</v>
      </c>
      <c r="E936" t="str">
        <f t="shared" si="335"/>
        <v>1</v>
      </c>
      <c r="F936" t="str">
        <f t="shared" si="330"/>
        <v>COM</v>
      </c>
      <c r="G936" t="str">
        <f t="shared" ref="G936:G941" si="337">"BEM TE FAZ 01 (10283)"</f>
        <v>BEM TE FAZ 01 (10283)</v>
      </c>
      <c r="H936" t="str">
        <f>"Serv.Prest. 12/01/2026 a 18/01/2026 - RPS: 2073 - NFSe: 147"</f>
        <v>Serv.Prest. 12/01/2026 a 18/01/2026 - RPS: 2073 - NFSe: 147</v>
      </c>
      <c r="I936" t="str">
        <f t="shared" ref="I936:I941" si="338">("26/01/2026")</f>
        <v>26/01/2026</v>
      </c>
      <c r="J936" t="str">
        <f t="shared" ref="J936:J941" si="339">("20/01/2026")</f>
        <v>20/01/2026</v>
      </c>
      <c r="K936" t="str">
        <f>("27/01/2026")</f>
        <v>27/01/2026</v>
      </c>
      <c r="L936">
        <v>1531.2</v>
      </c>
      <c r="M936">
        <v>1531.2</v>
      </c>
      <c r="N936">
        <v>303</v>
      </c>
      <c r="O936" t="str">
        <f>"RECEITAS COM ENTREGAS"</f>
        <v>RECEITAS COM ENTREGAS</v>
      </c>
      <c r="P936">
        <v>1531.2</v>
      </c>
      <c r="S936" t="str">
        <f>"RECEITAS COM ENTREGAS (303)"</f>
        <v>RECEITAS COM ENTREGAS (303)</v>
      </c>
      <c r="T936">
        <v>4109</v>
      </c>
      <c r="U936">
        <v>3538</v>
      </c>
      <c r="V936" t="s">
        <v>22</v>
      </c>
    </row>
    <row r="937" spans="1:22">
      <c r="A937" t="str">
        <f t="shared" si="332"/>
        <v>27/01/2026</v>
      </c>
      <c r="B937" t="str">
        <f t="shared" si="333"/>
        <v>ENTRADA</v>
      </c>
      <c r="C937" t="str">
        <f t="shared" si="334"/>
        <v>NFSE</v>
      </c>
      <c r="D937" t="str">
        <f t="shared" si="336"/>
        <v>147</v>
      </c>
      <c r="E937" t="str">
        <f t="shared" si="335"/>
        <v>1</v>
      </c>
      <c r="F937" t="str">
        <f t="shared" si="330"/>
        <v>COM</v>
      </c>
      <c r="G937" t="str">
        <f t="shared" si="337"/>
        <v>BEM TE FAZ 01 (10283)</v>
      </c>
      <c r="H937" t="s">
        <v>269</v>
      </c>
      <c r="I937" t="str">
        <f t="shared" si="338"/>
        <v>26/01/2026</v>
      </c>
      <c r="J937" t="str">
        <f t="shared" si="339"/>
        <v>20/01/2026</v>
      </c>
      <c r="K937">
        <v>46049</v>
      </c>
      <c r="N937">
        <v>303</v>
      </c>
      <c r="O937" t="s">
        <v>26</v>
      </c>
      <c r="Q937">
        <v>1029.58</v>
      </c>
      <c r="R937" t="str">
        <f>"BEM TE FAZ 01 (10283)"</f>
        <v>BEM TE FAZ 01 (10283)</v>
      </c>
      <c r="S937" t="s">
        <v>27</v>
      </c>
      <c r="T937">
        <v>4109</v>
      </c>
      <c r="U937">
        <v>3538</v>
      </c>
      <c r="V937" t="s">
        <v>22</v>
      </c>
    </row>
    <row r="938" spans="1:22">
      <c r="A938" t="str">
        <f t="shared" si="332"/>
        <v>27/01/2026</v>
      </c>
      <c r="B938" t="str">
        <f t="shared" si="333"/>
        <v>ENTRADA</v>
      </c>
      <c r="C938" t="str">
        <f t="shared" si="334"/>
        <v>NFSE</v>
      </c>
      <c r="D938" t="str">
        <f t="shared" si="336"/>
        <v>147</v>
      </c>
      <c r="E938" t="str">
        <f t="shared" si="335"/>
        <v>1</v>
      </c>
      <c r="F938" t="str">
        <f t="shared" si="330"/>
        <v>COM</v>
      </c>
      <c r="G938" t="str">
        <f t="shared" si="337"/>
        <v>BEM TE FAZ 01 (10283)</v>
      </c>
      <c r="H938" t="s">
        <v>269</v>
      </c>
      <c r="I938" t="str">
        <f t="shared" si="338"/>
        <v>26/01/2026</v>
      </c>
      <c r="J938" t="str">
        <f t="shared" si="339"/>
        <v>20/01/2026</v>
      </c>
      <c r="K938">
        <v>46049</v>
      </c>
      <c r="N938">
        <v>303</v>
      </c>
      <c r="O938" t="s">
        <v>26</v>
      </c>
      <c r="Q938">
        <v>160.01</v>
      </c>
      <c r="R938" t="str">
        <f>"BEM TE FAZ LOJA 6 (10284)"</f>
        <v>BEM TE FAZ LOJA 6 (10284)</v>
      </c>
      <c r="S938" t="s">
        <v>27</v>
      </c>
      <c r="T938">
        <v>4109</v>
      </c>
      <c r="U938">
        <v>3538</v>
      </c>
      <c r="V938" t="s">
        <v>22</v>
      </c>
    </row>
    <row r="939" spans="1:22">
      <c r="A939" t="str">
        <f t="shared" si="332"/>
        <v>27/01/2026</v>
      </c>
      <c r="B939" t="str">
        <f t="shared" si="333"/>
        <v>ENTRADA</v>
      </c>
      <c r="C939" t="str">
        <f t="shared" si="334"/>
        <v>NFSE</v>
      </c>
      <c r="D939" t="str">
        <f t="shared" si="336"/>
        <v>147</v>
      </c>
      <c r="E939" t="str">
        <f t="shared" si="335"/>
        <v>1</v>
      </c>
      <c r="F939" t="str">
        <f t="shared" si="330"/>
        <v>COM</v>
      </c>
      <c r="G939" t="str">
        <f t="shared" si="337"/>
        <v>BEM TE FAZ 01 (10283)</v>
      </c>
      <c r="H939" t="s">
        <v>269</v>
      </c>
      <c r="I939" t="str">
        <f t="shared" si="338"/>
        <v>26/01/2026</v>
      </c>
      <c r="J939" t="str">
        <f t="shared" si="339"/>
        <v>20/01/2026</v>
      </c>
      <c r="K939">
        <v>46049</v>
      </c>
      <c r="N939">
        <v>303</v>
      </c>
      <c r="O939" t="s">
        <v>26</v>
      </c>
      <c r="Q939">
        <v>119.13</v>
      </c>
      <c r="R939" t="str">
        <f>"BEM TE FAZ LOJA 7 (10285)"</f>
        <v>BEM TE FAZ LOJA 7 (10285)</v>
      </c>
      <c r="S939" t="s">
        <v>27</v>
      </c>
      <c r="T939">
        <v>4109</v>
      </c>
      <c r="U939">
        <v>3538</v>
      </c>
      <c r="V939" t="s">
        <v>22</v>
      </c>
    </row>
    <row r="940" spans="1:22">
      <c r="A940" t="str">
        <f t="shared" si="332"/>
        <v>27/01/2026</v>
      </c>
      <c r="B940" t="str">
        <f t="shared" si="333"/>
        <v>ENTRADA</v>
      </c>
      <c r="C940" t="str">
        <f t="shared" si="334"/>
        <v>NFSE</v>
      </c>
      <c r="D940" t="str">
        <f t="shared" si="336"/>
        <v>147</v>
      </c>
      <c r="E940" t="str">
        <f t="shared" si="335"/>
        <v>1</v>
      </c>
      <c r="F940" t="str">
        <f t="shared" si="330"/>
        <v>COM</v>
      </c>
      <c r="G940" t="str">
        <f t="shared" si="337"/>
        <v>BEM TE FAZ 01 (10283)</v>
      </c>
      <c r="H940" t="s">
        <v>269</v>
      </c>
      <c r="I940" t="str">
        <f t="shared" si="338"/>
        <v>26/01/2026</v>
      </c>
      <c r="J940" t="str">
        <f t="shared" si="339"/>
        <v>20/01/2026</v>
      </c>
      <c r="K940">
        <v>46049</v>
      </c>
      <c r="N940">
        <v>303</v>
      </c>
      <c r="O940" t="s">
        <v>26</v>
      </c>
      <c r="Q940">
        <v>2.4500000000000002</v>
      </c>
      <c r="R940" t="str">
        <f>"BEM TE FAZ LOJA 9 (10286)"</f>
        <v>BEM TE FAZ LOJA 9 (10286)</v>
      </c>
      <c r="S940" t="s">
        <v>27</v>
      </c>
      <c r="T940">
        <v>4109</v>
      </c>
      <c r="U940">
        <v>3538</v>
      </c>
      <c r="V940" t="s">
        <v>22</v>
      </c>
    </row>
    <row r="941" spans="1:22">
      <c r="A941" t="str">
        <f t="shared" si="332"/>
        <v>27/01/2026</v>
      </c>
      <c r="B941" t="str">
        <f t="shared" si="333"/>
        <v>ENTRADA</v>
      </c>
      <c r="C941" t="str">
        <f t="shared" si="334"/>
        <v>NFSE</v>
      </c>
      <c r="D941" t="str">
        <f t="shared" si="336"/>
        <v>147</v>
      </c>
      <c r="E941" t="str">
        <f t="shared" si="335"/>
        <v>1</v>
      </c>
      <c r="F941" t="str">
        <f t="shared" si="330"/>
        <v>COM</v>
      </c>
      <c r="G941" t="str">
        <f t="shared" si="337"/>
        <v>BEM TE FAZ 01 (10283)</v>
      </c>
      <c r="H941" t="s">
        <v>269</v>
      </c>
      <c r="I941" t="str">
        <f t="shared" si="338"/>
        <v>26/01/2026</v>
      </c>
      <c r="J941" t="str">
        <f t="shared" si="339"/>
        <v>20/01/2026</v>
      </c>
      <c r="K941">
        <v>46049</v>
      </c>
      <c r="N941">
        <v>303</v>
      </c>
      <c r="O941" t="s">
        <v>26</v>
      </c>
      <c r="Q941">
        <v>220.03</v>
      </c>
      <c r="R941" t="str">
        <f>"BEM TE FAZ LOJA 3 (10287)"</f>
        <v>BEM TE FAZ LOJA 3 (10287)</v>
      </c>
      <c r="S941" t="s">
        <v>27</v>
      </c>
      <c r="T941">
        <v>4109</v>
      </c>
      <c r="U941">
        <v>3538</v>
      </c>
      <c r="V941" t="s">
        <v>22</v>
      </c>
    </row>
    <row r="942" spans="1:22">
      <c r="A942" t="str">
        <f t="shared" si="332"/>
        <v>27/01/2026</v>
      </c>
      <c r="B942" t="str">
        <f t="shared" si="333"/>
        <v>ENTRADA</v>
      </c>
      <c r="C942" t="str">
        <f t="shared" si="334"/>
        <v>NFSE</v>
      </c>
      <c r="D942" t="str">
        <f t="shared" ref="D942:D947" si="340">"57"</f>
        <v>57</v>
      </c>
      <c r="E942" t="str">
        <f t="shared" si="335"/>
        <v>1</v>
      </c>
      <c r="F942" t="str">
        <f t="shared" si="330"/>
        <v>COM</v>
      </c>
      <c r="G942" t="str">
        <f t="shared" ref="G942:G947" si="341">"PAGMENOS - LJ 608 (10135)"</f>
        <v>PAGMENOS - LJ 608 (10135)</v>
      </c>
      <c r="H942" t="str">
        <f>"Serv.Prest. 05/01/2026 a 11/01/2026 - RPS: 1983 - NFSe: 57"</f>
        <v>Serv.Prest. 05/01/2026 a 11/01/2026 - RPS: 1983 - NFSe: 57</v>
      </c>
      <c r="I942" t="str">
        <f t="shared" ref="I942:I947" si="342">("21/01/2026")</f>
        <v>21/01/2026</v>
      </c>
      <c r="J942" t="str">
        <f t="shared" ref="J942:J947" si="343">("12/01/2026")</f>
        <v>12/01/2026</v>
      </c>
      <c r="K942" t="str">
        <f>("27/01/2026")</f>
        <v>27/01/2026</v>
      </c>
      <c r="L942">
        <v>959.87</v>
      </c>
      <c r="M942">
        <v>959.87</v>
      </c>
      <c r="N942">
        <v>303</v>
      </c>
      <c r="O942" t="str">
        <f>"RECEITAS COM ENTREGAS"</f>
        <v>RECEITAS COM ENTREGAS</v>
      </c>
      <c r="P942">
        <v>959.87</v>
      </c>
      <c r="S942" t="str">
        <f>"RECEITAS COM ENTREGAS (303)"</f>
        <v>RECEITAS COM ENTREGAS (303)</v>
      </c>
      <c r="T942">
        <v>4116</v>
      </c>
      <c r="U942">
        <v>3324</v>
      </c>
      <c r="V942" t="s">
        <v>22</v>
      </c>
    </row>
    <row r="943" spans="1:22">
      <c r="A943" t="str">
        <f t="shared" si="332"/>
        <v>27/01/2026</v>
      </c>
      <c r="B943" t="str">
        <f t="shared" si="333"/>
        <v>ENTRADA</v>
      </c>
      <c r="C943" t="str">
        <f t="shared" si="334"/>
        <v>NFSE</v>
      </c>
      <c r="D943" t="str">
        <f t="shared" si="340"/>
        <v>57</v>
      </c>
      <c r="E943" t="str">
        <f t="shared" si="335"/>
        <v>1</v>
      </c>
      <c r="F943" t="str">
        <f t="shared" si="330"/>
        <v>COM</v>
      </c>
      <c r="G943" t="str">
        <f t="shared" si="341"/>
        <v>PAGMENOS - LJ 608 (10135)</v>
      </c>
      <c r="H943" t="s">
        <v>270</v>
      </c>
      <c r="I943" t="str">
        <f t="shared" si="342"/>
        <v>21/01/2026</v>
      </c>
      <c r="J943" t="str">
        <f t="shared" si="343"/>
        <v>12/01/2026</v>
      </c>
      <c r="K943">
        <v>46049</v>
      </c>
      <c r="N943">
        <v>303</v>
      </c>
      <c r="O943" t="s">
        <v>26</v>
      </c>
      <c r="Q943">
        <v>220.29</v>
      </c>
      <c r="R943" t="str">
        <f>"PAGMENOS - LJ 608 (10135)"</f>
        <v>PAGMENOS - LJ 608 (10135)</v>
      </c>
      <c r="S943" t="s">
        <v>27</v>
      </c>
      <c r="T943">
        <v>4116</v>
      </c>
      <c r="U943">
        <v>3324</v>
      </c>
      <c r="V943" t="s">
        <v>22</v>
      </c>
    </row>
    <row r="944" spans="1:22">
      <c r="A944" t="str">
        <f t="shared" si="332"/>
        <v>27/01/2026</v>
      </c>
      <c r="B944" t="str">
        <f t="shared" si="333"/>
        <v>ENTRADA</v>
      </c>
      <c r="C944" t="str">
        <f t="shared" si="334"/>
        <v>NFSE</v>
      </c>
      <c r="D944" t="str">
        <f t="shared" si="340"/>
        <v>57</v>
      </c>
      <c r="E944" t="str">
        <f t="shared" si="335"/>
        <v>1</v>
      </c>
      <c r="F944" t="str">
        <f t="shared" si="330"/>
        <v>COM</v>
      </c>
      <c r="G944" t="str">
        <f t="shared" si="341"/>
        <v>PAGMENOS - LJ 608 (10135)</v>
      </c>
      <c r="H944" t="s">
        <v>270</v>
      </c>
      <c r="I944" t="str">
        <f t="shared" si="342"/>
        <v>21/01/2026</v>
      </c>
      <c r="J944" t="str">
        <f t="shared" si="343"/>
        <v>12/01/2026</v>
      </c>
      <c r="K944">
        <v>46049</v>
      </c>
      <c r="N944">
        <v>303</v>
      </c>
      <c r="O944" t="s">
        <v>26</v>
      </c>
      <c r="Q944">
        <v>330.39</v>
      </c>
      <c r="R944" t="str">
        <f>"PAGMENOS - LJ 657 (10136)"</f>
        <v>PAGMENOS - LJ 657 (10136)</v>
      </c>
      <c r="S944" t="s">
        <v>27</v>
      </c>
      <c r="T944">
        <v>4116</v>
      </c>
      <c r="U944">
        <v>3324</v>
      </c>
      <c r="V944" t="s">
        <v>22</v>
      </c>
    </row>
    <row r="945" spans="1:22">
      <c r="A945" t="str">
        <f t="shared" si="332"/>
        <v>27/01/2026</v>
      </c>
      <c r="B945" t="str">
        <f t="shared" si="333"/>
        <v>ENTRADA</v>
      </c>
      <c r="C945" t="str">
        <f t="shared" si="334"/>
        <v>NFSE</v>
      </c>
      <c r="D945" t="str">
        <f t="shared" si="340"/>
        <v>57</v>
      </c>
      <c r="E945" t="str">
        <f t="shared" si="335"/>
        <v>1</v>
      </c>
      <c r="F945" t="str">
        <f t="shared" si="330"/>
        <v>COM</v>
      </c>
      <c r="G945" t="str">
        <f t="shared" si="341"/>
        <v>PAGMENOS - LJ 608 (10135)</v>
      </c>
      <c r="H945" t="s">
        <v>270</v>
      </c>
      <c r="I945" t="str">
        <f t="shared" si="342"/>
        <v>21/01/2026</v>
      </c>
      <c r="J945" t="str">
        <f t="shared" si="343"/>
        <v>12/01/2026</v>
      </c>
      <c r="K945">
        <v>46049</v>
      </c>
      <c r="N945">
        <v>303</v>
      </c>
      <c r="O945" t="s">
        <v>26</v>
      </c>
      <c r="Q945">
        <v>25.92</v>
      </c>
      <c r="R945" t="str">
        <f>"PAGMENOS - LJ 326 (10264)"</f>
        <v>PAGMENOS - LJ 326 (10264)</v>
      </c>
      <c r="S945" t="s">
        <v>27</v>
      </c>
      <c r="T945">
        <v>4116</v>
      </c>
      <c r="U945">
        <v>3324</v>
      </c>
      <c r="V945" t="s">
        <v>22</v>
      </c>
    </row>
    <row r="946" spans="1:22">
      <c r="A946" t="str">
        <f t="shared" si="332"/>
        <v>27/01/2026</v>
      </c>
      <c r="B946" t="str">
        <f t="shared" si="333"/>
        <v>ENTRADA</v>
      </c>
      <c r="C946" t="str">
        <f t="shared" si="334"/>
        <v>NFSE</v>
      </c>
      <c r="D946" t="str">
        <f t="shared" si="340"/>
        <v>57</v>
      </c>
      <c r="E946" t="str">
        <f t="shared" si="335"/>
        <v>1</v>
      </c>
      <c r="F946" t="str">
        <f t="shared" si="330"/>
        <v>COM</v>
      </c>
      <c r="G946" t="str">
        <f t="shared" si="341"/>
        <v>PAGMENOS - LJ 608 (10135)</v>
      </c>
      <c r="H946" t="s">
        <v>270</v>
      </c>
      <c r="I946" t="str">
        <f t="shared" si="342"/>
        <v>21/01/2026</v>
      </c>
      <c r="J946" t="str">
        <f t="shared" si="343"/>
        <v>12/01/2026</v>
      </c>
      <c r="K946">
        <v>46049</v>
      </c>
      <c r="N946">
        <v>303</v>
      </c>
      <c r="O946" t="s">
        <v>26</v>
      </c>
      <c r="Q946">
        <v>170.95</v>
      </c>
      <c r="R946" t="str">
        <f>"PAGMENOS - LJ 431 (10265)"</f>
        <v>PAGMENOS - LJ 431 (10265)</v>
      </c>
      <c r="S946" t="s">
        <v>27</v>
      </c>
      <c r="T946">
        <v>4116</v>
      </c>
      <c r="U946">
        <v>3324</v>
      </c>
      <c r="V946" t="s">
        <v>22</v>
      </c>
    </row>
    <row r="947" spans="1:22">
      <c r="A947" t="str">
        <f t="shared" si="332"/>
        <v>27/01/2026</v>
      </c>
      <c r="B947" t="str">
        <f t="shared" si="333"/>
        <v>ENTRADA</v>
      </c>
      <c r="C947" t="str">
        <f t="shared" si="334"/>
        <v>NFSE</v>
      </c>
      <c r="D947" t="str">
        <f t="shared" si="340"/>
        <v>57</v>
      </c>
      <c r="E947" t="str">
        <f t="shared" si="335"/>
        <v>1</v>
      </c>
      <c r="F947" t="str">
        <f t="shared" si="330"/>
        <v>COM</v>
      </c>
      <c r="G947" t="str">
        <f t="shared" si="341"/>
        <v>PAGMENOS - LJ 608 (10135)</v>
      </c>
      <c r="H947" t="s">
        <v>270</v>
      </c>
      <c r="I947" t="str">
        <f t="shared" si="342"/>
        <v>21/01/2026</v>
      </c>
      <c r="J947" t="str">
        <f t="shared" si="343"/>
        <v>12/01/2026</v>
      </c>
      <c r="K947">
        <v>46049</v>
      </c>
      <c r="N947">
        <v>303</v>
      </c>
      <c r="O947" t="s">
        <v>26</v>
      </c>
      <c r="Q947">
        <v>212.32</v>
      </c>
      <c r="R947" t="str">
        <f>"PAGMENOS - LJ 768 (10266)"</f>
        <v>PAGMENOS - LJ 768 (10266)</v>
      </c>
      <c r="S947" t="s">
        <v>27</v>
      </c>
      <c r="T947">
        <v>4116</v>
      </c>
      <c r="U947">
        <v>3324</v>
      </c>
      <c r="V947" t="s">
        <v>22</v>
      </c>
    </row>
    <row r="948" spans="1:22">
      <c r="A948" t="str">
        <f t="shared" si="332"/>
        <v>27/01/2026</v>
      </c>
      <c r="B948" t="str">
        <f>"SAÍDA"</f>
        <v>SAÍDA</v>
      </c>
      <c r="C948" t="str">
        <f>"JUROS"</f>
        <v>JUROS</v>
      </c>
      <c r="D948" t="str">
        <f>""</f>
        <v/>
      </c>
      <c r="F948" t="str">
        <f>"CXA"</f>
        <v>CXA</v>
      </c>
      <c r="G948" t="str">
        <f>""</f>
        <v/>
      </c>
      <c r="H948" t="str">
        <f>"TARIFA SERV.COBR.TITULOS"</f>
        <v>TARIFA SERV.COBR.TITULOS</v>
      </c>
      <c r="I948" t="str">
        <f t="shared" ref="I948:K949" si="344">("27/01/2026")</f>
        <v>27/01/2026</v>
      </c>
      <c r="J948" t="str">
        <f t="shared" si="344"/>
        <v>27/01/2026</v>
      </c>
      <c r="K948" t="str">
        <f t="shared" si="344"/>
        <v>27/01/2026</v>
      </c>
      <c r="L948">
        <v>22.24</v>
      </c>
      <c r="M948">
        <v>22.24</v>
      </c>
      <c r="N948">
        <v>401</v>
      </c>
      <c r="O948" t="str">
        <f>"IOF/JUROS/DESP.FINANCEIRA"</f>
        <v>IOF/JUROS/DESP.FINANCEIRA</v>
      </c>
      <c r="P948">
        <v>22.24</v>
      </c>
      <c r="S948" t="str">
        <f>"BANCO SICREDI (131)"</f>
        <v>BANCO SICREDI (131)</v>
      </c>
      <c r="T948">
        <v>4143</v>
      </c>
      <c r="U948">
        <v>0</v>
      </c>
      <c r="V948" t="s">
        <v>54</v>
      </c>
    </row>
    <row r="949" spans="1:22">
      <c r="A949" t="str">
        <f t="shared" si="332"/>
        <v>27/01/2026</v>
      </c>
      <c r="B949" t="str">
        <f>"SAÍDA"</f>
        <v>SAÍDA</v>
      </c>
      <c r="C949" t="str">
        <f>"JUROS"</f>
        <v>JUROS</v>
      </c>
      <c r="D949" t="str">
        <f>""</f>
        <v/>
      </c>
      <c r="F949" t="str">
        <f>"CXA"</f>
        <v>CXA</v>
      </c>
      <c r="G949" t="str">
        <f>""</f>
        <v/>
      </c>
      <c r="H949" t="str">
        <f>"TARIFA SERV.COBR.TITULOS"</f>
        <v>TARIFA SERV.COBR.TITULOS</v>
      </c>
      <c r="I949" t="str">
        <f t="shared" si="344"/>
        <v>27/01/2026</v>
      </c>
      <c r="J949" t="str">
        <f t="shared" si="344"/>
        <v>27/01/2026</v>
      </c>
      <c r="K949" t="str">
        <f t="shared" si="344"/>
        <v>27/01/2026</v>
      </c>
      <c r="L949">
        <v>11.12</v>
      </c>
      <c r="M949">
        <v>11.12</v>
      </c>
      <c r="N949">
        <v>401</v>
      </c>
      <c r="O949" t="str">
        <f>"IOF/JUROS/DESP.FINANCEIRA"</f>
        <v>IOF/JUROS/DESP.FINANCEIRA</v>
      </c>
      <c r="P949">
        <v>11.12</v>
      </c>
      <c r="S949" t="str">
        <f>"BANCO SICREDI (131)"</f>
        <v>BANCO SICREDI (131)</v>
      </c>
      <c r="T949">
        <v>4144</v>
      </c>
      <c r="U949">
        <v>0</v>
      </c>
      <c r="V949" t="s">
        <v>54</v>
      </c>
    </row>
    <row r="950" spans="1:22">
      <c r="A950" t="str">
        <f t="shared" si="332"/>
        <v>27/01/2026</v>
      </c>
      <c r="B950" t="str">
        <f>"SAÍDA"</f>
        <v>SAÍDA</v>
      </c>
      <c r="C950" t="str">
        <f>"BOLETO"</f>
        <v>BOLETO</v>
      </c>
      <c r="D950" t="str">
        <f>"2701"</f>
        <v>2701</v>
      </c>
      <c r="E950" t="str">
        <f>"26"</f>
        <v>26</v>
      </c>
      <c r="F950" t="str">
        <f t="shared" ref="F950:F981" si="345">"COM"</f>
        <v>COM</v>
      </c>
      <c r="G950" t="str">
        <f>"CORA SOCIEDADE DE CREDITO, FINANCIAMENTO E INVESTIMENTO (20035)"</f>
        <v>CORA SOCIEDADE DE CREDITO, FINANCIAMENTO E INVESTIMENTO (20035)</v>
      </c>
      <c r="H950" t="str">
        <f>"TAXA BOLETO CORA"</f>
        <v>TAXA BOLETO CORA</v>
      </c>
      <c r="I950" t="str">
        <f>("27/01/2026")</f>
        <v>27/01/2026</v>
      </c>
      <c r="J950" t="str">
        <f>("01/11/2025")</f>
        <v>01/11/2025</v>
      </c>
      <c r="K950" t="str">
        <f>("27/01/2026")</f>
        <v>27/01/2026</v>
      </c>
      <c r="L950">
        <v>1.7</v>
      </c>
      <c r="M950">
        <v>1.7</v>
      </c>
      <c r="N950">
        <v>401</v>
      </c>
      <c r="O950" t="str">
        <f>"IOF/JUROS/DESP.FINANCEIRA"</f>
        <v>IOF/JUROS/DESP.FINANCEIRA</v>
      </c>
      <c r="P950">
        <v>1.7</v>
      </c>
      <c r="S950" t="str">
        <f>"BANCO CORA (102)"</f>
        <v>BANCO CORA (102)</v>
      </c>
      <c r="T950">
        <v>4192</v>
      </c>
      <c r="U950">
        <v>3763</v>
      </c>
      <c r="V950" t="s">
        <v>22</v>
      </c>
    </row>
    <row r="951" spans="1:22">
      <c r="A951" t="str">
        <f t="shared" si="332"/>
        <v>27/01/2026</v>
      </c>
      <c r="B951" t="str">
        <f>"SAÍDA"</f>
        <v>SAÍDA</v>
      </c>
      <c r="C951" t="str">
        <f>"BOLETO"</f>
        <v>BOLETO</v>
      </c>
      <c r="D951" t="str">
        <f>"2701"</f>
        <v>2701</v>
      </c>
      <c r="E951" t="str">
        <f>"26"</f>
        <v>26</v>
      </c>
      <c r="F951" t="str">
        <f t="shared" si="345"/>
        <v>COM</v>
      </c>
      <c r="G951" t="str">
        <f>"CORA SOCIEDADE DE CREDITO, FINANCIAMENTO E INVESTIMENTO (20035)"</f>
        <v>CORA SOCIEDADE DE CREDITO, FINANCIAMENTO E INVESTIMENTO (20035)</v>
      </c>
      <c r="H951" t="s">
        <v>121</v>
      </c>
      <c r="I951" t="str">
        <f>("27/01/2026")</f>
        <v>27/01/2026</v>
      </c>
      <c r="J951" t="str">
        <f>("01/11/2025")</f>
        <v>01/11/2025</v>
      </c>
      <c r="K951">
        <v>46049</v>
      </c>
      <c r="N951">
        <v>401</v>
      </c>
      <c r="O951" t="s">
        <v>58</v>
      </c>
      <c r="Q951">
        <v>1.7</v>
      </c>
      <c r="R951" t="str">
        <f>"CORA SOCIEDADE DE CREDITO, FINANCIAMENTO E INVESTIMENTO (20035)"</f>
        <v>CORA SOCIEDADE DE CREDITO, FINANCIAMENTO E INVESTIMENTO (20035)</v>
      </c>
      <c r="S951" t="s">
        <v>22</v>
      </c>
      <c r="T951">
        <v>4192</v>
      </c>
      <c r="U951">
        <v>3763</v>
      </c>
      <c r="V951" t="s">
        <v>22</v>
      </c>
    </row>
    <row r="952" spans="1:22">
      <c r="A952" t="str">
        <f t="shared" ref="A952:A983" si="346">("28/01/2026")</f>
        <v>28/01/2026</v>
      </c>
      <c r="B952" t="str">
        <f t="shared" ref="B952:B983" si="347">"ENTRADA"</f>
        <v>ENTRADA</v>
      </c>
      <c r="C952" t="str">
        <f t="shared" ref="C952:C983" si="348">"NFSE"</f>
        <v>NFSE</v>
      </c>
      <c r="D952" t="str">
        <f>"143"</f>
        <v>143</v>
      </c>
      <c r="E952" t="str">
        <f t="shared" ref="E952:E983" si="349">"1"</f>
        <v>1</v>
      </c>
      <c r="F952" t="str">
        <f t="shared" si="345"/>
        <v>COM</v>
      </c>
      <c r="G952" t="str">
        <f>"AC FARMA - CID.ALTA (10166)"</f>
        <v>AC FARMA - CID.ALTA (10166)</v>
      </c>
      <c r="H952" t="str">
        <f>"Serv.Prest. 12/01/2026 a 18/01/2026 - RPS: 2069 - NFSe: 143"</f>
        <v>Serv.Prest. 12/01/2026 a 18/01/2026 - RPS: 2069 - NFSe: 143</v>
      </c>
      <c r="I952" t="str">
        <f t="shared" ref="I952:I963" si="350">("28/01/2026")</f>
        <v>28/01/2026</v>
      </c>
      <c r="J952" t="str">
        <f t="shared" ref="J952:J959" si="351">("20/01/2026")</f>
        <v>20/01/2026</v>
      </c>
      <c r="K952" t="str">
        <f>("28/01/2026")</f>
        <v>28/01/2026</v>
      </c>
      <c r="L952">
        <v>929.75</v>
      </c>
      <c r="M952">
        <v>929.75</v>
      </c>
      <c r="N952">
        <v>303</v>
      </c>
      <c r="O952" t="str">
        <f>"RECEITAS COM ENTREGAS"</f>
        <v>RECEITAS COM ENTREGAS</v>
      </c>
      <c r="P952">
        <v>929.75</v>
      </c>
      <c r="S952" t="str">
        <f>"RECEITAS COM ENTREGAS (303)"</f>
        <v>RECEITAS COM ENTREGAS (303)</v>
      </c>
      <c r="T952">
        <v>4087</v>
      </c>
      <c r="U952">
        <v>3509</v>
      </c>
      <c r="V952" t="s">
        <v>88</v>
      </c>
    </row>
    <row r="953" spans="1:22">
      <c r="A953" t="str">
        <f t="shared" si="346"/>
        <v>28/01/2026</v>
      </c>
      <c r="B953" t="str">
        <f t="shared" si="347"/>
        <v>ENTRADA</v>
      </c>
      <c r="C953" t="str">
        <f t="shared" si="348"/>
        <v>NFSE</v>
      </c>
      <c r="D953" t="str">
        <f>"143"</f>
        <v>143</v>
      </c>
      <c r="E953" t="str">
        <f t="shared" si="349"/>
        <v>1</v>
      </c>
      <c r="F953" t="str">
        <f t="shared" si="345"/>
        <v>COM</v>
      </c>
      <c r="G953" t="str">
        <f>"AC FARMA - CID.ALTA (10166)"</f>
        <v>AC FARMA - CID.ALTA (10166)</v>
      </c>
      <c r="H953" t="s">
        <v>271</v>
      </c>
      <c r="I953" t="str">
        <f t="shared" si="350"/>
        <v>28/01/2026</v>
      </c>
      <c r="J953" t="str">
        <f t="shared" si="351"/>
        <v>20/01/2026</v>
      </c>
      <c r="K953">
        <v>46050</v>
      </c>
      <c r="N953">
        <v>303</v>
      </c>
      <c r="O953" t="s">
        <v>26</v>
      </c>
      <c r="Q953">
        <v>929.75</v>
      </c>
      <c r="R953" t="str">
        <f>"AC FARMA - CID.ALTA (10166)"</f>
        <v>AC FARMA - CID.ALTA (10166)</v>
      </c>
      <c r="S953" t="s">
        <v>27</v>
      </c>
      <c r="T953">
        <v>4087</v>
      </c>
      <c r="U953">
        <v>3509</v>
      </c>
      <c r="V953" t="s">
        <v>88</v>
      </c>
    </row>
    <row r="954" spans="1:22">
      <c r="A954" t="str">
        <f t="shared" si="346"/>
        <v>28/01/2026</v>
      </c>
      <c r="B954" t="str">
        <f t="shared" si="347"/>
        <v>ENTRADA</v>
      </c>
      <c r="C954" t="str">
        <f t="shared" si="348"/>
        <v>NFSE</v>
      </c>
      <c r="D954" t="str">
        <f>"144"</f>
        <v>144</v>
      </c>
      <c r="E954" t="str">
        <f t="shared" si="349"/>
        <v>1</v>
      </c>
      <c r="F954" t="str">
        <f t="shared" si="345"/>
        <v>COM</v>
      </c>
      <c r="G954" t="str">
        <f>"AC FARMA - FLEMINFARMA (10160)"</f>
        <v>AC FARMA - FLEMINFARMA (10160)</v>
      </c>
      <c r="H954" t="str">
        <f>"Serv.Prest. 12/01/2026 a 18/01/2026 - RPS: 2070 - NFSe: 144"</f>
        <v>Serv.Prest. 12/01/2026 a 18/01/2026 - RPS: 2070 - NFSe: 144</v>
      </c>
      <c r="I954" t="str">
        <f t="shared" si="350"/>
        <v>28/01/2026</v>
      </c>
      <c r="J954" t="str">
        <f t="shared" si="351"/>
        <v>20/01/2026</v>
      </c>
      <c r="K954" t="str">
        <f>("28/01/2026")</f>
        <v>28/01/2026</v>
      </c>
      <c r="L954">
        <v>234.26</v>
      </c>
      <c r="M954">
        <v>234.26</v>
      </c>
      <c r="N954">
        <v>303</v>
      </c>
      <c r="O954" t="str">
        <f>"RECEITAS COM ENTREGAS"</f>
        <v>RECEITAS COM ENTREGAS</v>
      </c>
      <c r="P954">
        <v>234.26</v>
      </c>
      <c r="S954" t="str">
        <f>"RECEITAS COM ENTREGAS (303)"</f>
        <v>RECEITAS COM ENTREGAS (303)</v>
      </c>
      <c r="T954">
        <v>4088</v>
      </c>
      <c r="U954">
        <v>3510</v>
      </c>
      <c r="V954" t="s">
        <v>88</v>
      </c>
    </row>
    <row r="955" spans="1:22">
      <c r="A955" t="str">
        <f t="shared" si="346"/>
        <v>28/01/2026</v>
      </c>
      <c r="B955" t="str">
        <f t="shared" si="347"/>
        <v>ENTRADA</v>
      </c>
      <c r="C955" t="str">
        <f t="shared" si="348"/>
        <v>NFSE</v>
      </c>
      <c r="D955" t="str">
        <f>"144"</f>
        <v>144</v>
      </c>
      <c r="E955" t="str">
        <f t="shared" si="349"/>
        <v>1</v>
      </c>
      <c r="F955" t="str">
        <f t="shared" si="345"/>
        <v>COM</v>
      </c>
      <c r="G955" t="str">
        <f>"AC FARMA - FLEMINFARMA (10160)"</f>
        <v>AC FARMA - FLEMINFARMA (10160)</v>
      </c>
      <c r="H955" t="s">
        <v>272</v>
      </c>
      <c r="I955" t="str">
        <f t="shared" si="350"/>
        <v>28/01/2026</v>
      </c>
      <c r="J955" t="str">
        <f t="shared" si="351"/>
        <v>20/01/2026</v>
      </c>
      <c r="K955">
        <v>46050</v>
      </c>
      <c r="N955">
        <v>303</v>
      </c>
      <c r="O955" t="s">
        <v>26</v>
      </c>
      <c r="Q955">
        <v>225.52</v>
      </c>
      <c r="R955" t="str">
        <f>"AC FARMA -  FLEMINFARMA (10159)"</f>
        <v>AC FARMA -  FLEMINFARMA (10159)</v>
      </c>
      <c r="S955" t="s">
        <v>27</v>
      </c>
      <c r="T955">
        <v>4088</v>
      </c>
      <c r="U955">
        <v>3510</v>
      </c>
      <c r="V955" t="s">
        <v>88</v>
      </c>
    </row>
    <row r="956" spans="1:22">
      <c r="A956" t="str">
        <f t="shared" si="346"/>
        <v>28/01/2026</v>
      </c>
      <c r="B956" t="str">
        <f t="shared" si="347"/>
        <v>ENTRADA</v>
      </c>
      <c r="C956" t="str">
        <f t="shared" si="348"/>
        <v>NFSE</v>
      </c>
      <c r="D956" t="str">
        <f>"144"</f>
        <v>144</v>
      </c>
      <c r="E956" t="str">
        <f t="shared" si="349"/>
        <v>1</v>
      </c>
      <c r="F956" t="str">
        <f t="shared" si="345"/>
        <v>COM</v>
      </c>
      <c r="G956" t="str">
        <f>"AC FARMA - FLEMINFARMA (10160)"</f>
        <v>AC FARMA - FLEMINFARMA (10160)</v>
      </c>
      <c r="H956" t="s">
        <v>272</v>
      </c>
      <c r="I956" t="str">
        <f t="shared" si="350"/>
        <v>28/01/2026</v>
      </c>
      <c r="J956" t="str">
        <f t="shared" si="351"/>
        <v>20/01/2026</v>
      </c>
      <c r="K956">
        <v>46050</v>
      </c>
      <c r="N956">
        <v>303</v>
      </c>
      <c r="O956" t="s">
        <v>26</v>
      </c>
      <c r="Q956">
        <v>8.74</v>
      </c>
      <c r="R956" t="str">
        <f>"AC FARMA - FLEMINFARMA (10160)"</f>
        <v>AC FARMA - FLEMINFARMA (10160)</v>
      </c>
      <c r="S956" t="s">
        <v>27</v>
      </c>
      <c r="T956">
        <v>4088</v>
      </c>
      <c r="U956">
        <v>3510</v>
      </c>
      <c r="V956" t="s">
        <v>88</v>
      </c>
    </row>
    <row r="957" spans="1:22">
      <c r="A957" t="str">
        <f t="shared" si="346"/>
        <v>28/01/2026</v>
      </c>
      <c r="B957" t="str">
        <f t="shared" si="347"/>
        <v>ENTRADA</v>
      </c>
      <c r="C957" t="str">
        <f t="shared" si="348"/>
        <v>NFSE</v>
      </c>
      <c r="D957" t="str">
        <f>"145"</f>
        <v>145</v>
      </c>
      <c r="E957" t="str">
        <f t="shared" si="349"/>
        <v>1</v>
      </c>
      <c r="F957" t="str">
        <f t="shared" si="345"/>
        <v>COM</v>
      </c>
      <c r="G957" t="str">
        <f>"AC FARMA - FLEMINFARMA 5 (10183)"</f>
        <v>AC FARMA - FLEMINFARMA 5 (10183)</v>
      </c>
      <c r="H957" t="str">
        <f>"Serv.Prest. 12/01/2026 a 18/01/2026 - RPS: 2071 - NFSe: 145"</f>
        <v>Serv.Prest. 12/01/2026 a 18/01/2026 - RPS: 2071 - NFSe: 145</v>
      </c>
      <c r="I957" t="str">
        <f t="shared" si="350"/>
        <v>28/01/2026</v>
      </c>
      <c r="J957" t="str">
        <f t="shared" si="351"/>
        <v>20/01/2026</v>
      </c>
      <c r="K957" t="str">
        <f>("28/01/2026")</f>
        <v>28/01/2026</v>
      </c>
      <c r="L957">
        <v>103.3</v>
      </c>
      <c r="M957">
        <v>103.3</v>
      </c>
      <c r="N957">
        <v>303</v>
      </c>
      <c r="O957" t="str">
        <f>"RECEITAS COM ENTREGAS"</f>
        <v>RECEITAS COM ENTREGAS</v>
      </c>
      <c r="P957">
        <v>103.3</v>
      </c>
      <c r="S957" t="str">
        <f>"RECEITAS COM ENTREGAS (303)"</f>
        <v>RECEITAS COM ENTREGAS (303)</v>
      </c>
      <c r="T957">
        <v>4089</v>
      </c>
      <c r="U957">
        <v>3511</v>
      </c>
      <c r="V957" t="s">
        <v>88</v>
      </c>
    </row>
    <row r="958" spans="1:22">
      <c r="A958" t="str">
        <f t="shared" si="346"/>
        <v>28/01/2026</v>
      </c>
      <c r="B958" t="str">
        <f t="shared" si="347"/>
        <v>ENTRADA</v>
      </c>
      <c r="C958" t="str">
        <f t="shared" si="348"/>
        <v>NFSE</v>
      </c>
      <c r="D958" t="str">
        <f>"145"</f>
        <v>145</v>
      </c>
      <c r="E958" t="str">
        <f t="shared" si="349"/>
        <v>1</v>
      </c>
      <c r="F958" t="str">
        <f t="shared" si="345"/>
        <v>COM</v>
      </c>
      <c r="G958" t="str">
        <f>"AC FARMA - FLEMINFARMA 5 (10183)"</f>
        <v>AC FARMA - FLEMINFARMA 5 (10183)</v>
      </c>
      <c r="H958" t="s">
        <v>273</v>
      </c>
      <c r="I958" t="str">
        <f t="shared" si="350"/>
        <v>28/01/2026</v>
      </c>
      <c r="J958" t="str">
        <f t="shared" si="351"/>
        <v>20/01/2026</v>
      </c>
      <c r="K958">
        <v>46050</v>
      </c>
      <c r="N958">
        <v>303</v>
      </c>
      <c r="O958" t="s">
        <v>26</v>
      </c>
      <c r="Q958">
        <v>100.39</v>
      </c>
      <c r="R958" t="str">
        <f>"AC FARMA - FLEMINFARMA 5 (10183)"</f>
        <v>AC FARMA - FLEMINFARMA 5 (10183)</v>
      </c>
      <c r="S958" t="s">
        <v>27</v>
      </c>
      <c r="T958">
        <v>4089</v>
      </c>
      <c r="U958">
        <v>3511</v>
      </c>
      <c r="V958" t="s">
        <v>88</v>
      </c>
    </row>
    <row r="959" spans="1:22">
      <c r="A959" t="str">
        <f t="shared" si="346"/>
        <v>28/01/2026</v>
      </c>
      <c r="B959" t="str">
        <f t="shared" si="347"/>
        <v>ENTRADA</v>
      </c>
      <c r="C959" t="str">
        <f t="shared" si="348"/>
        <v>NFSE</v>
      </c>
      <c r="D959" t="str">
        <f>"145"</f>
        <v>145</v>
      </c>
      <c r="E959" t="str">
        <f t="shared" si="349"/>
        <v>1</v>
      </c>
      <c r="F959" t="str">
        <f t="shared" si="345"/>
        <v>COM</v>
      </c>
      <c r="G959" t="str">
        <f>"AC FARMA - FLEMINFARMA 5 (10183)"</f>
        <v>AC FARMA - FLEMINFARMA 5 (10183)</v>
      </c>
      <c r="H959" t="s">
        <v>273</v>
      </c>
      <c r="I959" t="str">
        <f t="shared" si="350"/>
        <v>28/01/2026</v>
      </c>
      <c r="J959" t="str">
        <f t="shared" si="351"/>
        <v>20/01/2026</v>
      </c>
      <c r="K959">
        <v>46050</v>
      </c>
      <c r="N959">
        <v>303</v>
      </c>
      <c r="O959" t="s">
        <v>26</v>
      </c>
      <c r="Q959">
        <v>2.91</v>
      </c>
      <c r="R959" t="str">
        <f>"AC FARMA - FLEMINFARMA 6 (10184)"</f>
        <v>AC FARMA - FLEMINFARMA 6 (10184)</v>
      </c>
      <c r="S959" t="s">
        <v>27</v>
      </c>
      <c r="T959">
        <v>4089</v>
      </c>
      <c r="U959">
        <v>3511</v>
      </c>
      <c r="V959" t="s">
        <v>88</v>
      </c>
    </row>
    <row r="960" spans="1:22">
      <c r="A960" t="str">
        <f t="shared" si="346"/>
        <v>28/01/2026</v>
      </c>
      <c r="B960" t="str">
        <f t="shared" si="347"/>
        <v>ENTRADA</v>
      </c>
      <c r="C960" t="str">
        <f t="shared" si="348"/>
        <v>NFSE</v>
      </c>
      <c r="D960" t="str">
        <f>"183"</f>
        <v>183</v>
      </c>
      <c r="E960" t="str">
        <f t="shared" si="349"/>
        <v>1</v>
      </c>
      <c r="F960" t="str">
        <f t="shared" si="345"/>
        <v>COM</v>
      </c>
      <c r="G960" t="str">
        <f>"DROGARIA ISABELLA (10276)"</f>
        <v>DROGARIA ISABELLA (10276)</v>
      </c>
      <c r="H960" t="str">
        <f>"Serv.Prest. 19/01/2026 a 25/01/2026 - RPS: 2108 - NFSe: 183"</f>
        <v>Serv.Prest. 19/01/2026 a 25/01/2026 - RPS: 2108 - NFSe: 183</v>
      </c>
      <c r="I960" t="str">
        <f t="shared" si="350"/>
        <v>28/01/2026</v>
      </c>
      <c r="J960" t="str">
        <f>("26/01/2026")</f>
        <v>26/01/2026</v>
      </c>
      <c r="K960" t="str">
        <f>("28/01/2026")</f>
        <v>28/01/2026</v>
      </c>
      <c r="L960">
        <v>269.10000000000002</v>
      </c>
      <c r="M960">
        <v>269.10000000000002</v>
      </c>
      <c r="N960">
        <v>303</v>
      </c>
      <c r="O960" t="str">
        <f>"RECEITAS COM ENTREGAS"</f>
        <v>RECEITAS COM ENTREGAS</v>
      </c>
      <c r="P960">
        <v>269.10000000000002</v>
      </c>
      <c r="S960" t="str">
        <f>"RECEITAS COM ENTREGAS (303)"</f>
        <v>RECEITAS COM ENTREGAS (303)</v>
      </c>
      <c r="T960">
        <v>4090</v>
      </c>
      <c r="U960">
        <v>3575</v>
      </c>
      <c r="V960" t="s">
        <v>88</v>
      </c>
    </row>
    <row r="961" spans="1:22">
      <c r="A961" t="str">
        <f t="shared" si="346"/>
        <v>28/01/2026</v>
      </c>
      <c r="B961" t="str">
        <f t="shared" si="347"/>
        <v>ENTRADA</v>
      </c>
      <c r="C961" t="str">
        <f t="shared" si="348"/>
        <v>NFSE</v>
      </c>
      <c r="D961" t="str">
        <f>"183"</f>
        <v>183</v>
      </c>
      <c r="E961" t="str">
        <f t="shared" si="349"/>
        <v>1</v>
      </c>
      <c r="F961" t="str">
        <f t="shared" si="345"/>
        <v>COM</v>
      </c>
      <c r="G961" t="str">
        <f>"DROGARIA ISABELLA (10276)"</f>
        <v>DROGARIA ISABELLA (10276)</v>
      </c>
      <c r="H961" t="s">
        <v>274</v>
      </c>
      <c r="I961" t="str">
        <f t="shared" si="350"/>
        <v>28/01/2026</v>
      </c>
      <c r="J961" t="str">
        <f>("26/01/2026")</f>
        <v>26/01/2026</v>
      </c>
      <c r="K961">
        <v>46050</v>
      </c>
      <c r="N961">
        <v>303</v>
      </c>
      <c r="O961" t="s">
        <v>26</v>
      </c>
      <c r="Q961">
        <v>269.10000000000002</v>
      </c>
      <c r="R961" t="str">
        <f>"DROGARIA ISABELLA (10276)"</f>
        <v>DROGARIA ISABELLA (10276)</v>
      </c>
      <c r="S961" t="s">
        <v>27</v>
      </c>
      <c r="T961">
        <v>4090</v>
      </c>
      <c r="U961">
        <v>3575</v>
      </c>
      <c r="V961" t="s">
        <v>88</v>
      </c>
    </row>
    <row r="962" spans="1:22">
      <c r="A962" t="str">
        <f t="shared" si="346"/>
        <v>28/01/2026</v>
      </c>
      <c r="B962" t="str">
        <f t="shared" si="347"/>
        <v>ENTRADA</v>
      </c>
      <c r="C962" t="str">
        <f t="shared" si="348"/>
        <v>NFSE</v>
      </c>
      <c r="D962" t="str">
        <f>"185"</f>
        <v>185</v>
      </c>
      <c r="E962" t="str">
        <f t="shared" si="349"/>
        <v>1</v>
      </c>
      <c r="F962" t="str">
        <f t="shared" si="345"/>
        <v>COM</v>
      </c>
      <c r="G962" t="str">
        <f>"DROGARIA MORENO LTDA (10171)"</f>
        <v>DROGARIA MORENO LTDA (10171)</v>
      </c>
      <c r="H962" t="str">
        <f>"Serv.Prest. 19/01/2026 a 25/01/2026 - RPS: 2110 - NFSe: 185"</f>
        <v>Serv.Prest. 19/01/2026 a 25/01/2026 - RPS: 2110 - NFSe: 185</v>
      </c>
      <c r="I962" t="str">
        <f t="shared" si="350"/>
        <v>28/01/2026</v>
      </c>
      <c r="J962" t="str">
        <f>("26/01/2026")</f>
        <v>26/01/2026</v>
      </c>
      <c r="K962" t="str">
        <f>("28/01/2026")</f>
        <v>28/01/2026</v>
      </c>
      <c r="L962">
        <v>386.1</v>
      </c>
      <c r="M962">
        <v>386.1</v>
      </c>
      <c r="N962">
        <v>303</v>
      </c>
      <c r="O962" t="str">
        <f>"RECEITAS COM ENTREGAS"</f>
        <v>RECEITAS COM ENTREGAS</v>
      </c>
      <c r="P962">
        <v>386.1</v>
      </c>
      <c r="S962" t="str">
        <f>"RECEITAS COM ENTREGAS (303)"</f>
        <v>RECEITAS COM ENTREGAS (303)</v>
      </c>
      <c r="T962">
        <v>4091</v>
      </c>
      <c r="U962">
        <v>3577</v>
      </c>
      <c r="V962" t="s">
        <v>88</v>
      </c>
    </row>
    <row r="963" spans="1:22">
      <c r="A963" t="str">
        <f t="shared" si="346"/>
        <v>28/01/2026</v>
      </c>
      <c r="B963" t="str">
        <f t="shared" si="347"/>
        <v>ENTRADA</v>
      </c>
      <c r="C963" t="str">
        <f t="shared" si="348"/>
        <v>NFSE</v>
      </c>
      <c r="D963" t="str">
        <f>"185"</f>
        <v>185</v>
      </c>
      <c r="E963" t="str">
        <f t="shared" si="349"/>
        <v>1</v>
      </c>
      <c r="F963" t="str">
        <f t="shared" si="345"/>
        <v>COM</v>
      </c>
      <c r="G963" t="str">
        <f>"DROGARIA MORENO LTDA (10171)"</f>
        <v>DROGARIA MORENO LTDA (10171)</v>
      </c>
      <c r="H963" t="s">
        <v>275</v>
      </c>
      <c r="I963" t="str">
        <f t="shared" si="350"/>
        <v>28/01/2026</v>
      </c>
      <c r="J963" t="str">
        <f>("26/01/2026")</f>
        <v>26/01/2026</v>
      </c>
      <c r="K963">
        <v>46050</v>
      </c>
      <c r="N963">
        <v>303</v>
      </c>
      <c r="O963" t="s">
        <v>26</v>
      </c>
      <c r="Q963">
        <v>386.1</v>
      </c>
      <c r="R963" t="str">
        <f>"DROGARIA MORENO LTDA (10171)"</f>
        <v>DROGARIA MORENO LTDA (10171)</v>
      </c>
      <c r="S963" t="s">
        <v>27</v>
      </c>
      <c r="T963">
        <v>4091</v>
      </c>
      <c r="U963">
        <v>3577</v>
      </c>
      <c r="V963" t="s">
        <v>88</v>
      </c>
    </row>
    <row r="964" spans="1:22">
      <c r="A964" t="str">
        <f t="shared" si="346"/>
        <v>28/01/2026</v>
      </c>
      <c r="B964" t="str">
        <f t="shared" si="347"/>
        <v>ENTRADA</v>
      </c>
      <c r="C964" t="str">
        <f t="shared" si="348"/>
        <v>NFSE</v>
      </c>
      <c r="D964" t="str">
        <f>"138"</f>
        <v>138</v>
      </c>
      <c r="E964" t="str">
        <f t="shared" si="349"/>
        <v>1</v>
      </c>
      <c r="F964" t="str">
        <f t="shared" si="345"/>
        <v>COM</v>
      </c>
      <c r="G964" t="str">
        <f>"DROGARIA VAZ (10179)"</f>
        <v>DROGARIA VAZ (10179)</v>
      </c>
      <c r="H964" t="str">
        <f>"Serv.Prest. 12/01/2026 a 18/01/2026 - RPS: 2064 - NFSe: 138"</f>
        <v>Serv.Prest. 12/01/2026 a 18/01/2026 - RPS: 2064 - NFSe: 138</v>
      </c>
      <c r="I964" t="str">
        <f>("21/01/2026")</f>
        <v>21/01/2026</v>
      </c>
      <c r="J964" t="str">
        <f>("20/01/2026")</f>
        <v>20/01/2026</v>
      </c>
      <c r="K964" t="str">
        <f>("28/01/2026")</f>
        <v>28/01/2026</v>
      </c>
      <c r="L964">
        <v>374.89</v>
      </c>
      <c r="M964">
        <v>408.62</v>
      </c>
      <c r="N964">
        <v>303</v>
      </c>
      <c r="O964" t="str">
        <f>"RECEITAS COM ENTREGAS"</f>
        <v>RECEITAS COM ENTREGAS</v>
      </c>
      <c r="P964">
        <v>408.62</v>
      </c>
      <c r="S964" t="str">
        <f>"RECEITAS COM ENTREGAS (303)"</f>
        <v>RECEITAS COM ENTREGAS (303)</v>
      </c>
      <c r="T964">
        <v>4100</v>
      </c>
      <c r="U964">
        <v>3504</v>
      </c>
      <c r="V964" t="s">
        <v>88</v>
      </c>
    </row>
    <row r="965" spans="1:22">
      <c r="A965" t="str">
        <f t="shared" si="346"/>
        <v>28/01/2026</v>
      </c>
      <c r="B965" t="str">
        <f t="shared" si="347"/>
        <v>ENTRADA</v>
      </c>
      <c r="C965" t="str">
        <f t="shared" si="348"/>
        <v>NFSE</v>
      </c>
      <c r="D965" t="str">
        <f>"138"</f>
        <v>138</v>
      </c>
      <c r="E965" t="str">
        <f t="shared" si="349"/>
        <v>1</v>
      </c>
      <c r="F965" t="str">
        <f t="shared" si="345"/>
        <v>COM</v>
      </c>
      <c r="G965" t="str">
        <f>"DROGARIA VAZ (10179)"</f>
        <v>DROGARIA VAZ (10179)</v>
      </c>
      <c r="H965" t="s">
        <v>276</v>
      </c>
      <c r="I965" t="str">
        <f>("21/01/2026")</f>
        <v>21/01/2026</v>
      </c>
      <c r="J965" t="str">
        <f>("20/01/2026")</f>
        <v>20/01/2026</v>
      </c>
      <c r="K965">
        <v>46050</v>
      </c>
      <c r="N965">
        <v>303</v>
      </c>
      <c r="O965" t="s">
        <v>26</v>
      </c>
      <c r="Q965">
        <v>408.62</v>
      </c>
      <c r="R965" t="str">
        <f>"DROGARIA VAZ (10179)"</f>
        <v>DROGARIA VAZ (10179)</v>
      </c>
      <c r="S965" t="s">
        <v>27</v>
      </c>
      <c r="T965">
        <v>4100</v>
      </c>
      <c r="U965">
        <v>3504</v>
      </c>
      <c r="V965" t="s">
        <v>88</v>
      </c>
    </row>
    <row r="966" spans="1:22">
      <c r="A966" t="str">
        <f t="shared" si="346"/>
        <v>28/01/2026</v>
      </c>
      <c r="B966" t="str">
        <f t="shared" si="347"/>
        <v>ENTRADA</v>
      </c>
      <c r="C966" t="str">
        <f t="shared" si="348"/>
        <v>NFSE</v>
      </c>
      <c r="D966" t="str">
        <f t="shared" ref="D966:D997" si="352">"117"</f>
        <v>117</v>
      </c>
      <c r="E966" t="str">
        <f t="shared" si="349"/>
        <v>1</v>
      </c>
      <c r="F966" t="str">
        <f t="shared" si="345"/>
        <v>COM</v>
      </c>
      <c r="G966" t="str">
        <f t="shared" ref="G966:G997" si="353">"FARMÁCIA INDIANA LJ 1 (10126)"</f>
        <v>FARMÁCIA INDIANA LJ 1 (10126)</v>
      </c>
      <c r="H966" t="str">
        <f>"Serv.Prest. 12/01/2026 a 18/01/2026 - RPS: 2043 - NFSe: 117"</f>
        <v>Serv.Prest. 12/01/2026 a 18/01/2026 - RPS: 2043 - NFSe: 117</v>
      </c>
      <c r="I966" t="str">
        <f t="shared" ref="I966:I997" si="354">("28/01/2026")</f>
        <v>28/01/2026</v>
      </c>
      <c r="J966" t="str">
        <f t="shared" ref="J966:J997" si="355">("19/01/2026")</f>
        <v>19/01/2026</v>
      </c>
      <c r="K966" t="str">
        <f>("28/01/2026")</f>
        <v>28/01/2026</v>
      </c>
      <c r="L966">
        <v>12952.89</v>
      </c>
      <c r="M966">
        <v>12952.89</v>
      </c>
      <c r="N966">
        <v>303</v>
      </c>
      <c r="O966" t="str">
        <f>"RECEITAS COM ENTREGAS"</f>
        <v>RECEITAS COM ENTREGAS</v>
      </c>
      <c r="P966">
        <v>12952.89</v>
      </c>
      <c r="S966" t="str">
        <f>"RECEITAS COM ENTREGAS (303)"</f>
        <v>RECEITAS COM ENTREGAS (303)</v>
      </c>
      <c r="T966">
        <v>4106</v>
      </c>
      <c r="U966">
        <v>3483</v>
      </c>
      <c r="V966" t="s">
        <v>22</v>
      </c>
    </row>
    <row r="967" spans="1:22">
      <c r="A967" t="str">
        <f t="shared" si="346"/>
        <v>28/01/2026</v>
      </c>
      <c r="B967" t="str">
        <f t="shared" si="347"/>
        <v>ENTRADA</v>
      </c>
      <c r="C967" t="str">
        <f t="shared" si="348"/>
        <v>NFSE</v>
      </c>
      <c r="D967" t="str">
        <f t="shared" si="352"/>
        <v>117</v>
      </c>
      <c r="E967" t="str">
        <f t="shared" si="349"/>
        <v>1</v>
      </c>
      <c r="F967" t="str">
        <f t="shared" si="345"/>
        <v>COM</v>
      </c>
      <c r="G967" t="str">
        <f t="shared" si="353"/>
        <v>FARMÁCIA INDIANA LJ 1 (10126)</v>
      </c>
      <c r="H967" t="s">
        <v>277</v>
      </c>
      <c r="I967" t="str">
        <f t="shared" si="354"/>
        <v>28/01/2026</v>
      </c>
      <c r="J967" t="str">
        <f t="shared" si="355"/>
        <v>19/01/2026</v>
      </c>
      <c r="K967">
        <v>46050</v>
      </c>
      <c r="N967">
        <v>303</v>
      </c>
      <c r="O967" t="s">
        <v>26</v>
      </c>
      <c r="Q967">
        <v>1948.06</v>
      </c>
      <c r="R967" t="str">
        <f>"FARMÁCIA INDIANA LJ 06 (10006)"</f>
        <v>FARMÁCIA INDIANA LJ 06 (10006)</v>
      </c>
      <c r="S967" t="s">
        <v>27</v>
      </c>
      <c r="T967">
        <v>4106</v>
      </c>
      <c r="U967">
        <v>3483</v>
      </c>
      <c r="V967" t="s">
        <v>22</v>
      </c>
    </row>
    <row r="968" spans="1:22">
      <c r="A968" t="str">
        <f t="shared" si="346"/>
        <v>28/01/2026</v>
      </c>
      <c r="B968" t="str">
        <f t="shared" si="347"/>
        <v>ENTRADA</v>
      </c>
      <c r="C968" t="str">
        <f t="shared" si="348"/>
        <v>NFSE</v>
      </c>
      <c r="D968" t="str">
        <f t="shared" si="352"/>
        <v>117</v>
      </c>
      <c r="E968" t="str">
        <f t="shared" si="349"/>
        <v>1</v>
      </c>
      <c r="F968" t="str">
        <f t="shared" si="345"/>
        <v>COM</v>
      </c>
      <c r="G968" t="str">
        <f t="shared" si="353"/>
        <v>FARMÁCIA INDIANA LJ 1 (10126)</v>
      </c>
      <c r="H968" t="s">
        <v>277</v>
      </c>
      <c r="I968" t="str">
        <f t="shared" si="354"/>
        <v>28/01/2026</v>
      </c>
      <c r="J968" t="str">
        <f t="shared" si="355"/>
        <v>19/01/2026</v>
      </c>
      <c r="K968">
        <v>46050</v>
      </c>
      <c r="N968">
        <v>303</v>
      </c>
      <c r="O968" t="s">
        <v>26</v>
      </c>
      <c r="Q968">
        <v>1375.6</v>
      </c>
      <c r="R968" t="str">
        <f>"FARMÁCIA INDIANA LJ 07 (10007)"</f>
        <v>FARMÁCIA INDIANA LJ 07 (10007)</v>
      </c>
      <c r="S968" t="s">
        <v>27</v>
      </c>
      <c r="T968">
        <v>4106</v>
      </c>
      <c r="U968">
        <v>3483</v>
      </c>
      <c r="V968" t="s">
        <v>22</v>
      </c>
    </row>
    <row r="969" spans="1:22">
      <c r="A969" t="str">
        <f t="shared" si="346"/>
        <v>28/01/2026</v>
      </c>
      <c r="B969" t="str">
        <f t="shared" si="347"/>
        <v>ENTRADA</v>
      </c>
      <c r="C969" t="str">
        <f t="shared" si="348"/>
        <v>NFSE</v>
      </c>
      <c r="D969" t="str">
        <f t="shared" si="352"/>
        <v>117</v>
      </c>
      <c r="E969" t="str">
        <f t="shared" si="349"/>
        <v>1</v>
      </c>
      <c r="F969" t="str">
        <f t="shared" si="345"/>
        <v>COM</v>
      </c>
      <c r="G969" t="str">
        <f t="shared" si="353"/>
        <v>FARMÁCIA INDIANA LJ 1 (10126)</v>
      </c>
      <c r="H969" t="s">
        <v>277</v>
      </c>
      <c r="I969" t="str">
        <f t="shared" si="354"/>
        <v>28/01/2026</v>
      </c>
      <c r="J969" t="str">
        <f t="shared" si="355"/>
        <v>19/01/2026</v>
      </c>
      <c r="K969">
        <v>46050</v>
      </c>
      <c r="N969">
        <v>303</v>
      </c>
      <c r="O969" t="s">
        <v>26</v>
      </c>
      <c r="Q969">
        <v>942.97</v>
      </c>
      <c r="R969" t="str">
        <f>"FARMÁCIA INDIANA LJ 11 (10008)"</f>
        <v>FARMÁCIA INDIANA LJ 11 (10008)</v>
      </c>
      <c r="S969" t="s">
        <v>27</v>
      </c>
      <c r="T969">
        <v>4106</v>
      </c>
      <c r="U969">
        <v>3483</v>
      </c>
      <c r="V969" t="s">
        <v>22</v>
      </c>
    </row>
    <row r="970" spans="1:22">
      <c r="A970" t="str">
        <f t="shared" si="346"/>
        <v>28/01/2026</v>
      </c>
      <c r="B970" t="str">
        <f t="shared" si="347"/>
        <v>ENTRADA</v>
      </c>
      <c r="C970" t="str">
        <f t="shared" si="348"/>
        <v>NFSE</v>
      </c>
      <c r="D970" t="str">
        <f t="shared" si="352"/>
        <v>117</v>
      </c>
      <c r="E970" t="str">
        <f t="shared" si="349"/>
        <v>1</v>
      </c>
      <c r="F970" t="str">
        <f t="shared" si="345"/>
        <v>COM</v>
      </c>
      <c r="G970" t="str">
        <f t="shared" si="353"/>
        <v>FARMÁCIA INDIANA LJ 1 (10126)</v>
      </c>
      <c r="H970" t="s">
        <v>277</v>
      </c>
      <c r="I970" t="str">
        <f t="shared" si="354"/>
        <v>28/01/2026</v>
      </c>
      <c r="J970" t="str">
        <f t="shared" si="355"/>
        <v>19/01/2026</v>
      </c>
      <c r="K970">
        <v>46050</v>
      </c>
      <c r="N970">
        <v>303</v>
      </c>
      <c r="O970" t="s">
        <v>26</v>
      </c>
      <c r="Q970">
        <v>476.67</v>
      </c>
      <c r="R970" t="str">
        <f>"FARMÁCIA INDIANA LJ 14 (10009)"</f>
        <v>FARMÁCIA INDIANA LJ 14 (10009)</v>
      </c>
      <c r="S970" t="s">
        <v>27</v>
      </c>
      <c r="T970">
        <v>4106</v>
      </c>
      <c r="U970">
        <v>3483</v>
      </c>
      <c r="V970" t="s">
        <v>22</v>
      </c>
    </row>
    <row r="971" spans="1:22">
      <c r="A971" t="str">
        <f t="shared" si="346"/>
        <v>28/01/2026</v>
      </c>
      <c r="B971" t="str">
        <f t="shared" si="347"/>
        <v>ENTRADA</v>
      </c>
      <c r="C971" t="str">
        <f t="shared" si="348"/>
        <v>NFSE</v>
      </c>
      <c r="D971" t="str">
        <f t="shared" si="352"/>
        <v>117</v>
      </c>
      <c r="E971" t="str">
        <f t="shared" si="349"/>
        <v>1</v>
      </c>
      <c r="F971" t="str">
        <f t="shared" si="345"/>
        <v>COM</v>
      </c>
      <c r="G971" t="str">
        <f t="shared" si="353"/>
        <v>FARMÁCIA INDIANA LJ 1 (10126)</v>
      </c>
      <c r="H971" t="s">
        <v>277</v>
      </c>
      <c r="I971" t="str">
        <f t="shared" si="354"/>
        <v>28/01/2026</v>
      </c>
      <c r="J971" t="str">
        <f t="shared" si="355"/>
        <v>19/01/2026</v>
      </c>
      <c r="K971">
        <v>46050</v>
      </c>
      <c r="N971">
        <v>303</v>
      </c>
      <c r="O971" t="s">
        <v>26</v>
      </c>
      <c r="Q971">
        <v>239.63</v>
      </c>
      <c r="R971" t="str">
        <f>"FARMÁCIA INDIANA LJ 18 (10011)"</f>
        <v>FARMÁCIA INDIANA LJ 18 (10011)</v>
      </c>
      <c r="S971" t="s">
        <v>27</v>
      </c>
      <c r="T971">
        <v>4106</v>
      </c>
      <c r="U971">
        <v>3483</v>
      </c>
      <c r="V971" t="s">
        <v>22</v>
      </c>
    </row>
    <row r="972" spans="1:22">
      <c r="A972" t="str">
        <f t="shared" si="346"/>
        <v>28/01/2026</v>
      </c>
      <c r="B972" t="str">
        <f t="shared" si="347"/>
        <v>ENTRADA</v>
      </c>
      <c r="C972" t="str">
        <f t="shared" si="348"/>
        <v>NFSE</v>
      </c>
      <c r="D972" t="str">
        <f t="shared" si="352"/>
        <v>117</v>
      </c>
      <c r="E972" t="str">
        <f t="shared" si="349"/>
        <v>1</v>
      </c>
      <c r="F972" t="str">
        <f t="shared" si="345"/>
        <v>COM</v>
      </c>
      <c r="G972" t="str">
        <f t="shared" si="353"/>
        <v>FARMÁCIA INDIANA LJ 1 (10126)</v>
      </c>
      <c r="H972" t="s">
        <v>277</v>
      </c>
      <c r="I972" t="str">
        <f t="shared" si="354"/>
        <v>28/01/2026</v>
      </c>
      <c r="J972" t="str">
        <f t="shared" si="355"/>
        <v>19/01/2026</v>
      </c>
      <c r="K972">
        <v>46050</v>
      </c>
      <c r="N972">
        <v>303</v>
      </c>
      <c r="O972" t="s">
        <v>26</v>
      </c>
      <c r="Q972">
        <v>382.11</v>
      </c>
      <c r="R972" t="str">
        <f>"FARMÁCIA INDIANA LJ 19 (10012)"</f>
        <v>FARMÁCIA INDIANA LJ 19 (10012)</v>
      </c>
      <c r="S972" t="s">
        <v>27</v>
      </c>
      <c r="T972">
        <v>4106</v>
      </c>
      <c r="U972">
        <v>3483</v>
      </c>
      <c r="V972" t="s">
        <v>22</v>
      </c>
    </row>
    <row r="973" spans="1:22">
      <c r="A973" t="str">
        <f t="shared" si="346"/>
        <v>28/01/2026</v>
      </c>
      <c r="B973" t="str">
        <f t="shared" si="347"/>
        <v>ENTRADA</v>
      </c>
      <c r="C973" t="str">
        <f t="shared" si="348"/>
        <v>NFSE</v>
      </c>
      <c r="D973" t="str">
        <f t="shared" si="352"/>
        <v>117</v>
      </c>
      <c r="E973" t="str">
        <f t="shared" si="349"/>
        <v>1</v>
      </c>
      <c r="F973" t="str">
        <f t="shared" si="345"/>
        <v>COM</v>
      </c>
      <c r="G973" t="str">
        <f t="shared" si="353"/>
        <v>FARMÁCIA INDIANA LJ 1 (10126)</v>
      </c>
      <c r="H973" t="s">
        <v>277</v>
      </c>
      <c r="I973" t="str">
        <f t="shared" si="354"/>
        <v>28/01/2026</v>
      </c>
      <c r="J973" t="str">
        <f t="shared" si="355"/>
        <v>19/01/2026</v>
      </c>
      <c r="K973">
        <v>46050</v>
      </c>
      <c r="N973">
        <v>303</v>
      </c>
      <c r="O973" t="s">
        <v>26</v>
      </c>
      <c r="Q973">
        <v>449.47</v>
      </c>
      <c r="R973" t="str">
        <f>"FARMÁCIA INDIANA LJ 40 (10016)"</f>
        <v>FARMÁCIA INDIANA LJ 40 (10016)</v>
      </c>
      <c r="S973" t="s">
        <v>27</v>
      </c>
      <c r="T973">
        <v>4106</v>
      </c>
      <c r="U973">
        <v>3483</v>
      </c>
      <c r="V973" t="s">
        <v>22</v>
      </c>
    </row>
    <row r="974" spans="1:22">
      <c r="A974" t="str">
        <f t="shared" si="346"/>
        <v>28/01/2026</v>
      </c>
      <c r="B974" t="str">
        <f t="shared" si="347"/>
        <v>ENTRADA</v>
      </c>
      <c r="C974" t="str">
        <f t="shared" si="348"/>
        <v>NFSE</v>
      </c>
      <c r="D974" t="str">
        <f t="shared" si="352"/>
        <v>117</v>
      </c>
      <c r="E974" t="str">
        <f t="shared" si="349"/>
        <v>1</v>
      </c>
      <c r="F974" t="str">
        <f t="shared" si="345"/>
        <v>COM</v>
      </c>
      <c r="G974" t="str">
        <f t="shared" si="353"/>
        <v>FARMÁCIA INDIANA LJ 1 (10126)</v>
      </c>
      <c r="H974" t="s">
        <v>277</v>
      </c>
      <c r="I974" t="str">
        <f t="shared" si="354"/>
        <v>28/01/2026</v>
      </c>
      <c r="J974" t="str">
        <f t="shared" si="355"/>
        <v>19/01/2026</v>
      </c>
      <c r="K974">
        <v>46050</v>
      </c>
      <c r="N974">
        <v>303</v>
      </c>
      <c r="O974" t="s">
        <v>26</v>
      </c>
      <c r="Q974">
        <v>256.47000000000003</v>
      </c>
      <c r="R974" t="str">
        <f>"FARMÁCIA INDIANA LJ 59 (10026)"</f>
        <v>FARMÁCIA INDIANA LJ 59 (10026)</v>
      </c>
      <c r="S974" t="s">
        <v>27</v>
      </c>
      <c r="T974">
        <v>4106</v>
      </c>
      <c r="U974">
        <v>3483</v>
      </c>
      <c r="V974" t="s">
        <v>22</v>
      </c>
    </row>
    <row r="975" spans="1:22">
      <c r="A975" t="str">
        <f t="shared" si="346"/>
        <v>28/01/2026</v>
      </c>
      <c r="B975" t="str">
        <f t="shared" si="347"/>
        <v>ENTRADA</v>
      </c>
      <c r="C975" t="str">
        <f t="shared" si="348"/>
        <v>NFSE</v>
      </c>
      <c r="D975" t="str">
        <f t="shared" si="352"/>
        <v>117</v>
      </c>
      <c r="E975" t="str">
        <f t="shared" si="349"/>
        <v>1</v>
      </c>
      <c r="F975" t="str">
        <f t="shared" si="345"/>
        <v>COM</v>
      </c>
      <c r="G975" t="str">
        <f t="shared" si="353"/>
        <v>FARMÁCIA INDIANA LJ 1 (10126)</v>
      </c>
      <c r="H975" t="s">
        <v>277</v>
      </c>
      <c r="I975" t="str">
        <f t="shared" si="354"/>
        <v>28/01/2026</v>
      </c>
      <c r="J975" t="str">
        <f t="shared" si="355"/>
        <v>19/01/2026</v>
      </c>
      <c r="K975">
        <v>46050</v>
      </c>
      <c r="N975">
        <v>303</v>
      </c>
      <c r="O975" t="s">
        <v>26</v>
      </c>
      <c r="Q975">
        <v>449.47</v>
      </c>
      <c r="R975" t="str">
        <f>"FARMÁCIA INDIANA LJ 61 (10027)"</f>
        <v>FARMÁCIA INDIANA LJ 61 (10027)</v>
      </c>
      <c r="S975" t="s">
        <v>27</v>
      </c>
      <c r="T975">
        <v>4106</v>
      </c>
      <c r="U975">
        <v>3483</v>
      </c>
      <c r="V975" t="s">
        <v>22</v>
      </c>
    </row>
    <row r="976" spans="1:22">
      <c r="A976" t="str">
        <f t="shared" si="346"/>
        <v>28/01/2026</v>
      </c>
      <c r="B976" t="str">
        <f t="shared" si="347"/>
        <v>ENTRADA</v>
      </c>
      <c r="C976" t="str">
        <f t="shared" si="348"/>
        <v>NFSE</v>
      </c>
      <c r="D976" t="str">
        <f t="shared" si="352"/>
        <v>117</v>
      </c>
      <c r="E976" t="str">
        <f t="shared" si="349"/>
        <v>1</v>
      </c>
      <c r="F976" t="str">
        <f t="shared" si="345"/>
        <v>COM</v>
      </c>
      <c r="G976" t="str">
        <f t="shared" si="353"/>
        <v>FARMÁCIA INDIANA LJ 1 (10126)</v>
      </c>
      <c r="H976" t="s">
        <v>277</v>
      </c>
      <c r="I976" t="str">
        <f t="shared" si="354"/>
        <v>28/01/2026</v>
      </c>
      <c r="J976" t="str">
        <f t="shared" si="355"/>
        <v>19/01/2026</v>
      </c>
      <c r="K976">
        <v>46050</v>
      </c>
      <c r="N976">
        <v>303</v>
      </c>
      <c r="O976" t="s">
        <v>26</v>
      </c>
      <c r="Q976">
        <v>208.54</v>
      </c>
      <c r="R976" t="str">
        <f>"FARMÁCIA INDIANA LJ 62 (10028)"</f>
        <v>FARMÁCIA INDIANA LJ 62 (10028)</v>
      </c>
      <c r="S976" t="s">
        <v>27</v>
      </c>
      <c r="T976">
        <v>4106</v>
      </c>
      <c r="U976">
        <v>3483</v>
      </c>
      <c r="V976" t="s">
        <v>22</v>
      </c>
    </row>
    <row r="977" spans="1:22">
      <c r="A977" t="str">
        <f t="shared" si="346"/>
        <v>28/01/2026</v>
      </c>
      <c r="B977" t="str">
        <f t="shared" si="347"/>
        <v>ENTRADA</v>
      </c>
      <c r="C977" t="str">
        <f t="shared" si="348"/>
        <v>NFSE</v>
      </c>
      <c r="D977" t="str">
        <f t="shared" si="352"/>
        <v>117</v>
      </c>
      <c r="E977" t="str">
        <f t="shared" si="349"/>
        <v>1</v>
      </c>
      <c r="F977" t="str">
        <f t="shared" si="345"/>
        <v>COM</v>
      </c>
      <c r="G977" t="str">
        <f t="shared" si="353"/>
        <v>FARMÁCIA INDIANA LJ 1 (10126)</v>
      </c>
      <c r="H977" t="s">
        <v>277</v>
      </c>
      <c r="I977" t="str">
        <f t="shared" si="354"/>
        <v>28/01/2026</v>
      </c>
      <c r="J977" t="str">
        <f t="shared" si="355"/>
        <v>19/01/2026</v>
      </c>
      <c r="K977">
        <v>46050</v>
      </c>
      <c r="N977">
        <v>303</v>
      </c>
      <c r="O977" t="s">
        <v>26</v>
      </c>
      <c r="Q977">
        <v>85.49</v>
      </c>
      <c r="R977" t="str">
        <f>"FARMÁCIA INDIANA LJ 64 (10029)"</f>
        <v>FARMÁCIA INDIANA LJ 64 (10029)</v>
      </c>
      <c r="S977" t="s">
        <v>27</v>
      </c>
      <c r="T977">
        <v>4106</v>
      </c>
      <c r="U977">
        <v>3483</v>
      </c>
      <c r="V977" t="s">
        <v>22</v>
      </c>
    </row>
    <row r="978" spans="1:22">
      <c r="A978" t="str">
        <f t="shared" si="346"/>
        <v>28/01/2026</v>
      </c>
      <c r="B978" t="str">
        <f t="shared" si="347"/>
        <v>ENTRADA</v>
      </c>
      <c r="C978" t="str">
        <f t="shared" si="348"/>
        <v>NFSE</v>
      </c>
      <c r="D978" t="str">
        <f t="shared" si="352"/>
        <v>117</v>
      </c>
      <c r="E978" t="str">
        <f t="shared" si="349"/>
        <v>1</v>
      </c>
      <c r="F978" t="str">
        <f t="shared" si="345"/>
        <v>COM</v>
      </c>
      <c r="G978" t="str">
        <f t="shared" si="353"/>
        <v>FARMÁCIA INDIANA LJ 1 (10126)</v>
      </c>
      <c r="H978" t="s">
        <v>277</v>
      </c>
      <c r="I978" t="str">
        <f t="shared" si="354"/>
        <v>28/01/2026</v>
      </c>
      <c r="J978" t="str">
        <f t="shared" si="355"/>
        <v>19/01/2026</v>
      </c>
      <c r="K978">
        <v>46050</v>
      </c>
      <c r="N978">
        <v>303</v>
      </c>
      <c r="O978" t="s">
        <v>26</v>
      </c>
      <c r="Q978">
        <v>67.36</v>
      </c>
      <c r="R978" t="str">
        <f>"FARMÁCIA INDIANA LJ 97 (10040)"</f>
        <v>FARMÁCIA INDIANA LJ 97 (10040)</v>
      </c>
      <c r="S978" t="s">
        <v>27</v>
      </c>
      <c r="T978">
        <v>4106</v>
      </c>
      <c r="U978">
        <v>3483</v>
      </c>
      <c r="V978" t="s">
        <v>22</v>
      </c>
    </row>
    <row r="979" spans="1:22">
      <c r="A979" t="str">
        <f t="shared" si="346"/>
        <v>28/01/2026</v>
      </c>
      <c r="B979" t="str">
        <f t="shared" si="347"/>
        <v>ENTRADA</v>
      </c>
      <c r="C979" t="str">
        <f t="shared" si="348"/>
        <v>NFSE</v>
      </c>
      <c r="D979" t="str">
        <f t="shared" si="352"/>
        <v>117</v>
      </c>
      <c r="E979" t="str">
        <f t="shared" si="349"/>
        <v>1</v>
      </c>
      <c r="F979" t="str">
        <f t="shared" si="345"/>
        <v>COM</v>
      </c>
      <c r="G979" t="str">
        <f t="shared" si="353"/>
        <v>FARMÁCIA INDIANA LJ 1 (10126)</v>
      </c>
      <c r="H979" t="s">
        <v>277</v>
      </c>
      <c r="I979" t="str">
        <f t="shared" si="354"/>
        <v>28/01/2026</v>
      </c>
      <c r="J979" t="str">
        <f t="shared" si="355"/>
        <v>19/01/2026</v>
      </c>
      <c r="K979">
        <v>46050</v>
      </c>
      <c r="N979">
        <v>303</v>
      </c>
      <c r="O979" t="s">
        <v>26</v>
      </c>
      <c r="Q979">
        <v>200.77</v>
      </c>
      <c r="R979" t="str">
        <f>"FARMÁCIA INDIANA LJ 100 (10042)"</f>
        <v>FARMÁCIA INDIANA LJ 100 (10042)</v>
      </c>
      <c r="S979" t="s">
        <v>27</v>
      </c>
      <c r="T979">
        <v>4106</v>
      </c>
      <c r="U979">
        <v>3483</v>
      </c>
      <c r="V979" t="s">
        <v>22</v>
      </c>
    </row>
    <row r="980" spans="1:22">
      <c r="A980" t="str">
        <f t="shared" si="346"/>
        <v>28/01/2026</v>
      </c>
      <c r="B980" t="str">
        <f t="shared" si="347"/>
        <v>ENTRADA</v>
      </c>
      <c r="C980" t="str">
        <f t="shared" si="348"/>
        <v>NFSE</v>
      </c>
      <c r="D980" t="str">
        <f t="shared" si="352"/>
        <v>117</v>
      </c>
      <c r="E980" t="str">
        <f t="shared" si="349"/>
        <v>1</v>
      </c>
      <c r="F980" t="str">
        <f t="shared" si="345"/>
        <v>COM</v>
      </c>
      <c r="G980" t="str">
        <f t="shared" si="353"/>
        <v>FARMÁCIA INDIANA LJ 1 (10126)</v>
      </c>
      <c r="H980" t="s">
        <v>277</v>
      </c>
      <c r="I980" t="str">
        <f t="shared" si="354"/>
        <v>28/01/2026</v>
      </c>
      <c r="J980" t="str">
        <f t="shared" si="355"/>
        <v>19/01/2026</v>
      </c>
      <c r="K980">
        <v>46050</v>
      </c>
      <c r="N980">
        <v>303</v>
      </c>
      <c r="O980" t="s">
        <v>26</v>
      </c>
      <c r="Q980">
        <v>831.58</v>
      </c>
      <c r="R980" t="str">
        <f>"FARMÁCIA INDIANA LJ 101 (10043)"</f>
        <v>FARMÁCIA INDIANA LJ 101 (10043)</v>
      </c>
      <c r="S980" t="s">
        <v>27</v>
      </c>
      <c r="T980">
        <v>4106</v>
      </c>
      <c r="U980">
        <v>3483</v>
      </c>
      <c r="V980" t="s">
        <v>22</v>
      </c>
    </row>
    <row r="981" spans="1:22">
      <c r="A981" t="str">
        <f t="shared" si="346"/>
        <v>28/01/2026</v>
      </c>
      <c r="B981" t="str">
        <f t="shared" si="347"/>
        <v>ENTRADA</v>
      </c>
      <c r="C981" t="str">
        <f t="shared" si="348"/>
        <v>NFSE</v>
      </c>
      <c r="D981" t="str">
        <f t="shared" si="352"/>
        <v>117</v>
      </c>
      <c r="E981" t="str">
        <f t="shared" si="349"/>
        <v>1</v>
      </c>
      <c r="F981" t="str">
        <f t="shared" si="345"/>
        <v>COM</v>
      </c>
      <c r="G981" t="str">
        <f t="shared" si="353"/>
        <v>FARMÁCIA INDIANA LJ 1 (10126)</v>
      </c>
      <c r="H981" t="s">
        <v>277</v>
      </c>
      <c r="I981" t="str">
        <f t="shared" si="354"/>
        <v>28/01/2026</v>
      </c>
      <c r="J981" t="str">
        <f t="shared" si="355"/>
        <v>19/01/2026</v>
      </c>
      <c r="K981">
        <v>46050</v>
      </c>
      <c r="N981">
        <v>303</v>
      </c>
      <c r="O981" t="s">
        <v>26</v>
      </c>
      <c r="Q981">
        <v>56.99</v>
      </c>
      <c r="R981" t="str">
        <f>"FARMÁCIA INDIANA LJ 103 (10044)"</f>
        <v>FARMÁCIA INDIANA LJ 103 (10044)</v>
      </c>
      <c r="S981" t="s">
        <v>27</v>
      </c>
      <c r="T981">
        <v>4106</v>
      </c>
      <c r="U981">
        <v>3483</v>
      </c>
      <c r="V981" t="s">
        <v>22</v>
      </c>
    </row>
    <row r="982" spans="1:22">
      <c r="A982" t="str">
        <f t="shared" si="346"/>
        <v>28/01/2026</v>
      </c>
      <c r="B982" t="str">
        <f t="shared" si="347"/>
        <v>ENTRADA</v>
      </c>
      <c r="C982" t="str">
        <f t="shared" si="348"/>
        <v>NFSE</v>
      </c>
      <c r="D982" t="str">
        <f t="shared" si="352"/>
        <v>117</v>
      </c>
      <c r="E982" t="str">
        <f t="shared" si="349"/>
        <v>1</v>
      </c>
      <c r="F982" t="str">
        <f t="shared" ref="F982:F1013" si="356">"COM"</f>
        <v>COM</v>
      </c>
      <c r="G982" t="str">
        <f t="shared" si="353"/>
        <v>FARMÁCIA INDIANA LJ 1 (10126)</v>
      </c>
      <c r="H982" t="s">
        <v>277</v>
      </c>
      <c r="I982" t="str">
        <f t="shared" si="354"/>
        <v>28/01/2026</v>
      </c>
      <c r="J982" t="str">
        <f t="shared" si="355"/>
        <v>19/01/2026</v>
      </c>
      <c r="K982">
        <v>46050</v>
      </c>
      <c r="N982">
        <v>303</v>
      </c>
      <c r="O982" t="s">
        <v>26</v>
      </c>
      <c r="Q982">
        <v>204.66</v>
      </c>
      <c r="R982" t="str">
        <f>"FARMÁCIA INDIANA LJ 109 (10047)"</f>
        <v>FARMÁCIA INDIANA LJ 109 (10047)</v>
      </c>
      <c r="S982" t="s">
        <v>27</v>
      </c>
      <c r="T982">
        <v>4106</v>
      </c>
      <c r="U982">
        <v>3483</v>
      </c>
      <c r="V982" t="s">
        <v>22</v>
      </c>
    </row>
    <row r="983" spans="1:22">
      <c r="A983" t="str">
        <f t="shared" si="346"/>
        <v>28/01/2026</v>
      </c>
      <c r="B983" t="str">
        <f t="shared" si="347"/>
        <v>ENTRADA</v>
      </c>
      <c r="C983" t="str">
        <f t="shared" si="348"/>
        <v>NFSE</v>
      </c>
      <c r="D983" t="str">
        <f t="shared" si="352"/>
        <v>117</v>
      </c>
      <c r="E983" t="str">
        <f t="shared" si="349"/>
        <v>1</v>
      </c>
      <c r="F983" t="str">
        <f t="shared" si="356"/>
        <v>COM</v>
      </c>
      <c r="G983" t="str">
        <f t="shared" si="353"/>
        <v>FARMÁCIA INDIANA LJ 1 (10126)</v>
      </c>
      <c r="H983" t="s">
        <v>277</v>
      </c>
      <c r="I983" t="str">
        <f t="shared" si="354"/>
        <v>28/01/2026</v>
      </c>
      <c r="J983" t="str">
        <f t="shared" si="355"/>
        <v>19/01/2026</v>
      </c>
      <c r="K983">
        <v>46050</v>
      </c>
      <c r="N983">
        <v>303</v>
      </c>
      <c r="O983" t="s">
        <v>26</v>
      </c>
      <c r="Q983">
        <v>396.36</v>
      </c>
      <c r="R983" t="str">
        <f>"FARMÁCIA INDIANA LJ 110 (10048)"</f>
        <v>FARMÁCIA INDIANA LJ 110 (10048)</v>
      </c>
      <c r="S983" t="s">
        <v>27</v>
      </c>
      <c r="T983">
        <v>4106</v>
      </c>
      <c r="U983">
        <v>3483</v>
      </c>
      <c r="V983" t="s">
        <v>22</v>
      </c>
    </row>
    <row r="984" spans="1:22">
      <c r="A984" t="str">
        <f t="shared" ref="A984:A1015" si="357">("28/01/2026")</f>
        <v>28/01/2026</v>
      </c>
      <c r="B984" t="str">
        <f t="shared" ref="B984:B1015" si="358">"ENTRADA"</f>
        <v>ENTRADA</v>
      </c>
      <c r="C984" t="str">
        <f t="shared" ref="C984:C1015" si="359">"NFSE"</f>
        <v>NFSE</v>
      </c>
      <c r="D984" t="str">
        <f t="shared" si="352"/>
        <v>117</v>
      </c>
      <c r="E984" t="str">
        <f t="shared" ref="E984:E1015" si="360">"1"</f>
        <v>1</v>
      </c>
      <c r="F984" t="str">
        <f t="shared" si="356"/>
        <v>COM</v>
      </c>
      <c r="G984" t="str">
        <f t="shared" si="353"/>
        <v>FARMÁCIA INDIANA LJ 1 (10126)</v>
      </c>
      <c r="H984" t="s">
        <v>277</v>
      </c>
      <c r="I984" t="str">
        <f t="shared" si="354"/>
        <v>28/01/2026</v>
      </c>
      <c r="J984" t="str">
        <f t="shared" si="355"/>
        <v>19/01/2026</v>
      </c>
      <c r="K984">
        <v>46050</v>
      </c>
      <c r="N984">
        <v>303</v>
      </c>
      <c r="O984" t="s">
        <v>26</v>
      </c>
      <c r="Q984">
        <v>66.06</v>
      </c>
      <c r="R984" t="str">
        <f>"FARMÁCIA INDIANA LJ 111 (10049)"</f>
        <v>FARMÁCIA INDIANA LJ 111 (10049)</v>
      </c>
      <c r="S984" t="s">
        <v>27</v>
      </c>
      <c r="T984">
        <v>4106</v>
      </c>
      <c r="U984">
        <v>3483</v>
      </c>
      <c r="V984" t="s">
        <v>22</v>
      </c>
    </row>
    <row r="985" spans="1:22">
      <c r="A985" t="str">
        <f t="shared" si="357"/>
        <v>28/01/2026</v>
      </c>
      <c r="B985" t="str">
        <f t="shared" si="358"/>
        <v>ENTRADA</v>
      </c>
      <c r="C985" t="str">
        <f t="shared" si="359"/>
        <v>NFSE</v>
      </c>
      <c r="D985" t="str">
        <f t="shared" si="352"/>
        <v>117</v>
      </c>
      <c r="E985" t="str">
        <f t="shared" si="360"/>
        <v>1</v>
      </c>
      <c r="F985" t="str">
        <f t="shared" si="356"/>
        <v>COM</v>
      </c>
      <c r="G985" t="str">
        <f t="shared" si="353"/>
        <v>FARMÁCIA INDIANA LJ 1 (10126)</v>
      </c>
      <c r="H985" t="s">
        <v>277</v>
      </c>
      <c r="I985" t="str">
        <f t="shared" si="354"/>
        <v>28/01/2026</v>
      </c>
      <c r="J985" t="str">
        <f t="shared" si="355"/>
        <v>19/01/2026</v>
      </c>
      <c r="K985">
        <v>46050</v>
      </c>
      <c r="N985">
        <v>303</v>
      </c>
      <c r="O985" t="s">
        <v>26</v>
      </c>
      <c r="Q985">
        <v>99.74</v>
      </c>
      <c r="R985" t="str">
        <f>"FARMÁCIA INDIANA LJ 112 (10050)"</f>
        <v>FARMÁCIA INDIANA LJ 112 (10050)</v>
      </c>
      <c r="S985" t="s">
        <v>27</v>
      </c>
      <c r="T985">
        <v>4106</v>
      </c>
      <c r="U985">
        <v>3483</v>
      </c>
      <c r="V985" t="s">
        <v>22</v>
      </c>
    </row>
    <row r="986" spans="1:22">
      <c r="A986" t="str">
        <f t="shared" si="357"/>
        <v>28/01/2026</v>
      </c>
      <c r="B986" t="str">
        <f t="shared" si="358"/>
        <v>ENTRADA</v>
      </c>
      <c r="C986" t="str">
        <f t="shared" si="359"/>
        <v>NFSE</v>
      </c>
      <c r="D986" t="str">
        <f t="shared" si="352"/>
        <v>117</v>
      </c>
      <c r="E986" t="str">
        <f t="shared" si="360"/>
        <v>1</v>
      </c>
      <c r="F986" t="str">
        <f t="shared" si="356"/>
        <v>COM</v>
      </c>
      <c r="G986" t="str">
        <f t="shared" si="353"/>
        <v>FARMÁCIA INDIANA LJ 1 (10126)</v>
      </c>
      <c r="H986" t="s">
        <v>277</v>
      </c>
      <c r="I986" t="str">
        <f t="shared" si="354"/>
        <v>28/01/2026</v>
      </c>
      <c r="J986" t="str">
        <f t="shared" si="355"/>
        <v>19/01/2026</v>
      </c>
      <c r="K986">
        <v>46050</v>
      </c>
      <c r="N986">
        <v>303</v>
      </c>
      <c r="O986" t="s">
        <v>26</v>
      </c>
      <c r="Q986">
        <v>99.74</v>
      </c>
      <c r="R986" t="str">
        <f>"FARMÁCIA INDIANA LJ 116 (10051)"</f>
        <v>FARMÁCIA INDIANA LJ 116 (10051)</v>
      </c>
      <c r="S986" t="s">
        <v>27</v>
      </c>
      <c r="T986">
        <v>4106</v>
      </c>
      <c r="U986">
        <v>3483</v>
      </c>
      <c r="V986" t="s">
        <v>22</v>
      </c>
    </row>
    <row r="987" spans="1:22">
      <c r="A987" t="str">
        <f t="shared" si="357"/>
        <v>28/01/2026</v>
      </c>
      <c r="B987" t="str">
        <f t="shared" si="358"/>
        <v>ENTRADA</v>
      </c>
      <c r="C987" t="str">
        <f t="shared" si="359"/>
        <v>NFSE</v>
      </c>
      <c r="D987" t="str">
        <f t="shared" si="352"/>
        <v>117</v>
      </c>
      <c r="E987" t="str">
        <f t="shared" si="360"/>
        <v>1</v>
      </c>
      <c r="F987" t="str">
        <f t="shared" si="356"/>
        <v>COM</v>
      </c>
      <c r="G987" t="str">
        <f t="shared" si="353"/>
        <v>FARMÁCIA INDIANA LJ 1 (10126)</v>
      </c>
      <c r="H987" t="s">
        <v>277</v>
      </c>
      <c r="I987" t="str">
        <f t="shared" si="354"/>
        <v>28/01/2026</v>
      </c>
      <c r="J987" t="str">
        <f t="shared" si="355"/>
        <v>19/01/2026</v>
      </c>
      <c r="K987">
        <v>46050</v>
      </c>
      <c r="N987">
        <v>303</v>
      </c>
      <c r="O987" t="s">
        <v>26</v>
      </c>
      <c r="Q987">
        <v>97.15</v>
      </c>
      <c r="R987" t="str">
        <f>"FARMÁCIA INDIANA LJ 118 (10052)"</f>
        <v>FARMÁCIA INDIANA LJ 118 (10052)</v>
      </c>
      <c r="S987" t="s">
        <v>27</v>
      </c>
      <c r="T987">
        <v>4106</v>
      </c>
      <c r="U987">
        <v>3483</v>
      </c>
      <c r="V987" t="s">
        <v>22</v>
      </c>
    </row>
    <row r="988" spans="1:22">
      <c r="A988" t="str">
        <f t="shared" si="357"/>
        <v>28/01/2026</v>
      </c>
      <c r="B988" t="str">
        <f t="shared" si="358"/>
        <v>ENTRADA</v>
      </c>
      <c r="C988" t="str">
        <f t="shared" si="359"/>
        <v>NFSE</v>
      </c>
      <c r="D988" t="str">
        <f t="shared" si="352"/>
        <v>117</v>
      </c>
      <c r="E988" t="str">
        <f t="shared" si="360"/>
        <v>1</v>
      </c>
      <c r="F988" t="str">
        <f t="shared" si="356"/>
        <v>COM</v>
      </c>
      <c r="G988" t="str">
        <f t="shared" si="353"/>
        <v>FARMÁCIA INDIANA LJ 1 (10126)</v>
      </c>
      <c r="H988" t="s">
        <v>277</v>
      </c>
      <c r="I988" t="str">
        <f t="shared" si="354"/>
        <v>28/01/2026</v>
      </c>
      <c r="J988" t="str">
        <f t="shared" si="355"/>
        <v>19/01/2026</v>
      </c>
      <c r="K988">
        <v>46050</v>
      </c>
      <c r="N988">
        <v>303</v>
      </c>
      <c r="O988" t="s">
        <v>26</v>
      </c>
      <c r="Q988">
        <v>99.74</v>
      </c>
      <c r="R988" t="str">
        <f>"FARMÁCIA INDIANA LJ 121 (10054)"</f>
        <v>FARMÁCIA INDIANA LJ 121 (10054)</v>
      </c>
      <c r="S988" t="s">
        <v>27</v>
      </c>
      <c r="T988">
        <v>4106</v>
      </c>
      <c r="U988">
        <v>3483</v>
      </c>
      <c r="V988" t="s">
        <v>22</v>
      </c>
    </row>
    <row r="989" spans="1:22">
      <c r="A989" t="str">
        <f t="shared" si="357"/>
        <v>28/01/2026</v>
      </c>
      <c r="B989" t="str">
        <f t="shared" si="358"/>
        <v>ENTRADA</v>
      </c>
      <c r="C989" t="str">
        <f t="shared" si="359"/>
        <v>NFSE</v>
      </c>
      <c r="D989" t="str">
        <f t="shared" si="352"/>
        <v>117</v>
      </c>
      <c r="E989" t="str">
        <f t="shared" si="360"/>
        <v>1</v>
      </c>
      <c r="F989" t="str">
        <f t="shared" si="356"/>
        <v>COM</v>
      </c>
      <c r="G989" t="str">
        <f t="shared" si="353"/>
        <v>FARMÁCIA INDIANA LJ 1 (10126)</v>
      </c>
      <c r="H989" t="s">
        <v>277</v>
      </c>
      <c r="I989" t="str">
        <f t="shared" si="354"/>
        <v>28/01/2026</v>
      </c>
      <c r="J989" t="str">
        <f t="shared" si="355"/>
        <v>19/01/2026</v>
      </c>
      <c r="K989">
        <v>46050</v>
      </c>
      <c r="N989">
        <v>303</v>
      </c>
      <c r="O989" t="s">
        <v>26</v>
      </c>
      <c r="Q989">
        <v>99.74</v>
      </c>
      <c r="R989" t="str">
        <f>"FARMÁCIA INDIANA LJ 128 (10057)"</f>
        <v>FARMÁCIA INDIANA LJ 128 (10057)</v>
      </c>
      <c r="S989" t="s">
        <v>27</v>
      </c>
      <c r="T989">
        <v>4106</v>
      </c>
      <c r="U989">
        <v>3483</v>
      </c>
      <c r="V989" t="s">
        <v>22</v>
      </c>
    </row>
    <row r="990" spans="1:22">
      <c r="A990" t="str">
        <f t="shared" si="357"/>
        <v>28/01/2026</v>
      </c>
      <c r="B990" t="str">
        <f t="shared" si="358"/>
        <v>ENTRADA</v>
      </c>
      <c r="C990" t="str">
        <f t="shared" si="359"/>
        <v>NFSE</v>
      </c>
      <c r="D990" t="str">
        <f t="shared" si="352"/>
        <v>117</v>
      </c>
      <c r="E990" t="str">
        <f t="shared" si="360"/>
        <v>1</v>
      </c>
      <c r="F990" t="str">
        <f t="shared" si="356"/>
        <v>COM</v>
      </c>
      <c r="G990" t="str">
        <f t="shared" si="353"/>
        <v>FARMÁCIA INDIANA LJ 1 (10126)</v>
      </c>
      <c r="H990" t="s">
        <v>277</v>
      </c>
      <c r="I990" t="str">
        <f t="shared" si="354"/>
        <v>28/01/2026</v>
      </c>
      <c r="J990" t="str">
        <f t="shared" si="355"/>
        <v>19/01/2026</v>
      </c>
      <c r="K990">
        <v>46050</v>
      </c>
      <c r="N990">
        <v>303</v>
      </c>
      <c r="O990" t="s">
        <v>26</v>
      </c>
      <c r="Q990">
        <v>18.13</v>
      </c>
      <c r="R990" t="str">
        <f>"FARMÁCIA INDIANA LJ 140 (10064)"</f>
        <v>FARMÁCIA INDIANA LJ 140 (10064)</v>
      </c>
      <c r="S990" t="s">
        <v>27</v>
      </c>
      <c r="T990">
        <v>4106</v>
      </c>
      <c r="U990">
        <v>3483</v>
      </c>
      <c r="V990" t="s">
        <v>22</v>
      </c>
    </row>
    <row r="991" spans="1:22">
      <c r="A991" t="str">
        <f t="shared" si="357"/>
        <v>28/01/2026</v>
      </c>
      <c r="B991" t="str">
        <f t="shared" si="358"/>
        <v>ENTRADA</v>
      </c>
      <c r="C991" t="str">
        <f t="shared" si="359"/>
        <v>NFSE</v>
      </c>
      <c r="D991" t="str">
        <f t="shared" si="352"/>
        <v>117</v>
      </c>
      <c r="E991" t="str">
        <f t="shared" si="360"/>
        <v>1</v>
      </c>
      <c r="F991" t="str">
        <f t="shared" si="356"/>
        <v>COM</v>
      </c>
      <c r="G991" t="str">
        <f t="shared" si="353"/>
        <v>FARMÁCIA INDIANA LJ 1 (10126)</v>
      </c>
      <c r="H991" t="s">
        <v>277</v>
      </c>
      <c r="I991" t="str">
        <f t="shared" si="354"/>
        <v>28/01/2026</v>
      </c>
      <c r="J991" t="str">
        <f t="shared" si="355"/>
        <v>19/01/2026</v>
      </c>
      <c r="K991">
        <v>46050</v>
      </c>
      <c r="N991">
        <v>303</v>
      </c>
      <c r="O991" t="s">
        <v>26</v>
      </c>
      <c r="Q991">
        <v>12.95</v>
      </c>
      <c r="R991" t="str">
        <f>"FARMÁCIA INDIANA LJ 141 (10065)"</f>
        <v>FARMÁCIA INDIANA LJ 141 (10065)</v>
      </c>
      <c r="S991" t="s">
        <v>27</v>
      </c>
      <c r="T991">
        <v>4106</v>
      </c>
      <c r="U991">
        <v>3483</v>
      </c>
      <c r="V991" t="s">
        <v>22</v>
      </c>
    </row>
    <row r="992" spans="1:22">
      <c r="A992" t="str">
        <f t="shared" si="357"/>
        <v>28/01/2026</v>
      </c>
      <c r="B992" t="str">
        <f t="shared" si="358"/>
        <v>ENTRADA</v>
      </c>
      <c r="C992" t="str">
        <f t="shared" si="359"/>
        <v>NFSE</v>
      </c>
      <c r="D992" t="str">
        <f t="shared" si="352"/>
        <v>117</v>
      </c>
      <c r="E992" t="str">
        <f t="shared" si="360"/>
        <v>1</v>
      </c>
      <c r="F992" t="str">
        <f t="shared" si="356"/>
        <v>COM</v>
      </c>
      <c r="G992" t="str">
        <f t="shared" si="353"/>
        <v>FARMÁCIA INDIANA LJ 1 (10126)</v>
      </c>
      <c r="H992" t="s">
        <v>277</v>
      </c>
      <c r="I992" t="str">
        <f t="shared" si="354"/>
        <v>28/01/2026</v>
      </c>
      <c r="J992" t="str">
        <f t="shared" si="355"/>
        <v>19/01/2026</v>
      </c>
      <c r="K992">
        <v>46050</v>
      </c>
      <c r="N992">
        <v>303</v>
      </c>
      <c r="O992" t="s">
        <v>26</v>
      </c>
      <c r="Q992">
        <v>718.89</v>
      </c>
      <c r="R992" t="str">
        <f>"FARMÁCIA INDIANA LJ 142 (10066)"</f>
        <v>FARMÁCIA INDIANA LJ 142 (10066)</v>
      </c>
      <c r="S992" t="s">
        <v>27</v>
      </c>
      <c r="T992">
        <v>4106</v>
      </c>
      <c r="U992">
        <v>3483</v>
      </c>
      <c r="V992" t="s">
        <v>22</v>
      </c>
    </row>
    <row r="993" spans="1:22">
      <c r="A993" t="str">
        <f t="shared" si="357"/>
        <v>28/01/2026</v>
      </c>
      <c r="B993" t="str">
        <f t="shared" si="358"/>
        <v>ENTRADA</v>
      </c>
      <c r="C993" t="str">
        <f t="shared" si="359"/>
        <v>NFSE</v>
      </c>
      <c r="D993" t="str">
        <f t="shared" si="352"/>
        <v>117</v>
      </c>
      <c r="E993" t="str">
        <f t="shared" si="360"/>
        <v>1</v>
      </c>
      <c r="F993" t="str">
        <f t="shared" si="356"/>
        <v>COM</v>
      </c>
      <c r="G993" t="str">
        <f t="shared" si="353"/>
        <v>FARMÁCIA INDIANA LJ 1 (10126)</v>
      </c>
      <c r="H993" t="s">
        <v>277</v>
      </c>
      <c r="I993" t="str">
        <f t="shared" si="354"/>
        <v>28/01/2026</v>
      </c>
      <c r="J993" t="str">
        <f t="shared" si="355"/>
        <v>19/01/2026</v>
      </c>
      <c r="K993">
        <v>46050</v>
      </c>
      <c r="N993">
        <v>303</v>
      </c>
      <c r="O993" t="s">
        <v>26</v>
      </c>
      <c r="Q993">
        <v>67.36</v>
      </c>
      <c r="R993" t="str">
        <f>"FARMÁCIA INDIANA LJ 143 (10067)"</f>
        <v>FARMÁCIA INDIANA LJ 143 (10067)</v>
      </c>
      <c r="S993" t="s">
        <v>27</v>
      </c>
      <c r="T993">
        <v>4106</v>
      </c>
      <c r="U993">
        <v>3483</v>
      </c>
      <c r="V993" t="s">
        <v>22</v>
      </c>
    </row>
    <row r="994" spans="1:22">
      <c r="A994" t="str">
        <f t="shared" si="357"/>
        <v>28/01/2026</v>
      </c>
      <c r="B994" t="str">
        <f t="shared" si="358"/>
        <v>ENTRADA</v>
      </c>
      <c r="C994" t="str">
        <f t="shared" si="359"/>
        <v>NFSE</v>
      </c>
      <c r="D994" t="str">
        <f t="shared" si="352"/>
        <v>117</v>
      </c>
      <c r="E994" t="str">
        <f t="shared" si="360"/>
        <v>1</v>
      </c>
      <c r="F994" t="str">
        <f t="shared" si="356"/>
        <v>COM</v>
      </c>
      <c r="G994" t="str">
        <f t="shared" si="353"/>
        <v>FARMÁCIA INDIANA LJ 1 (10126)</v>
      </c>
      <c r="H994" t="s">
        <v>277</v>
      </c>
      <c r="I994" t="str">
        <f t="shared" si="354"/>
        <v>28/01/2026</v>
      </c>
      <c r="J994" t="str">
        <f t="shared" si="355"/>
        <v>19/01/2026</v>
      </c>
      <c r="K994">
        <v>46050</v>
      </c>
      <c r="N994">
        <v>303</v>
      </c>
      <c r="O994" t="s">
        <v>26</v>
      </c>
      <c r="Q994">
        <v>389.88</v>
      </c>
      <c r="R994" t="str">
        <f>"FARMÁCIA INDIANA LJ 152 (10069)"</f>
        <v>FARMÁCIA INDIANA LJ 152 (10069)</v>
      </c>
      <c r="S994" t="s">
        <v>27</v>
      </c>
      <c r="T994">
        <v>4106</v>
      </c>
      <c r="U994">
        <v>3483</v>
      </c>
      <c r="V994" t="s">
        <v>22</v>
      </c>
    </row>
    <row r="995" spans="1:22">
      <c r="A995" t="str">
        <f t="shared" si="357"/>
        <v>28/01/2026</v>
      </c>
      <c r="B995" t="str">
        <f t="shared" si="358"/>
        <v>ENTRADA</v>
      </c>
      <c r="C995" t="str">
        <f t="shared" si="359"/>
        <v>NFSE</v>
      </c>
      <c r="D995" t="str">
        <f t="shared" si="352"/>
        <v>117</v>
      </c>
      <c r="E995" t="str">
        <f t="shared" si="360"/>
        <v>1</v>
      </c>
      <c r="F995" t="str">
        <f t="shared" si="356"/>
        <v>COM</v>
      </c>
      <c r="G995" t="str">
        <f t="shared" si="353"/>
        <v>FARMÁCIA INDIANA LJ 1 (10126)</v>
      </c>
      <c r="H995" t="s">
        <v>277</v>
      </c>
      <c r="I995" t="str">
        <f t="shared" si="354"/>
        <v>28/01/2026</v>
      </c>
      <c r="J995" t="str">
        <f t="shared" si="355"/>
        <v>19/01/2026</v>
      </c>
      <c r="K995">
        <v>46050</v>
      </c>
      <c r="N995">
        <v>303</v>
      </c>
      <c r="O995" t="s">
        <v>26</v>
      </c>
      <c r="Q995">
        <v>24.61</v>
      </c>
      <c r="R995" t="str">
        <f>"FARMÁCIA INDIANA LJ 154 (10070)"</f>
        <v>FARMÁCIA INDIANA LJ 154 (10070)</v>
      </c>
      <c r="S995" t="s">
        <v>27</v>
      </c>
      <c r="T995">
        <v>4106</v>
      </c>
      <c r="U995">
        <v>3483</v>
      </c>
      <c r="V995" t="s">
        <v>22</v>
      </c>
    </row>
    <row r="996" spans="1:22">
      <c r="A996" t="str">
        <f t="shared" si="357"/>
        <v>28/01/2026</v>
      </c>
      <c r="B996" t="str">
        <f t="shared" si="358"/>
        <v>ENTRADA</v>
      </c>
      <c r="C996" t="str">
        <f t="shared" si="359"/>
        <v>NFSE</v>
      </c>
      <c r="D996" t="str">
        <f t="shared" si="352"/>
        <v>117</v>
      </c>
      <c r="E996" t="str">
        <f t="shared" si="360"/>
        <v>1</v>
      </c>
      <c r="F996" t="str">
        <f t="shared" si="356"/>
        <v>COM</v>
      </c>
      <c r="G996" t="str">
        <f t="shared" si="353"/>
        <v>FARMÁCIA INDIANA LJ 1 (10126)</v>
      </c>
      <c r="H996" t="s">
        <v>277</v>
      </c>
      <c r="I996" t="str">
        <f t="shared" si="354"/>
        <v>28/01/2026</v>
      </c>
      <c r="J996" t="str">
        <f t="shared" si="355"/>
        <v>19/01/2026</v>
      </c>
      <c r="K996">
        <v>46050</v>
      </c>
      <c r="N996">
        <v>303</v>
      </c>
      <c r="O996" t="s">
        <v>26</v>
      </c>
      <c r="Q996">
        <v>213.72</v>
      </c>
      <c r="R996" t="str">
        <f>"FARMÁCIA INDIANA LJ 171 (10074)"</f>
        <v>FARMÁCIA INDIANA LJ 171 (10074)</v>
      </c>
      <c r="S996" t="s">
        <v>27</v>
      </c>
      <c r="T996">
        <v>4106</v>
      </c>
      <c r="U996">
        <v>3483</v>
      </c>
      <c r="V996" t="s">
        <v>22</v>
      </c>
    </row>
    <row r="997" spans="1:22">
      <c r="A997" t="str">
        <f t="shared" si="357"/>
        <v>28/01/2026</v>
      </c>
      <c r="B997" t="str">
        <f t="shared" si="358"/>
        <v>ENTRADA</v>
      </c>
      <c r="C997" t="str">
        <f t="shared" si="359"/>
        <v>NFSE</v>
      </c>
      <c r="D997" t="str">
        <f t="shared" si="352"/>
        <v>117</v>
      </c>
      <c r="E997" t="str">
        <f t="shared" si="360"/>
        <v>1</v>
      </c>
      <c r="F997" t="str">
        <f t="shared" si="356"/>
        <v>COM</v>
      </c>
      <c r="G997" t="str">
        <f t="shared" si="353"/>
        <v>FARMÁCIA INDIANA LJ 1 (10126)</v>
      </c>
      <c r="H997" t="s">
        <v>277</v>
      </c>
      <c r="I997" t="str">
        <f t="shared" si="354"/>
        <v>28/01/2026</v>
      </c>
      <c r="J997" t="str">
        <f t="shared" si="355"/>
        <v>19/01/2026</v>
      </c>
      <c r="K997">
        <v>46050</v>
      </c>
      <c r="N997">
        <v>303</v>
      </c>
      <c r="O997" t="s">
        <v>26</v>
      </c>
      <c r="Q997">
        <v>81.599999999999994</v>
      </c>
      <c r="R997" t="str">
        <f>"FARMÁCIA INDIANA LJ 175 (10076)"</f>
        <v>FARMÁCIA INDIANA LJ 175 (10076)</v>
      </c>
      <c r="S997" t="s">
        <v>27</v>
      </c>
      <c r="T997">
        <v>4106</v>
      </c>
      <c r="U997">
        <v>3483</v>
      </c>
      <c r="V997" t="s">
        <v>22</v>
      </c>
    </row>
    <row r="998" spans="1:22">
      <c r="A998" t="str">
        <f t="shared" si="357"/>
        <v>28/01/2026</v>
      </c>
      <c r="B998" t="str">
        <f t="shared" si="358"/>
        <v>ENTRADA</v>
      </c>
      <c r="C998" t="str">
        <f t="shared" si="359"/>
        <v>NFSE</v>
      </c>
      <c r="D998" t="str">
        <f t="shared" ref="D998:D1015" si="361">"117"</f>
        <v>117</v>
      </c>
      <c r="E998" t="str">
        <f t="shared" si="360"/>
        <v>1</v>
      </c>
      <c r="F998" t="str">
        <f t="shared" si="356"/>
        <v>COM</v>
      </c>
      <c r="G998" t="str">
        <f t="shared" ref="G998:G1015" si="362">"FARMÁCIA INDIANA LJ 1 (10126)"</f>
        <v>FARMÁCIA INDIANA LJ 1 (10126)</v>
      </c>
      <c r="H998" t="s">
        <v>277</v>
      </c>
      <c r="I998" t="str">
        <f t="shared" ref="I998:I1029" si="363">("28/01/2026")</f>
        <v>28/01/2026</v>
      </c>
      <c r="J998" t="str">
        <f t="shared" ref="J998:J1029" si="364">("19/01/2026")</f>
        <v>19/01/2026</v>
      </c>
      <c r="K998">
        <v>46050</v>
      </c>
      <c r="N998">
        <v>303</v>
      </c>
      <c r="O998" t="s">
        <v>26</v>
      </c>
      <c r="Q998">
        <v>50.52</v>
      </c>
      <c r="R998" t="str">
        <f>"FARMÁCIA INDIANA LJ 182 (10079)"</f>
        <v>FARMÁCIA INDIANA LJ 182 (10079)</v>
      </c>
      <c r="S998" t="s">
        <v>27</v>
      </c>
      <c r="T998">
        <v>4106</v>
      </c>
      <c r="U998">
        <v>3483</v>
      </c>
      <c r="V998" t="s">
        <v>22</v>
      </c>
    </row>
    <row r="999" spans="1:22">
      <c r="A999" t="str">
        <f t="shared" si="357"/>
        <v>28/01/2026</v>
      </c>
      <c r="B999" t="str">
        <f t="shared" si="358"/>
        <v>ENTRADA</v>
      </c>
      <c r="C999" t="str">
        <f t="shared" si="359"/>
        <v>NFSE</v>
      </c>
      <c r="D999" t="str">
        <f t="shared" si="361"/>
        <v>117</v>
      </c>
      <c r="E999" t="str">
        <f t="shared" si="360"/>
        <v>1</v>
      </c>
      <c r="F999" t="str">
        <f t="shared" si="356"/>
        <v>COM</v>
      </c>
      <c r="G999" t="str">
        <f t="shared" si="362"/>
        <v>FARMÁCIA INDIANA LJ 1 (10126)</v>
      </c>
      <c r="H999" t="s">
        <v>277</v>
      </c>
      <c r="I999" t="str">
        <f t="shared" si="363"/>
        <v>28/01/2026</v>
      </c>
      <c r="J999" t="str">
        <f t="shared" si="364"/>
        <v>19/01/2026</v>
      </c>
      <c r="K999">
        <v>46050</v>
      </c>
      <c r="N999">
        <v>303</v>
      </c>
      <c r="O999" t="s">
        <v>26</v>
      </c>
      <c r="Q999">
        <v>40.15</v>
      </c>
      <c r="R999" t="str">
        <f>"FARMÁCIA INDIANA LJ 184 (10080)"</f>
        <v>FARMÁCIA INDIANA LJ 184 (10080)</v>
      </c>
      <c r="S999" t="s">
        <v>27</v>
      </c>
      <c r="T999">
        <v>4106</v>
      </c>
      <c r="U999">
        <v>3483</v>
      </c>
      <c r="V999" t="s">
        <v>22</v>
      </c>
    </row>
    <row r="1000" spans="1:22">
      <c r="A1000" t="str">
        <f t="shared" si="357"/>
        <v>28/01/2026</v>
      </c>
      <c r="B1000" t="str">
        <f t="shared" si="358"/>
        <v>ENTRADA</v>
      </c>
      <c r="C1000" t="str">
        <f t="shared" si="359"/>
        <v>NFSE</v>
      </c>
      <c r="D1000" t="str">
        <f t="shared" si="361"/>
        <v>117</v>
      </c>
      <c r="E1000" t="str">
        <f t="shared" si="360"/>
        <v>1</v>
      </c>
      <c r="F1000" t="str">
        <f t="shared" si="356"/>
        <v>COM</v>
      </c>
      <c r="G1000" t="str">
        <f t="shared" si="362"/>
        <v>FARMÁCIA INDIANA LJ 1 (10126)</v>
      </c>
      <c r="H1000" t="s">
        <v>277</v>
      </c>
      <c r="I1000" t="str">
        <f t="shared" si="363"/>
        <v>28/01/2026</v>
      </c>
      <c r="J1000" t="str">
        <f t="shared" si="364"/>
        <v>19/01/2026</v>
      </c>
      <c r="K1000">
        <v>46050</v>
      </c>
      <c r="N1000">
        <v>303</v>
      </c>
      <c r="O1000" t="s">
        <v>26</v>
      </c>
      <c r="Q1000">
        <v>50.52</v>
      </c>
      <c r="R1000" t="str">
        <f>"FARMÁCIA INDIANA LJ 186 (10081)"</f>
        <v>FARMÁCIA INDIANA LJ 186 (10081)</v>
      </c>
      <c r="S1000" t="s">
        <v>27</v>
      </c>
      <c r="T1000">
        <v>4106</v>
      </c>
      <c r="U1000">
        <v>3483</v>
      </c>
      <c r="V1000" t="s">
        <v>22</v>
      </c>
    </row>
    <row r="1001" spans="1:22">
      <c r="A1001" t="str">
        <f t="shared" si="357"/>
        <v>28/01/2026</v>
      </c>
      <c r="B1001" t="str">
        <f t="shared" si="358"/>
        <v>ENTRADA</v>
      </c>
      <c r="C1001" t="str">
        <f t="shared" si="359"/>
        <v>NFSE</v>
      </c>
      <c r="D1001" t="str">
        <f t="shared" si="361"/>
        <v>117</v>
      </c>
      <c r="E1001" t="str">
        <f t="shared" si="360"/>
        <v>1</v>
      </c>
      <c r="F1001" t="str">
        <f t="shared" si="356"/>
        <v>COM</v>
      </c>
      <c r="G1001" t="str">
        <f t="shared" si="362"/>
        <v>FARMÁCIA INDIANA LJ 1 (10126)</v>
      </c>
      <c r="H1001" t="s">
        <v>277</v>
      </c>
      <c r="I1001" t="str">
        <f t="shared" si="363"/>
        <v>28/01/2026</v>
      </c>
      <c r="J1001" t="str">
        <f t="shared" si="364"/>
        <v>19/01/2026</v>
      </c>
      <c r="K1001">
        <v>46050</v>
      </c>
      <c r="N1001">
        <v>303</v>
      </c>
      <c r="O1001" t="s">
        <v>26</v>
      </c>
      <c r="Q1001">
        <v>97.15</v>
      </c>
      <c r="R1001" t="str">
        <f>"FARMÁCIA INDIANA LJ 192 (10082)"</f>
        <v>FARMÁCIA INDIANA LJ 192 (10082)</v>
      </c>
      <c r="S1001" t="s">
        <v>27</v>
      </c>
      <c r="T1001">
        <v>4106</v>
      </c>
      <c r="U1001">
        <v>3483</v>
      </c>
      <c r="V1001" t="s">
        <v>22</v>
      </c>
    </row>
    <row r="1002" spans="1:22">
      <c r="A1002" t="str">
        <f t="shared" si="357"/>
        <v>28/01/2026</v>
      </c>
      <c r="B1002" t="str">
        <f t="shared" si="358"/>
        <v>ENTRADA</v>
      </c>
      <c r="C1002" t="str">
        <f t="shared" si="359"/>
        <v>NFSE</v>
      </c>
      <c r="D1002" t="str">
        <f t="shared" si="361"/>
        <v>117</v>
      </c>
      <c r="E1002" t="str">
        <f t="shared" si="360"/>
        <v>1</v>
      </c>
      <c r="F1002" t="str">
        <f t="shared" si="356"/>
        <v>COM</v>
      </c>
      <c r="G1002" t="str">
        <f t="shared" si="362"/>
        <v>FARMÁCIA INDIANA LJ 1 (10126)</v>
      </c>
      <c r="H1002" t="s">
        <v>277</v>
      </c>
      <c r="I1002" t="str">
        <f t="shared" si="363"/>
        <v>28/01/2026</v>
      </c>
      <c r="J1002" t="str">
        <f t="shared" si="364"/>
        <v>19/01/2026</v>
      </c>
      <c r="K1002">
        <v>46050</v>
      </c>
      <c r="N1002">
        <v>303</v>
      </c>
      <c r="O1002" t="s">
        <v>26</v>
      </c>
      <c r="Q1002">
        <v>40.15</v>
      </c>
      <c r="R1002" t="str">
        <f>"FARMÁCIA INDIANA LJ 195 (10083)"</f>
        <v>FARMÁCIA INDIANA LJ 195 (10083)</v>
      </c>
      <c r="S1002" t="s">
        <v>27</v>
      </c>
      <c r="T1002">
        <v>4106</v>
      </c>
      <c r="U1002">
        <v>3483</v>
      </c>
      <c r="V1002" t="s">
        <v>22</v>
      </c>
    </row>
    <row r="1003" spans="1:22">
      <c r="A1003" t="str">
        <f t="shared" si="357"/>
        <v>28/01/2026</v>
      </c>
      <c r="B1003" t="str">
        <f t="shared" si="358"/>
        <v>ENTRADA</v>
      </c>
      <c r="C1003" t="str">
        <f t="shared" si="359"/>
        <v>NFSE</v>
      </c>
      <c r="D1003" t="str">
        <f t="shared" si="361"/>
        <v>117</v>
      </c>
      <c r="E1003" t="str">
        <f t="shared" si="360"/>
        <v>1</v>
      </c>
      <c r="F1003" t="str">
        <f t="shared" si="356"/>
        <v>COM</v>
      </c>
      <c r="G1003" t="str">
        <f t="shared" si="362"/>
        <v>FARMÁCIA INDIANA LJ 1 (10126)</v>
      </c>
      <c r="H1003" t="s">
        <v>277</v>
      </c>
      <c r="I1003" t="str">
        <f t="shared" si="363"/>
        <v>28/01/2026</v>
      </c>
      <c r="J1003" t="str">
        <f t="shared" si="364"/>
        <v>19/01/2026</v>
      </c>
      <c r="K1003">
        <v>46050</v>
      </c>
      <c r="N1003">
        <v>303</v>
      </c>
      <c r="O1003" t="s">
        <v>26</v>
      </c>
      <c r="Q1003">
        <v>99.74</v>
      </c>
      <c r="R1003" t="str">
        <f>"FARMÁCIA INDIANA LJ 202 (10085)"</f>
        <v>FARMÁCIA INDIANA LJ 202 (10085)</v>
      </c>
      <c r="S1003" t="s">
        <v>27</v>
      </c>
      <c r="T1003">
        <v>4106</v>
      </c>
      <c r="U1003">
        <v>3483</v>
      </c>
      <c r="V1003" t="s">
        <v>22</v>
      </c>
    </row>
    <row r="1004" spans="1:22">
      <c r="A1004" t="str">
        <f t="shared" si="357"/>
        <v>28/01/2026</v>
      </c>
      <c r="B1004" t="str">
        <f t="shared" si="358"/>
        <v>ENTRADA</v>
      </c>
      <c r="C1004" t="str">
        <f t="shared" si="359"/>
        <v>NFSE</v>
      </c>
      <c r="D1004" t="str">
        <f t="shared" si="361"/>
        <v>117</v>
      </c>
      <c r="E1004" t="str">
        <f t="shared" si="360"/>
        <v>1</v>
      </c>
      <c r="F1004" t="str">
        <f t="shared" si="356"/>
        <v>COM</v>
      </c>
      <c r="G1004" t="str">
        <f t="shared" si="362"/>
        <v>FARMÁCIA INDIANA LJ 1 (10126)</v>
      </c>
      <c r="H1004" t="s">
        <v>277</v>
      </c>
      <c r="I1004" t="str">
        <f t="shared" si="363"/>
        <v>28/01/2026</v>
      </c>
      <c r="J1004" t="str">
        <f t="shared" si="364"/>
        <v>19/01/2026</v>
      </c>
      <c r="K1004">
        <v>46050</v>
      </c>
      <c r="N1004">
        <v>303</v>
      </c>
      <c r="O1004" t="s">
        <v>26</v>
      </c>
      <c r="Q1004">
        <v>80.31</v>
      </c>
      <c r="R1004" t="str">
        <f>"FARMÁCIA INDIANA LJ 204 (10087)"</f>
        <v>FARMÁCIA INDIANA LJ 204 (10087)</v>
      </c>
      <c r="S1004" t="s">
        <v>27</v>
      </c>
      <c r="T1004">
        <v>4106</v>
      </c>
      <c r="U1004">
        <v>3483</v>
      </c>
      <c r="V1004" t="s">
        <v>22</v>
      </c>
    </row>
    <row r="1005" spans="1:22">
      <c r="A1005" t="str">
        <f t="shared" si="357"/>
        <v>28/01/2026</v>
      </c>
      <c r="B1005" t="str">
        <f t="shared" si="358"/>
        <v>ENTRADA</v>
      </c>
      <c r="C1005" t="str">
        <f t="shared" si="359"/>
        <v>NFSE</v>
      </c>
      <c r="D1005" t="str">
        <f t="shared" si="361"/>
        <v>117</v>
      </c>
      <c r="E1005" t="str">
        <f t="shared" si="360"/>
        <v>1</v>
      </c>
      <c r="F1005" t="str">
        <f t="shared" si="356"/>
        <v>COM</v>
      </c>
      <c r="G1005" t="str">
        <f t="shared" si="362"/>
        <v>FARMÁCIA INDIANA LJ 1 (10126)</v>
      </c>
      <c r="H1005" t="s">
        <v>277</v>
      </c>
      <c r="I1005" t="str">
        <f t="shared" si="363"/>
        <v>28/01/2026</v>
      </c>
      <c r="J1005" t="str">
        <f t="shared" si="364"/>
        <v>19/01/2026</v>
      </c>
      <c r="K1005">
        <v>46050</v>
      </c>
      <c r="N1005">
        <v>303</v>
      </c>
      <c r="O1005" t="s">
        <v>26</v>
      </c>
      <c r="Q1005">
        <v>146.37</v>
      </c>
      <c r="R1005" t="str">
        <f>"FARMÁCIA INDIANA LJ 207 (10088)"</f>
        <v>FARMÁCIA INDIANA LJ 207 (10088)</v>
      </c>
      <c r="S1005" t="s">
        <v>27</v>
      </c>
      <c r="T1005">
        <v>4106</v>
      </c>
      <c r="U1005">
        <v>3483</v>
      </c>
      <c r="V1005" t="s">
        <v>22</v>
      </c>
    </row>
    <row r="1006" spans="1:22">
      <c r="A1006" t="str">
        <f t="shared" si="357"/>
        <v>28/01/2026</v>
      </c>
      <c r="B1006" t="str">
        <f t="shared" si="358"/>
        <v>ENTRADA</v>
      </c>
      <c r="C1006" t="str">
        <f t="shared" si="359"/>
        <v>NFSE</v>
      </c>
      <c r="D1006" t="str">
        <f t="shared" si="361"/>
        <v>117</v>
      </c>
      <c r="E1006" t="str">
        <f t="shared" si="360"/>
        <v>1</v>
      </c>
      <c r="F1006" t="str">
        <f t="shared" si="356"/>
        <v>COM</v>
      </c>
      <c r="G1006" t="str">
        <f t="shared" si="362"/>
        <v>FARMÁCIA INDIANA LJ 1 (10126)</v>
      </c>
      <c r="H1006" t="s">
        <v>277</v>
      </c>
      <c r="I1006" t="str">
        <f t="shared" si="363"/>
        <v>28/01/2026</v>
      </c>
      <c r="J1006" t="str">
        <f t="shared" si="364"/>
        <v>19/01/2026</v>
      </c>
      <c r="K1006">
        <v>46050</v>
      </c>
      <c r="N1006">
        <v>303</v>
      </c>
      <c r="O1006" t="s">
        <v>26</v>
      </c>
      <c r="Q1006">
        <v>125.64</v>
      </c>
      <c r="R1006" t="str">
        <f>"FARMÁCIA INDIANA LJ 209 (10089)"</f>
        <v>FARMÁCIA INDIANA LJ 209 (10089)</v>
      </c>
      <c r="S1006" t="s">
        <v>27</v>
      </c>
      <c r="T1006">
        <v>4106</v>
      </c>
      <c r="U1006">
        <v>3483</v>
      </c>
      <c r="V1006" t="s">
        <v>22</v>
      </c>
    </row>
    <row r="1007" spans="1:22">
      <c r="A1007" t="str">
        <f t="shared" si="357"/>
        <v>28/01/2026</v>
      </c>
      <c r="B1007" t="str">
        <f t="shared" si="358"/>
        <v>ENTRADA</v>
      </c>
      <c r="C1007" t="str">
        <f t="shared" si="359"/>
        <v>NFSE</v>
      </c>
      <c r="D1007" t="str">
        <f t="shared" si="361"/>
        <v>117</v>
      </c>
      <c r="E1007" t="str">
        <f t="shared" si="360"/>
        <v>1</v>
      </c>
      <c r="F1007" t="str">
        <f t="shared" si="356"/>
        <v>COM</v>
      </c>
      <c r="G1007" t="str">
        <f t="shared" si="362"/>
        <v>FARMÁCIA INDIANA LJ 1 (10126)</v>
      </c>
      <c r="H1007" t="s">
        <v>277</v>
      </c>
      <c r="I1007" t="str">
        <f t="shared" si="363"/>
        <v>28/01/2026</v>
      </c>
      <c r="J1007" t="str">
        <f t="shared" si="364"/>
        <v>19/01/2026</v>
      </c>
      <c r="K1007">
        <v>46050</v>
      </c>
      <c r="N1007">
        <v>303</v>
      </c>
      <c r="O1007" t="s">
        <v>26</v>
      </c>
      <c r="Q1007">
        <v>217.61</v>
      </c>
      <c r="R1007" t="str">
        <f>"FARMÁCIA INDIANA LJ 219 (10091)"</f>
        <v>FARMÁCIA INDIANA LJ 219 (10091)</v>
      </c>
      <c r="S1007" t="s">
        <v>27</v>
      </c>
      <c r="T1007">
        <v>4106</v>
      </c>
      <c r="U1007">
        <v>3483</v>
      </c>
      <c r="V1007" t="s">
        <v>22</v>
      </c>
    </row>
    <row r="1008" spans="1:22">
      <c r="A1008" t="str">
        <f t="shared" si="357"/>
        <v>28/01/2026</v>
      </c>
      <c r="B1008" t="str">
        <f t="shared" si="358"/>
        <v>ENTRADA</v>
      </c>
      <c r="C1008" t="str">
        <f t="shared" si="359"/>
        <v>NFSE</v>
      </c>
      <c r="D1008" t="str">
        <f t="shared" si="361"/>
        <v>117</v>
      </c>
      <c r="E1008" t="str">
        <f t="shared" si="360"/>
        <v>1</v>
      </c>
      <c r="F1008" t="str">
        <f t="shared" si="356"/>
        <v>COM</v>
      </c>
      <c r="G1008" t="str">
        <f t="shared" si="362"/>
        <v>FARMÁCIA INDIANA LJ 1 (10126)</v>
      </c>
      <c r="H1008" t="s">
        <v>277</v>
      </c>
      <c r="I1008" t="str">
        <f t="shared" si="363"/>
        <v>28/01/2026</v>
      </c>
      <c r="J1008" t="str">
        <f t="shared" si="364"/>
        <v>19/01/2026</v>
      </c>
      <c r="K1008">
        <v>46050</v>
      </c>
      <c r="N1008">
        <v>303</v>
      </c>
      <c r="O1008" t="s">
        <v>26</v>
      </c>
      <c r="Q1008">
        <v>318.64</v>
      </c>
      <c r="R1008" t="str">
        <f>"FARMÁCIA INDIANA LJ 220 (10092)"</f>
        <v>FARMÁCIA INDIANA LJ 220 (10092)</v>
      </c>
      <c r="S1008" t="s">
        <v>27</v>
      </c>
      <c r="T1008">
        <v>4106</v>
      </c>
      <c r="U1008">
        <v>3483</v>
      </c>
      <c r="V1008" t="s">
        <v>22</v>
      </c>
    </row>
    <row r="1009" spans="1:22">
      <c r="A1009" t="str">
        <f t="shared" si="357"/>
        <v>28/01/2026</v>
      </c>
      <c r="B1009" t="str">
        <f t="shared" si="358"/>
        <v>ENTRADA</v>
      </c>
      <c r="C1009" t="str">
        <f t="shared" si="359"/>
        <v>NFSE</v>
      </c>
      <c r="D1009" t="str">
        <f t="shared" si="361"/>
        <v>117</v>
      </c>
      <c r="E1009" t="str">
        <f t="shared" si="360"/>
        <v>1</v>
      </c>
      <c r="F1009" t="str">
        <f t="shared" si="356"/>
        <v>COM</v>
      </c>
      <c r="G1009" t="str">
        <f t="shared" si="362"/>
        <v>FARMÁCIA INDIANA LJ 1 (10126)</v>
      </c>
      <c r="H1009" t="s">
        <v>277</v>
      </c>
      <c r="I1009" t="str">
        <f t="shared" si="363"/>
        <v>28/01/2026</v>
      </c>
      <c r="J1009" t="str">
        <f t="shared" si="364"/>
        <v>19/01/2026</v>
      </c>
      <c r="K1009">
        <v>46050</v>
      </c>
      <c r="N1009">
        <v>303</v>
      </c>
      <c r="O1009" t="s">
        <v>26</v>
      </c>
      <c r="Q1009">
        <v>113.99</v>
      </c>
      <c r="R1009" t="str">
        <f>"FARMÁCIA INDIANA LJ 185 (10141)"</f>
        <v>FARMÁCIA INDIANA LJ 185 (10141)</v>
      </c>
      <c r="S1009" t="s">
        <v>27</v>
      </c>
      <c r="T1009">
        <v>4106</v>
      </c>
      <c r="U1009">
        <v>3483</v>
      </c>
      <c r="V1009" t="s">
        <v>22</v>
      </c>
    </row>
    <row r="1010" spans="1:22">
      <c r="A1010" t="str">
        <f t="shared" si="357"/>
        <v>28/01/2026</v>
      </c>
      <c r="B1010" t="str">
        <f t="shared" si="358"/>
        <v>ENTRADA</v>
      </c>
      <c r="C1010" t="str">
        <f t="shared" si="359"/>
        <v>NFSE</v>
      </c>
      <c r="D1010" t="str">
        <f t="shared" si="361"/>
        <v>117</v>
      </c>
      <c r="E1010" t="str">
        <f t="shared" si="360"/>
        <v>1</v>
      </c>
      <c r="F1010" t="str">
        <f t="shared" si="356"/>
        <v>COM</v>
      </c>
      <c r="G1010" t="str">
        <f t="shared" si="362"/>
        <v>FARMÁCIA INDIANA LJ 1 (10126)</v>
      </c>
      <c r="H1010" t="s">
        <v>277</v>
      </c>
      <c r="I1010" t="str">
        <f t="shared" si="363"/>
        <v>28/01/2026</v>
      </c>
      <c r="J1010" t="str">
        <f t="shared" si="364"/>
        <v>19/01/2026</v>
      </c>
      <c r="K1010">
        <v>46050</v>
      </c>
      <c r="N1010">
        <v>303</v>
      </c>
      <c r="O1010" t="s">
        <v>26</v>
      </c>
      <c r="Q1010">
        <v>106.21</v>
      </c>
      <c r="R1010" t="str">
        <f>"FARMÁCIA INDIANA LJ 205 (10150)"</f>
        <v>FARMÁCIA INDIANA LJ 205 (10150)</v>
      </c>
      <c r="S1010" t="s">
        <v>27</v>
      </c>
      <c r="T1010">
        <v>4106</v>
      </c>
      <c r="U1010">
        <v>3483</v>
      </c>
      <c r="V1010" t="s">
        <v>22</v>
      </c>
    </row>
    <row r="1011" spans="1:22">
      <c r="A1011" t="str">
        <f t="shared" si="357"/>
        <v>28/01/2026</v>
      </c>
      <c r="B1011" t="str">
        <f t="shared" si="358"/>
        <v>ENTRADA</v>
      </c>
      <c r="C1011" t="str">
        <f t="shared" si="359"/>
        <v>NFSE</v>
      </c>
      <c r="D1011" t="str">
        <f t="shared" si="361"/>
        <v>117</v>
      </c>
      <c r="E1011" t="str">
        <f t="shared" si="360"/>
        <v>1</v>
      </c>
      <c r="F1011" t="str">
        <f t="shared" si="356"/>
        <v>COM</v>
      </c>
      <c r="G1011" t="str">
        <f t="shared" si="362"/>
        <v>FARMÁCIA INDIANA LJ 1 (10126)</v>
      </c>
      <c r="H1011" t="s">
        <v>277</v>
      </c>
      <c r="I1011" t="str">
        <f t="shared" si="363"/>
        <v>28/01/2026</v>
      </c>
      <c r="J1011" t="str">
        <f t="shared" si="364"/>
        <v>19/01/2026</v>
      </c>
      <c r="K1011">
        <v>46050</v>
      </c>
      <c r="N1011">
        <v>303</v>
      </c>
      <c r="O1011" t="s">
        <v>26</v>
      </c>
      <c r="Q1011">
        <v>544.02</v>
      </c>
      <c r="R1011" t="str">
        <f>"FARMÁCIA INDIANA LJ 172 (10161)"</f>
        <v>FARMÁCIA INDIANA LJ 172 (10161)</v>
      </c>
      <c r="S1011" t="s">
        <v>27</v>
      </c>
      <c r="T1011">
        <v>4106</v>
      </c>
      <c r="U1011">
        <v>3483</v>
      </c>
      <c r="V1011" t="s">
        <v>22</v>
      </c>
    </row>
    <row r="1012" spans="1:22">
      <c r="A1012" t="str">
        <f t="shared" si="357"/>
        <v>28/01/2026</v>
      </c>
      <c r="B1012" t="str">
        <f t="shared" si="358"/>
        <v>ENTRADA</v>
      </c>
      <c r="C1012" t="str">
        <f t="shared" si="359"/>
        <v>NFSE</v>
      </c>
      <c r="D1012" t="str">
        <f t="shared" si="361"/>
        <v>117</v>
      </c>
      <c r="E1012" t="str">
        <f t="shared" si="360"/>
        <v>1</v>
      </c>
      <c r="F1012" t="str">
        <f t="shared" si="356"/>
        <v>COM</v>
      </c>
      <c r="G1012" t="str">
        <f t="shared" si="362"/>
        <v>FARMÁCIA INDIANA LJ 1 (10126)</v>
      </c>
      <c r="H1012" t="s">
        <v>277</v>
      </c>
      <c r="I1012" t="str">
        <f t="shared" si="363"/>
        <v>28/01/2026</v>
      </c>
      <c r="J1012" t="str">
        <f t="shared" si="364"/>
        <v>19/01/2026</v>
      </c>
      <c r="K1012">
        <v>46050</v>
      </c>
      <c r="N1012">
        <v>303</v>
      </c>
      <c r="O1012" t="s">
        <v>26</v>
      </c>
      <c r="Q1012">
        <v>80.31</v>
      </c>
      <c r="R1012" t="str">
        <f>"FARMÁCIA INDIANA LJ 266 (10186)"</f>
        <v>FARMÁCIA INDIANA LJ 266 (10186)</v>
      </c>
      <c r="S1012" t="s">
        <v>27</v>
      </c>
      <c r="T1012">
        <v>4106</v>
      </c>
      <c r="U1012">
        <v>3483</v>
      </c>
      <c r="V1012" t="s">
        <v>22</v>
      </c>
    </row>
    <row r="1013" spans="1:22">
      <c r="A1013" t="str">
        <f t="shared" si="357"/>
        <v>28/01/2026</v>
      </c>
      <c r="B1013" t="str">
        <f t="shared" si="358"/>
        <v>ENTRADA</v>
      </c>
      <c r="C1013" t="str">
        <f t="shared" si="359"/>
        <v>NFSE</v>
      </c>
      <c r="D1013" t="str">
        <f t="shared" si="361"/>
        <v>117</v>
      </c>
      <c r="E1013" t="str">
        <f t="shared" si="360"/>
        <v>1</v>
      </c>
      <c r="F1013" t="str">
        <f t="shared" si="356"/>
        <v>COM</v>
      </c>
      <c r="G1013" t="str">
        <f t="shared" si="362"/>
        <v>FARMÁCIA INDIANA LJ 1 (10126)</v>
      </c>
      <c r="H1013" t="s">
        <v>277</v>
      </c>
      <c r="I1013" t="str">
        <f t="shared" si="363"/>
        <v>28/01/2026</v>
      </c>
      <c r="J1013" t="str">
        <f t="shared" si="364"/>
        <v>19/01/2026</v>
      </c>
      <c r="K1013">
        <v>46050</v>
      </c>
      <c r="N1013">
        <v>303</v>
      </c>
      <c r="O1013" t="s">
        <v>26</v>
      </c>
      <c r="Q1013">
        <v>5.18</v>
      </c>
      <c r="R1013" t="str">
        <f>"FARMÁCIA INDIANA LJ 257 (10267)"</f>
        <v>FARMÁCIA INDIANA LJ 257 (10267)</v>
      </c>
      <c r="S1013" t="s">
        <v>27</v>
      </c>
      <c r="T1013">
        <v>4106</v>
      </c>
      <c r="U1013">
        <v>3483</v>
      </c>
      <c r="V1013" t="s">
        <v>22</v>
      </c>
    </row>
    <row r="1014" spans="1:22">
      <c r="A1014" t="str">
        <f t="shared" si="357"/>
        <v>28/01/2026</v>
      </c>
      <c r="B1014" t="str">
        <f t="shared" si="358"/>
        <v>ENTRADA</v>
      </c>
      <c r="C1014" t="str">
        <f t="shared" si="359"/>
        <v>NFSE</v>
      </c>
      <c r="D1014" t="str">
        <f t="shared" si="361"/>
        <v>117</v>
      </c>
      <c r="E1014" t="str">
        <f t="shared" si="360"/>
        <v>1</v>
      </c>
      <c r="F1014" t="str">
        <f t="shared" ref="F1014:F1045" si="365">"COM"</f>
        <v>COM</v>
      </c>
      <c r="G1014" t="str">
        <f t="shared" si="362"/>
        <v>FARMÁCIA INDIANA LJ 1 (10126)</v>
      </c>
      <c r="H1014" t="s">
        <v>277</v>
      </c>
      <c r="I1014" t="str">
        <f t="shared" si="363"/>
        <v>28/01/2026</v>
      </c>
      <c r="J1014" t="str">
        <f t="shared" si="364"/>
        <v>19/01/2026</v>
      </c>
      <c r="K1014">
        <v>46050</v>
      </c>
      <c r="N1014">
        <v>303</v>
      </c>
      <c r="O1014" t="s">
        <v>26</v>
      </c>
      <c r="Q1014">
        <v>121.76</v>
      </c>
      <c r="R1014" t="str">
        <f>"FARMÁCIA INDIANA LJ 134 (10271)"</f>
        <v>FARMÁCIA INDIANA LJ 134 (10271)</v>
      </c>
      <c r="S1014" t="s">
        <v>27</v>
      </c>
      <c r="T1014">
        <v>4106</v>
      </c>
      <c r="U1014">
        <v>3483</v>
      </c>
      <c r="V1014" t="s">
        <v>22</v>
      </c>
    </row>
    <row r="1015" spans="1:22">
      <c r="A1015" t="str">
        <f t="shared" si="357"/>
        <v>28/01/2026</v>
      </c>
      <c r="B1015" t="str">
        <f t="shared" si="358"/>
        <v>ENTRADA</v>
      </c>
      <c r="C1015" t="str">
        <f t="shared" si="359"/>
        <v>NFSE</v>
      </c>
      <c r="D1015" t="str">
        <f t="shared" si="361"/>
        <v>117</v>
      </c>
      <c r="E1015" t="str">
        <f t="shared" si="360"/>
        <v>1</v>
      </c>
      <c r="F1015" t="str">
        <f t="shared" si="365"/>
        <v>COM</v>
      </c>
      <c r="G1015" t="str">
        <f t="shared" si="362"/>
        <v>FARMÁCIA INDIANA LJ 1 (10126)</v>
      </c>
      <c r="H1015" t="s">
        <v>277</v>
      </c>
      <c r="I1015" t="str">
        <f t="shared" si="363"/>
        <v>28/01/2026</v>
      </c>
      <c r="J1015" t="str">
        <f t="shared" si="364"/>
        <v>19/01/2026</v>
      </c>
      <c r="K1015">
        <v>46050</v>
      </c>
      <c r="N1015">
        <v>303</v>
      </c>
      <c r="O1015" t="s">
        <v>26</v>
      </c>
      <c r="Q1015">
        <v>53.11</v>
      </c>
      <c r="R1015" t="str">
        <f>"FARMÁCIA INDIANA LJ 284 (10280)"</f>
        <v>FARMÁCIA INDIANA LJ 284 (10280)</v>
      </c>
      <c r="S1015" t="s">
        <v>27</v>
      </c>
      <c r="T1015">
        <v>4106</v>
      </c>
      <c r="U1015">
        <v>3483</v>
      </c>
      <c r="V1015" t="s">
        <v>22</v>
      </c>
    </row>
    <row r="1016" spans="1:22">
      <c r="A1016" t="str">
        <f t="shared" ref="A1016:A1045" si="366">("28/01/2026")</f>
        <v>28/01/2026</v>
      </c>
      <c r="B1016" t="str">
        <f t="shared" ref="B1016:B1047" si="367">"ENTRADA"</f>
        <v>ENTRADA</v>
      </c>
      <c r="C1016" t="str">
        <f t="shared" ref="C1016:C1047" si="368">"NFSE"</f>
        <v>NFSE</v>
      </c>
      <c r="D1016" t="str">
        <f t="shared" ref="D1016:D1033" si="369">"118"</f>
        <v>118</v>
      </c>
      <c r="E1016" t="str">
        <f t="shared" ref="E1016:E1047" si="370">"1"</f>
        <v>1</v>
      </c>
      <c r="F1016" t="str">
        <f t="shared" si="365"/>
        <v>COM</v>
      </c>
      <c r="G1016" t="str">
        <f t="shared" ref="G1016:G1033" si="371">"FARMÁCIA INDIANA LJ 30 (10127)"</f>
        <v>FARMÁCIA INDIANA LJ 30 (10127)</v>
      </c>
      <c r="H1016" t="str">
        <f>"Serv.Prest. 12/01/2026 a 18/01/2026 - RPS: 2044 - NFSe: 118"</f>
        <v>Serv.Prest. 12/01/2026 a 18/01/2026 - RPS: 2044 - NFSe: 118</v>
      </c>
      <c r="I1016" t="str">
        <f t="shared" si="363"/>
        <v>28/01/2026</v>
      </c>
      <c r="J1016" t="str">
        <f t="shared" si="364"/>
        <v>19/01/2026</v>
      </c>
      <c r="K1016" t="str">
        <f>("28/01/2026")</f>
        <v>28/01/2026</v>
      </c>
      <c r="L1016">
        <v>3270.39</v>
      </c>
      <c r="M1016">
        <v>3270.39</v>
      </c>
      <c r="N1016">
        <v>303</v>
      </c>
      <c r="O1016" t="str">
        <f>"RECEITAS COM ENTREGAS"</f>
        <v>RECEITAS COM ENTREGAS</v>
      </c>
      <c r="P1016">
        <v>3270.39</v>
      </c>
      <c r="S1016" t="str">
        <f>"RECEITAS COM ENTREGAS (303)"</f>
        <v>RECEITAS COM ENTREGAS (303)</v>
      </c>
      <c r="T1016">
        <v>4107</v>
      </c>
      <c r="U1016">
        <v>3484</v>
      </c>
      <c r="V1016" t="s">
        <v>22</v>
      </c>
    </row>
    <row r="1017" spans="1:22">
      <c r="A1017" t="str">
        <f t="shared" si="366"/>
        <v>28/01/2026</v>
      </c>
      <c r="B1017" t="str">
        <f t="shared" si="367"/>
        <v>ENTRADA</v>
      </c>
      <c r="C1017" t="str">
        <f t="shared" si="368"/>
        <v>NFSE</v>
      </c>
      <c r="D1017" t="str">
        <f t="shared" si="369"/>
        <v>118</v>
      </c>
      <c r="E1017" t="str">
        <f t="shared" si="370"/>
        <v>1</v>
      </c>
      <c r="F1017" t="str">
        <f t="shared" si="365"/>
        <v>COM</v>
      </c>
      <c r="G1017" t="str">
        <f t="shared" si="371"/>
        <v>FARMÁCIA INDIANA LJ 30 (10127)</v>
      </c>
      <c r="H1017" t="s">
        <v>278</v>
      </c>
      <c r="I1017" t="str">
        <f t="shared" si="363"/>
        <v>28/01/2026</v>
      </c>
      <c r="J1017" t="str">
        <f t="shared" si="364"/>
        <v>19/01/2026</v>
      </c>
      <c r="K1017">
        <v>46050</v>
      </c>
      <c r="N1017">
        <v>303</v>
      </c>
      <c r="O1017" t="s">
        <v>26</v>
      </c>
      <c r="Q1017">
        <v>343.39</v>
      </c>
      <c r="R1017" t="str">
        <f>"FARMÁCIA INDIANA LJ 34 (10014)"</f>
        <v>FARMÁCIA INDIANA LJ 34 (10014)</v>
      </c>
      <c r="S1017" t="s">
        <v>27</v>
      </c>
      <c r="T1017">
        <v>4107</v>
      </c>
      <c r="U1017">
        <v>3484</v>
      </c>
      <c r="V1017" t="s">
        <v>22</v>
      </c>
    </row>
    <row r="1018" spans="1:22">
      <c r="A1018" t="str">
        <f t="shared" si="366"/>
        <v>28/01/2026</v>
      </c>
      <c r="B1018" t="str">
        <f t="shared" si="367"/>
        <v>ENTRADA</v>
      </c>
      <c r="C1018" t="str">
        <f t="shared" si="368"/>
        <v>NFSE</v>
      </c>
      <c r="D1018" t="str">
        <f t="shared" si="369"/>
        <v>118</v>
      </c>
      <c r="E1018" t="str">
        <f t="shared" si="370"/>
        <v>1</v>
      </c>
      <c r="F1018" t="str">
        <f t="shared" si="365"/>
        <v>COM</v>
      </c>
      <c r="G1018" t="str">
        <f t="shared" si="371"/>
        <v>FARMÁCIA INDIANA LJ 30 (10127)</v>
      </c>
      <c r="H1018" t="s">
        <v>278</v>
      </c>
      <c r="I1018" t="str">
        <f t="shared" si="363"/>
        <v>28/01/2026</v>
      </c>
      <c r="J1018" t="str">
        <f t="shared" si="364"/>
        <v>19/01/2026</v>
      </c>
      <c r="K1018">
        <v>46050</v>
      </c>
      <c r="N1018">
        <v>303</v>
      </c>
      <c r="O1018" t="s">
        <v>26</v>
      </c>
      <c r="Q1018">
        <v>168.1</v>
      </c>
      <c r="R1018" t="str">
        <f>"FARMÁCIA INDIANA LJ 35 (10015)"</f>
        <v>FARMÁCIA INDIANA LJ 35 (10015)</v>
      </c>
      <c r="S1018" t="s">
        <v>27</v>
      </c>
      <c r="T1018">
        <v>4107</v>
      </c>
      <c r="U1018">
        <v>3484</v>
      </c>
      <c r="V1018" t="s">
        <v>22</v>
      </c>
    </row>
    <row r="1019" spans="1:22">
      <c r="A1019" t="str">
        <f t="shared" si="366"/>
        <v>28/01/2026</v>
      </c>
      <c r="B1019" t="str">
        <f t="shared" si="367"/>
        <v>ENTRADA</v>
      </c>
      <c r="C1019" t="str">
        <f t="shared" si="368"/>
        <v>NFSE</v>
      </c>
      <c r="D1019" t="str">
        <f t="shared" si="369"/>
        <v>118</v>
      </c>
      <c r="E1019" t="str">
        <f t="shared" si="370"/>
        <v>1</v>
      </c>
      <c r="F1019" t="str">
        <f t="shared" si="365"/>
        <v>COM</v>
      </c>
      <c r="G1019" t="str">
        <f t="shared" si="371"/>
        <v>FARMÁCIA INDIANA LJ 30 (10127)</v>
      </c>
      <c r="H1019" t="s">
        <v>278</v>
      </c>
      <c r="I1019" t="str">
        <f t="shared" si="363"/>
        <v>28/01/2026</v>
      </c>
      <c r="J1019" t="str">
        <f t="shared" si="364"/>
        <v>19/01/2026</v>
      </c>
      <c r="K1019">
        <v>46050</v>
      </c>
      <c r="N1019">
        <v>303</v>
      </c>
      <c r="O1019" t="s">
        <v>26</v>
      </c>
      <c r="Q1019">
        <v>249.86</v>
      </c>
      <c r="R1019" t="str">
        <f>"FARMÁCIA INDIANA LJ 48 (10018)"</f>
        <v>FARMÁCIA INDIANA LJ 48 (10018)</v>
      </c>
      <c r="S1019" t="s">
        <v>27</v>
      </c>
      <c r="T1019">
        <v>4107</v>
      </c>
      <c r="U1019">
        <v>3484</v>
      </c>
      <c r="V1019" t="s">
        <v>22</v>
      </c>
    </row>
    <row r="1020" spans="1:22">
      <c r="A1020" t="str">
        <f t="shared" si="366"/>
        <v>28/01/2026</v>
      </c>
      <c r="B1020" t="str">
        <f t="shared" si="367"/>
        <v>ENTRADA</v>
      </c>
      <c r="C1020" t="str">
        <f t="shared" si="368"/>
        <v>NFSE</v>
      </c>
      <c r="D1020" t="str">
        <f t="shared" si="369"/>
        <v>118</v>
      </c>
      <c r="E1020" t="str">
        <f t="shared" si="370"/>
        <v>1</v>
      </c>
      <c r="F1020" t="str">
        <f t="shared" si="365"/>
        <v>COM</v>
      </c>
      <c r="G1020" t="str">
        <f t="shared" si="371"/>
        <v>FARMÁCIA INDIANA LJ 30 (10127)</v>
      </c>
      <c r="H1020" t="s">
        <v>278</v>
      </c>
      <c r="I1020" t="str">
        <f t="shared" si="363"/>
        <v>28/01/2026</v>
      </c>
      <c r="J1020" t="str">
        <f t="shared" si="364"/>
        <v>19/01/2026</v>
      </c>
      <c r="K1020">
        <v>46050</v>
      </c>
      <c r="N1020">
        <v>303</v>
      </c>
      <c r="O1020" t="s">
        <v>26</v>
      </c>
      <c r="Q1020">
        <v>348.95</v>
      </c>
      <c r="R1020" t="str">
        <f>"FARMÁCIA INDIANA LJ 65 (10030)"</f>
        <v>FARMÁCIA INDIANA LJ 65 (10030)</v>
      </c>
      <c r="S1020" t="s">
        <v>27</v>
      </c>
      <c r="T1020">
        <v>4107</v>
      </c>
      <c r="U1020">
        <v>3484</v>
      </c>
      <c r="V1020" t="s">
        <v>22</v>
      </c>
    </row>
    <row r="1021" spans="1:22">
      <c r="A1021" t="str">
        <f t="shared" si="366"/>
        <v>28/01/2026</v>
      </c>
      <c r="B1021" t="str">
        <f t="shared" si="367"/>
        <v>ENTRADA</v>
      </c>
      <c r="C1021" t="str">
        <f t="shared" si="368"/>
        <v>NFSE</v>
      </c>
      <c r="D1021" t="str">
        <f t="shared" si="369"/>
        <v>118</v>
      </c>
      <c r="E1021" t="str">
        <f t="shared" si="370"/>
        <v>1</v>
      </c>
      <c r="F1021" t="str">
        <f t="shared" si="365"/>
        <v>COM</v>
      </c>
      <c r="G1021" t="str">
        <f t="shared" si="371"/>
        <v>FARMÁCIA INDIANA LJ 30 (10127)</v>
      </c>
      <c r="H1021" t="s">
        <v>278</v>
      </c>
      <c r="I1021" t="str">
        <f t="shared" si="363"/>
        <v>28/01/2026</v>
      </c>
      <c r="J1021" t="str">
        <f t="shared" si="364"/>
        <v>19/01/2026</v>
      </c>
      <c r="K1021">
        <v>46050</v>
      </c>
      <c r="N1021">
        <v>303</v>
      </c>
      <c r="O1021" t="s">
        <v>26</v>
      </c>
      <c r="Q1021">
        <v>85.68</v>
      </c>
      <c r="R1021" t="str">
        <f>"FARMÁCIA INDIANA LJ 77 (10034)"</f>
        <v>FARMÁCIA INDIANA LJ 77 (10034)</v>
      </c>
      <c r="S1021" t="s">
        <v>27</v>
      </c>
      <c r="T1021">
        <v>4107</v>
      </c>
      <c r="U1021">
        <v>3484</v>
      </c>
      <c r="V1021" t="s">
        <v>22</v>
      </c>
    </row>
    <row r="1022" spans="1:22">
      <c r="A1022" t="str">
        <f t="shared" si="366"/>
        <v>28/01/2026</v>
      </c>
      <c r="B1022" t="str">
        <f t="shared" si="367"/>
        <v>ENTRADA</v>
      </c>
      <c r="C1022" t="str">
        <f t="shared" si="368"/>
        <v>NFSE</v>
      </c>
      <c r="D1022" t="str">
        <f t="shared" si="369"/>
        <v>118</v>
      </c>
      <c r="E1022" t="str">
        <f t="shared" si="370"/>
        <v>1</v>
      </c>
      <c r="F1022" t="str">
        <f t="shared" si="365"/>
        <v>COM</v>
      </c>
      <c r="G1022" t="str">
        <f t="shared" si="371"/>
        <v>FARMÁCIA INDIANA LJ 30 (10127)</v>
      </c>
      <c r="H1022" t="s">
        <v>278</v>
      </c>
      <c r="I1022" t="str">
        <f t="shared" si="363"/>
        <v>28/01/2026</v>
      </c>
      <c r="J1022" t="str">
        <f t="shared" si="364"/>
        <v>19/01/2026</v>
      </c>
      <c r="K1022">
        <v>46050</v>
      </c>
      <c r="N1022">
        <v>303</v>
      </c>
      <c r="O1022" t="s">
        <v>26</v>
      </c>
      <c r="Q1022">
        <v>588.02</v>
      </c>
      <c r="R1022" t="str">
        <f>"FARMÁCIA INDIANA LJ 91 (10037)"</f>
        <v>FARMÁCIA INDIANA LJ 91 (10037)</v>
      </c>
      <c r="S1022" t="s">
        <v>27</v>
      </c>
      <c r="T1022">
        <v>4107</v>
      </c>
      <c r="U1022">
        <v>3484</v>
      </c>
      <c r="V1022" t="s">
        <v>22</v>
      </c>
    </row>
    <row r="1023" spans="1:22">
      <c r="A1023" t="str">
        <f t="shared" si="366"/>
        <v>28/01/2026</v>
      </c>
      <c r="B1023" t="str">
        <f t="shared" si="367"/>
        <v>ENTRADA</v>
      </c>
      <c r="C1023" t="str">
        <f t="shared" si="368"/>
        <v>NFSE</v>
      </c>
      <c r="D1023" t="str">
        <f t="shared" si="369"/>
        <v>118</v>
      </c>
      <c r="E1023" t="str">
        <f t="shared" si="370"/>
        <v>1</v>
      </c>
      <c r="F1023" t="str">
        <f t="shared" si="365"/>
        <v>COM</v>
      </c>
      <c r="G1023" t="str">
        <f t="shared" si="371"/>
        <v>FARMÁCIA INDIANA LJ 30 (10127)</v>
      </c>
      <c r="H1023" t="s">
        <v>278</v>
      </c>
      <c r="I1023" t="str">
        <f t="shared" si="363"/>
        <v>28/01/2026</v>
      </c>
      <c r="J1023" t="str">
        <f t="shared" si="364"/>
        <v>19/01/2026</v>
      </c>
      <c r="K1023">
        <v>46050</v>
      </c>
      <c r="N1023">
        <v>303</v>
      </c>
      <c r="O1023" t="s">
        <v>26</v>
      </c>
      <c r="Q1023">
        <v>168.75</v>
      </c>
      <c r="R1023" t="str">
        <f>"FARMÁCIA INDIANA LJ 95 (10039)"</f>
        <v>FARMÁCIA INDIANA LJ 95 (10039)</v>
      </c>
      <c r="S1023" t="s">
        <v>27</v>
      </c>
      <c r="T1023">
        <v>4107</v>
      </c>
      <c r="U1023">
        <v>3484</v>
      </c>
      <c r="V1023" t="s">
        <v>22</v>
      </c>
    </row>
    <row r="1024" spans="1:22">
      <c r="A1024" t="str">
        <f t="shared" si="366"/>
        <v>28/01/2026</v>
      </c>
      <c r="B1024" t="str">
        <f t="shared" si="367"/>
        <v>ENTRADA</v>
      </c>
      <c r="C1024" t="str">
        <f t="shared" si="368"/>
        <v>NFSE</v>
      </c>
      <c r="D1024" t="str">
        <f t="shared" si="369"/>
        <v>118</v>
      </c>
      <c r="E1024" t="str">
        <f t="shared" si="370"/>
        <v>1</v>
      </c>
      <c r="F1024" t="str">
        <f t="shared" si="365"/>
        <v>COM</v>
      </c>
      <c r="G1024" t="str">
        <f t="shared" si="371"/>
        <v>FARMÁCIA INDIANA LJ 30 (10127)</v>
      </c>
      <c r="H1024" t="s">
        <v>278</v>
      </c>
      <c r="I1024" t="str">
        <f t="shared" si="363"/>
        <v>28/01/2026</v>
      </c>
      <c r="J1024" t="str">
        <f t="shared" si="364"/>
        <v>19/01/2026</v>
      </c>
      <c r="K1024">
        <v>46050</v>
      </c>
      <c r="N1024">
        <v>303</v>
      </c>
      <c r="O1024" t="s">
        <v>26</v>
      </c>
      <c r="Q1024">
        <v>146.51</v>
      </c>
      <c r="R1024" t="str">
        <f>"FARMÁCIA INDIANA LJ 145 (10068)"</f>
        <v>FARMÁCIA INDIANA LJ 145 (10068)</v>
      </c>
      <c r="S1024" t="s">
        <v>27</v>
      </c>
      <c r="T1024">
        <v>4107</v>
      </c>
      <c r="U1024">
        <v>3484</v>
      </c>
      <c r="V1024" t="s">
        <v>22</v>
      </c>
    </row>
    <row r="1025" spans="1:22">
      <c r="A1025" t="str">
        <f t="shared" si="366"/>
        <v>28/01/2026</v>
      </c>
      <c r="B1025" t="str">
        <f t="shared" si="367"/>
        <v>ENTRADA</v>
      </c>
      <c r="C1025" t="str">
        <f t="shared" si="368"/>
        <v>NFSE</v>
      </c>
      <c r="D1025" t="str">
        <f t="shared" si="369"/>
        <v>118</v>
      </c>
      <c r="E1025" t="str">
        <f t="shared" si="370"/>
        <v>1</v>
      </c>
      <c r="F1025" t="str">
        <f t="shared" si="365"/>
        <v>COM</v>
      </c>
      <c r="G1025" t="str">
        <f t="shared" si="371"/>
        <v>FARMÁCIA INDIANA LJ 30 (10127)</v>
      </c>
      <c r="H1025" t="s">
        <v>278</v>
      </c>
      <c r="I1025" t="str">
        <f t="shared" si="363"/>
        <v>28/01/2026</v>
      </c>
      <c r="J1025" t="str">
        <f t="shared" si="364"/>
        <v>19/01/2026</v>
      </c>
      <c r="K1025">
        <v>46050</v>
      </c>
      <c r="N1025">
        <v>303</v>
      </c>
      <c r="O1025" t="s">
        <v>26</v>
      </c>
      <c r="Q1025">
        <v>130.82</v>
      </c>
      <c r="R1025" t="str">
        <f>"FARMÁCIA INDIANA LJ 169 (10073)"</f>
        <v>FARMÁCIA INDIANA LJ 169 (10073)</v>
      </c>
      <c r="S1025" t="s">
        <v>27</v>
      </c>
      <c r="T1025">
        <v>4107</v>
      </c>
      <c r="U1025">
        <v>3484</v>
      </c>
      <c r="V1025" t="s">
        <v>22</v>
      </c>
    </row>
    <row r="1026" spans="1:22">
      <c r="A1026" t="str">
        <f t="shared" si="366"/>
        <v>28/01/2026</v>
      </c>
      <c r="B1026" t="str">
        <f t="shared" si="367"/>
        <v>ENTRADA</v>
      </c>
      <c r="C1026" t="str">
        <f t="shared" si="368"/>
        <v>NFSE</v>
      </c>
      <c r="D1026" t="str">
        <f t="shared" si="369"/>
        <v>118</v>
      </c>
      <c r="E1026" t="str">
        <f t="shared" si="370"/>
        <v>1</v>
      </c>
      <c r="F1026" t="str">
        <f t="shared" si="365"/>
        <v>COM</v>
      </c>
      <c r="G1026" t="str">
        <f t="shared" si="371"/>
        <v>FARMÁCIA INDIANA LJ 30 (10127)</v>
      </c>
      <c r="H1026" t="s">
        <v>278</v>
      </c>
      <c r="I1026" t="str">
        <f t="shared" si="363"/>
        <v>28/01/2026</v>
      </c>
      <c r="J1026" t="str">
        <f t="shared" si="364"/>
        <v>19/01/2026</v>
      </c>
      <c r="K1026">
        <v>46050</v>
      </c>
      <c r="N1026">
        <v>303</v>
      </c>
      <c r="O1026" t="s">
        <v>26</v>
      </c>
      <c r="Q1026">
        <v>174.31</v>
      </c>
      <c r="R1026" t="str">
        <f>"FARMÁCIA INDIANA LJ 173 (10075)"</f>
        <v>FARMÁCIA INDIANA LJ 173 (10075)</v>
      </c>
      <c r="S1026" t="s">
        <v>27</v>
      </c>
      <c r="T1026">
        <v>4107</v>
      </c>
      <c r="U1026">
        <v>3484</v>
      </c>
      <c r="V1026" t="s">
        <v>22</v>
      </c>
    </row>
    <row r="1027" spans="1:22">
      <c r="A1027" t="str">
        <f t="shared" si="366"/>
        <v>28/01/2026</v>
      </c>
      <c r="B1027" t="str">
        <f t="shared" si="367"/>
        <v>ENTRADA</v>
      </c>
      <c r="C1027" t="str">
        <f t="shared" si="368"/>
        <v>NFSE</v>
      </c>
      <c r="D1027" t="str">
        <f t="shared" si="369"/>
        <v>118</v>
      </c>
      <c r="E1027" t="str">
        <f t="shared" si="370"/>
        <v>1</v>
      </c>
      <c r="F1027" t="str">
        <f t="shared" si="365"/>
        <v>COM</v>
      </c>
      <c r="G1027" t="str">
        <f t="shared" si="371"/>
        <v>FARMÁCIA INDIANA LJ 30 (10127)</v>
      </c>
      <c r="H1027" t="s">
        <v>278</v>
      </c>
      <c r="I1027" t="str">
        <f t="shared" si="363"/>
        <v>28/01/2026</v>
      </c>
      <c r="J1027" t="str">
        <f t="shared" si="364"/>
        <v>19/01/2026</v>
      </c>
      <c r="K1027">
        <v>46050</v>
      </c>
      <c r="N1027">
        <v>303</v>
      </c>
      <c r="O1027" t="s">
        <v>26</v>
      </c>
      <c r="Q1027">
        <v>100.07</v>
      </c>
      <c r="R1027" t="str">
        <f>"FARMÁCIA INDIANA LJ 213 (10090)"</f>
        <v>FARMÁCIA INDIANA LJ 213 (10090)</v>
      </c>
      <c r="S1027" t="s">
        <v>27</v>
      </c>
      <c r="T1027">
        <v>4107</v>
      </c>
      <c r="U1027">
        <v>3484</v>
      </c>
      <c r="V1027" t="s">
        <v>22</v>
      </c>
    </row>
    <row r="1028" spans="1:22">
      <c r="A1028" t="str">
        <f t="shared" si="366"/>
        <v>28/01/2026</v>
      </c>
      <c r="B1028" t="str">
        <f t="shared" si="367"/>
        <v>ENTRADA</v>
      </c>
      <c r="C1028" t="str">
        <f t="shared" si="368"/>
        <v>NFSE</v>
      </c>
      <c r="D1028" t="str">
        <f t="shared" si="369"/>
        <v>118</v>
      </c>
      <c r="E1028" t="str">
        <f t="shared" si="370"/>
        <v>1</v>
      </c>
      <c r="F1028" t="str">
        <f t="shared" si="365"/>
        <v>COM</v>
      </c>
      <c r="G1028" t="str">
        <f t="shared" si="371"/>
        <v>FARMÁCIA INDIANA LJ 30 (10127)</v>
      </c>
      <c r="H1028" t="s">
        <v>278</v>
      </c>
      <c r="I1028" t="str">
        <f t="shared" si="363"/>
        <v>28/01/2026</v>
      </c>
      <c r="J1028" t="str">
        <f t="shared" si="364"/>
        <v>19/01/2026</v>
      </c>
      <c r="K1028">
        <v>46050</v>
      </c>
      <c r="N1028">
        <v>303</v>
      </c>
      <c r="O1028" t="s">
        <v>26</v>
      </c>
      <c r="Q1028">
        <v>135.72</v>
      </c>
      <c r="R1028" t="str">
        <f>"FARMÁCIA INDIANA LJ 200 (10155)"</f>
        <v>FARMÁCIA INDIANA LJ 200 (10155)</v>
      </c>
      <c r="S1028" t="s">
        <v>27</v>
      </c>
      <c r="T1028">
        <v>4107</v>
      </c>
      <c r="U1028">
        <v>3484</v>
      </c>
      <c r="V1028" t="s">
        <v>22</v>
      </c>
    </row>
    <row r="1029" spans="1:22">
      <c r="A1029" t="str">
        <f t="shared" si="366"/>
        <v>28/01/2026</v>
      </c>
      <c r="B1029" t="str">
        <f t="shared" si="367"/>
        <v>ENTRADA</v>
      </c>
      <c r="C1029" t="str">
        <f t="shared" si="368"/>
        <v>NFSE</v>
      </c>
      <c r="D1029" t="str">
        <f t="shared" si="369"/>
        <v>118</v>
      </c>
      <c r="E1029" t="str">
        <f t="shared" si="370"/>
        <v>1</v>
      </c>
      <c r="F1029" t="str">
        <f t="shared" si="365"/>
        <v>COM</v>
      </c>
      <c r="G1029" t="str">
        <f t="shared" si="371"/>
        <v>FARMÁCIA INDIANA LJ 30 (10127)</v>
      </c>
      <c r="H1029" t="s">
        <v>278</v>
      </c>
      <c r="I1029" t="str">
        <f t="shared" si="363"/>
        <v>28/01/2026</v>
      </c>
      <c r="J1029" t="str">
        <f t="shared" si="364"/>
        <v>19/01/2026</v>
      </c>
      <c r="K1029">
        <v>46050</v>
      </c>
      <c r="N1029">
        <v>303</v>
      </c>
      <c r="O1029" t="s">
        <v>26</v>
      </c>
      <c r="Q1029">
        <v>123.95</v>
      </c>
      <c r="R1029" t="str">
        <f>"FARMÁCIA INDIANA LJ 33 (10187)"</f>
        <v>FARMÁCIA INDIANA LJ 33 (10187)</v>
      </c>
      <c r="S1029" t="s">
        <v>27</v>
      </c>
      <c r="T1029">
        <v>4107</v>
      </c>
      <c r="U1029">
        <v>3484</v>
      </c>
      <c r="V1029" t="s">
        <v>22</v>
      </c>
    </row>
    <row r="1030" spans="1:22">
      <c r="A1030" t="str">
        <f t="shared" si="366"/>
        <v>28/01/2026</v>
      </c>
      <c r="B1030" t="str">
        <f t="shared" si="367"/>
        <v>ENTRADA</v>
      </c>
      <c r="C1030" t="str">
        <f t="shared" si="368"/>
        <v>NFSE</v>
      </c>
      <c r="D1030" t="str">
        <f t="shared" si="369"/>
        <v>118</v>
      </c>
      <c r="E1030" t="str">
        <f t="shared" si="370"/>
        <v>1</v>
      </c>
      <c r="F1030" t="str">
        <f t="shared" si="365"/>
        <v>COM</v>
      </c>
      <c r="G1030" t="str">
        <f t="shared" si="371"/>
        <v>FARMÁCIA INDIANA LJ 30 (10127)</v>
      </c>
      <c r="H1030" t="s">
        <v>278</v>
      </c>
      <c r="I1030" t="str">
        <f t="shared" ref="I1030:I1061" si="372">("28/01/2026")</f>
        <v>28/01/2026</v>
      </c>
      <c r="J1030" t="str">
        <f t="shared" ref="J1030:J1045" si="373">("19/01/2026")</f>
        <v>19/01/2026</v>
      </c>
      <c r="K1030">
        <v>46050</v>
      </c>
      <c r="N1030">
        <v>303</v>
      </c>
      <c r="O1030" t="s">
        <v>26</v>
      </c>
      <c r="Q1030">
        <v>99.75</v>
      </c>
      <c r="R1030" t="str">
        <f>"FARMÁCIA INDIANA LJ 283 (10268)"</f>
        <v>FARMÁCIA INDIANA LJ 283 (10268)</v>
      </c>
      <c r="S1030" t="s">
        <v>27</v>
      </c>
      <c r="T1030">
        <v>4107</v>
      </c>
      <c r="U1030">
        <v>3484</v>
      </c>
      <c r="V1030" t="s">
        <v>22</v>
      </c>
    </row>
    <row r="1031" spans="1:22">
      <c r="A1031" t="str">
        <f t="shared" si="366"/>
        <v>28/01/2026</v>
      </c>
      <c r="B1031" t="str">
        <f t="shared" si="367"/>
        <v>ENTRADA</v>
      </c>
      <c r="C1031" t="str">
        <f t="shared" si="368"/>
        <v>NFSE</v>
      </c>
      <c r="D1031" t="str">
        <f t="shared" si="369"/>
        <v>118</v>
      </c>
      <c r="E1031" t="str">
        <f t="shared" si="370"/>
        <v>1</v>
      </c>
      <c r="F1031" t="str">
        <f t="shared" si="365"/>
        <v>COM</v>
      </c>
      <c r="G1031" t="str">
        <f t="shared" si="371"/>
        <v>FARMÁCIA INDIANA LJ 30 (10127)</v>
      </c>
      <c r="H1031" t="s">
        <v>278</v>
      </c>
      <c r="I1031" t="str">
        <f t="shared" si="372"/>
        <v>28/01/2026</v>
      </c>
      <c r="J1031" t="str">
        <f t="shared" si="373"/>
        <v>19/01/2026</v>
      </c>
      <c r="K1031">
        <v>46050</v>
      </c>
      <c r="N1031">
        <v>303</v>
      </c>
      <c r="O1031" t="s">
        <v>26</v>
      </c>
      <c r="Q1031">
        <v>139.97</v>
      </c>
      <c r="R1031" t="str">
        <f>"FARMÁCIA INDIANA LJ 155 (10273)"</f>
        <v>FARMÁCIA INDIANA LJ 155 (10273)</v>
      </c>
      <c r="S1031" t="s">
        <v>27</v>
      </c>
      <c r="T1031">
        <v>4107</v>
      </c>
      <c r="U1031">
        <v>3484</v>
      </c>
      <c r="V1031" t="s">
        <v>22</v>
      </c>
    </row>
    <row r="1032" spans="1:22">
      <c r="A1032" t="str">
        <f t="shared" si="366"/>
        <v>28/01/2026</v>
      </c>
      <c r="B1032" t="str">
        <f t="shared" si="367"/>
        <v>ENTRADA</v>
      </c>
      <c r="C1032" t="str">
        <f t="shared" si="368"/>
        <v>NFSE</v>
      </c>
      <c r="D1032" t="str">
        <f t="shared" si="369"/>
        <v>118</v>
      </c>
      <c r="E1032" t="str">
        <f t="shared" si="370"/>
        <v>1</v>
      </c>
      <c r="F1032" t="str">
        <f t="shared" si="365"/>
        <v>COM</v>
      </c>
      <c r="G1032" t="str">
        <f t="shared" si="371"/>
        <v>FARMÁCIA INDIANA LJ 30 (10127)</v>
      </c>
      <c r="H1032" t="s">
        <v>278</v>
      </c>
      <c r="I1032" t="str">
        <f t="shared" si="372"/>
        <v>28/01/2026</v>
      </c>
      <c r="J1032" t="str">
        <f t="shared" si="373"/>
        <v>19/01/2026</v>
      </c>
      <c r="K1032">
        <v>46050</v>
      </c>
      <c r="N1032">
        <v>303</v>
      </c>
      <c r="O1032" t="s">
        <v>26</v>
      </c>
      <c r="Q1032">
        <v>113.81</v>
      </c>
      <c r="R1032" t="str">
        <f>"FARMÁCIA INDIANA LJ 158 (10275)"</f>
        <v>FARMÁCIA INDIANA LJ 158 (10275)</v>
      </c>
      <c r="S1032" t="s">
        <v>27</v>
      </c>
      <c r="T1032">
        <v>4107</v>
      </c>
      <c r="U1032">
        <v>3484</v>
      </c>
      <c r="V1032" t="s">
        <v>22</v>
      </c>
    </row>
    <row r="1033" spans="1:22">
      <c r="A1033" t="str">
        <f t="shared" si="366"/>
        <v>28/01/2026</v>
      </c>
      <c r="B1033" t="str">
        <f t="shared" si="367"/>
        <v>ENTRADA</v>
      </c>
      <c r="C1033" t="str">
        <f t="shared" si="368"/>
        <v>NFSE</v>
      </c>
      <c r="D1033" t="str">
        <f t="shared" si="369"/>
        <v>118</v>
      </c>
      <c r="E1033" t="str">
        <f t="shared" si="370"/>
        <v>1</v>
      </c>
      <c r="F1033" t="str">
        <f t="shared" si="365"/>
        <v>COM</v>
      </c>
      <c r="G1033" t="str">
        <f t="shared" si="371"/>
        <v>FARMÁCIA INDIANA LJ 30 (10127)</v>
      </c>
      <c r="H1033" t="s">
        <v>278</v>
      </c>
      <c r="I1033" t="str">
        <f t="shared" si="372"/>
        <v>28/01/2026</v>
      </c>
      <c r="J1033" t="str">
        <f t="shared" si="373"/>
        <v>19/01/2026</v>
      </c>
      <c r="K1033">
        <v>46050</v>
      </c>
      <c r="N1033">
        <v>303</v>
      </c>
      <c r="O1033" t="s">
        <v>26</v>
      </c>
      <c r="Q1033">
        <v>152.72999999999999</v>
      </c>
      <c r="R1033" t="str">
        <f>"FARMÁCIA INDIANA LJ 92 (10281)"</f>
        <v>FARMÁCIA INDIANA LJ 92 (10281)</v>
      </c>
      <c r="S1033" t="s">
        <v>27</v>
      </c>
      <c r="T1033">
        <v>4107</v>
      </c>
      <c r="U1033">
        <v>3484</v>
      </c>
      <c r="V1033" t="s">
        <v>22</v>
      </c>
    </row>
    <row r="1034" spans="1:22">
      <c r="A1034" t="str">
        <f t="shared" si="366"/>
        <v>28/01/2026</v>
      </c>
      <c r="B1034" t="str">
        <f t="shared" si="367"/>
        <v>ENTRADA</v>
      </c>
      <c r="C1034" t="str">
        <f t="shared" si="368"/>
        <v>NFSE</v>
      </c>
      <c r="D1034" t="str">
        <f t="shared" ref="D1034:D1045" si="374">"119"</f>
        <v>119</v>
      </c>
      <c r="E1034" t="str">
        <f t="shared" si="370"/>
        <v>1</v>
      </c>
      <c r="F1034" t="str">
        <f t="shared" si="365"/>
        <v>COM</v>
      </c>
      <c r="G1034" t="str">
        <f t="shared" ref="G1034:G1045" si="375">"FARMÁCIA INDIANA LJ 85 (10128)"</f>
        <v>FARMÁCIA INDIANA LJ 85 (10128)</v>
      </c>
      <c r="H1034" t="str">
        <f>"Serv.Prest. 12/01/2026 a 18/01/2026 - RPS: 2045 - NFSe: 119"</f>
        <v>Serv.Prest. 12/01/2026 a 18/01/2026 - RPS: 2045 - NFSe: 119</v>
      </c>
      <c r="I1034" t="str">
        <f t="shared" si="372"/>
        <v>28/01/2026</v>
      </c>
      <c r="J1034" t="str">
        <f t="shared" si="373"/>
        <v>19/01/2026</v>
      </c>
      <c r="K1034" t="str">
        <f>("28/01/2026")</f>
        <v>28/01/2026</v>
      </c>
      <c r="L1034">
        <v>1016.6</v>
      </c>
      <c r="M1034">
        <v>1016.6</v>
      </c>
      <c r="N1034">
        <v>303</v>
      </c>
      <c r="O1034" t="str">
        <f>"RECEITAS COM ENTREGAS"</f>
        <v>RECEITAS COM ENTREGAS</v>
      </c>
      <c r="P1034">
        <v>1016.6</v>
      </c>
      <c r="S1034" t="str">
        <f>"RECEITAS COM ENTREGAS (303)"</f>
        <v>RECEITAS COM ENTREGAS (303)</v>
      </c>
      <c r="T1034">
        <v>4108</v>
      </c>
      <c r="U1034">
        <v>3485</v>
      </c>
      <c r="V1034" t="s">
        <v>22</v>
      </c>
    </row>
    <row r="1035" spans="1:22">
      <c r="A1035" t="str">
        <f t="shared" si="366"/>
        <v>28/01/2026</v>
      </c>
      <c r="B1035" t="str">
        <f t="shared" si="367"/>
        <v>ENTRADA</v>
      </c>
      <c r="C1035" t="str">
        <f t="shared" si="368"/>
        <v>NFSE</v>
      </c>
      <c r="D1035" t="str">
        <f t="shared" si="374"/>
        <v>119</v>
      </c>
      <c r="E1035" t="str">
        <f t="shared" si="370"/>
        <v>1</v>
      </c>
      <c r="F1035" t="str">
        <f t="shared" si="365"/>
        <v>COM</v>
      </c>
      <c r="G1035" t="str">
        <f t="shared" si="375"/>
        <v>FARMÁCIA INDIANA LJ 85 (10128)</v>
      </c>
      <c r="H1035" t="s">
        <v>279</v>
      </c>
      <c r="I1035" t="str">
        <f t="shared" si="372"/>
        <v>28/01/2026</v>
      </c>
      <c r="J1035" t="str">
        <f t="shared" si="373"/>
        <v>19/01/2026</v>
      </c>
      <c r="K1035">
        <v>46050</v>
      </c>
      <c r="N1035">
        <v>303</v>
      </c>
      <c r="O1035" t="s">
        <v>26</v>
      </c>
      <c r="Q1035">
        <v>107.97</v>
      </c>
      <c r="R1035" t="str">
        <f>"FARMÁCIA INDIANA LJ 119 (10053)"</f>
        <v>FARMÁCIA INDIANA LJ 119 (10053)</v>
      </c>
      <c r="S1035" t="s">
        <v>27</v>
      </c>
      <c r="T1035">
        <v>4108</v>
      </c>
      <c r="U1035">
        <v>3485</v>
      </c>
      <c r="V1035" t="s">
        <v>22</v>
      </c>
    </row>
    <row r="1036" spans="1:22">
      <c r="A1036" t="str">
        <f t="shared" si="366"/>
        <v>28/01/2026</v>
      </c>
      <c r="B1036" t="str">
        <f t="shared" si="367"/>
        <v>ENTRADA</v>
      </c>
      <c r="C1036" t="str">
        <f t="shared" si="368"/>
        <v>NFSE</v>
      </c>
      <c r="D1036" t="str">
        <f t="shared" si="374"/>
        <v>119</v>
      </c>
      <c r="E1036" t="str">
        <f t="shared" si="370"/>
        <v>1</v>
      </c>
      <c r="F1036" t="str">
        <f t="shared" si="365"/>
        <v>COM</v>
      </c>
      <c r="G1036" t="str">
        <f t="shared" si="375"/>
        <v>FARMÁCIA INDIANA LJ 85 (10128)</v>
      </c>
      <c r="H1036" t="s">
        <v>279</v>
      </c>
      <c r="I1036" t="str">
        <f t="shared" si="372"/>
        <v>28/01/2026</v>
      </c>
      <c r="J1036" t="str">
        <f t="shared" si="373"/>
        <v>19/01/2026</v>
      </c>
      <c r="K1036">
        <v>46050</v>
      </c>
      <c r="N1036">
        <v>303</v>
      </c>
      <c r="O1036" t="s">
        <v>26</v>
      </c>
      <c r="Q1036">
        <v>104</v>
      </c>
      <c r="R1036" t="str">
        <f>"FARMÁCIA INDIANA LJ 163 (10072)"</f>
        <v>FARMÁCIA INDIANA LJ 163 (10072)</v>
      </c>
      <c r="S1036" t="s">
        <v>27</v>
      </c>
      <c r="T1036">
        <v>4108</v>
      </c>
      <c r="U1036">
        <v>3485</v>
      </c>
      <c r="V1036" t="s">
        <v>22</v>
      </c>
    </row>
    <row r="1037" spans="1:22">
      <c r="A1037" t="str">
        <f t="shared" si="366"/>
        <v>28/01/2026</v>
      </c>
      <c r="B1037" t="str">
        <f t="shared" si="367"/>
        <v>ENTRADA</v>
      </c>
      <c r="C1037" t="str">
        <f t="shared" si="368"/>
        <v>NFSE</v>
      </c>
      <c r="D1037" t="str">
        <f t="shared" si="374"/>
        <v>119</v>
      </c>
      <c r="E1037" t="str">
        <f t="shared" si="370"/>
        <v>1</v>
      </c>
      <c r="F1037" t="str">
        <f t="shared" si="365"/>
        <v>COM</v>
      </c>
      <c r="G1037" t="str">
        <f t="shared" si="375"/>
        <v>FARMÁCIA INDIANA LJ 85 (10128)</v>
      </c>
      <c r="H1037" t="s">
        <v>279</v>
      </c>
      <c r="I1037" t="str">
        <f t="shared" si="372"/>
        <v>28/01/2026</v>
      </c>
      <c r="J1037" t="str">
        <f t="shared" si="373"/>
        <v>19/01/2026</v>
      </c>
      <c r="K1037">
        <v>46050</v>
      </c>
      <c r="N1037">
        <v>303</v>
      </c>
      <c r="O1037" t="s">
        <v>26</v>
      </c>
      <c r="Q1037">
        <v>137.44</v>
      </c>
      <c r="R1037" t="str">
        <f>"FARMÁCIA INDIANA LJ 181 (10078)"</f>
        <v>FARMÁCIA INDIANA LJ 181 (10078)</v>
      </c>
      <c r="S1037" t="s">
        <v>27</v>
      </c>
      <c r="T1037">
        <v>4108</v>
      </c>
      <c r="U1037">
        <v>3485</v>
      </c>
      <c r="V1037" t="s">
        <v>22</v>
      </c>
    </row>
    <row r="1038" spans="1:22">
      <c r="A1038" t="str">
        <f t="shared" si="366"/>
        <v>28/01/2026</v>
      </c>
      <c r="B1038" t="str">
        <f t="shared" si="367"/>
        <v>ENTRADA</v>
      </c>
      <c r="C1038" t="str">
        <f t="shared" si="368"/>
        <v>NFSE</v>
      </c>
      <c r="D1038" t="str">
        <f t="shared" si="374"/>
        <v>119</v>
      </c>
      <c r="E1038" t="str">
        <f t="shared" si="370"/>
        <v>1</v>
      </c>
      <c r="F1038" t="str">
        <f t="shared" si="365"/>
        <v>COM</v>
      </c>
      <c r="G1038" t="str">
        <f t="shared" si="375"/>
        <v>FARMÁCIA INDIANA LJ 85 (10128)</v>
      </c>
      <c r="H1038" t="s">
        <v>279</v>
      </c>
      <c r="I1038" t="str">
        <f t="shared" si="372"/>
        <v>28/01/2026</v>
      </c>
      <c r="J1038" t="str">
        <f t="shared" si="373"/>
        <v>19/01/2026</v>
      </c>
      <c r="K1038">
        <v>46050</v>
      </c>
      <c r="N1038">
        <v>303</v>
      </c>
      <c r="O1038" t="s">
        <v>26</v>
      </c>
      <c r="Q1038">
        <v>107.76</v>
      </c>
      <c r="R1038" t="str">
        <f>"FARMÁCIA INDIANA LJ 221 (10093)"</f>
        <v>FARMÁCIA INDIANA LJ 221 (10093)</v>
      </c>
      <c r="S1038" t="s">
        <v>27</v>
      </c>
      <c r="T1038">
        <v>4108</v>
      </c>
      <c r="U1038">
        <v>3485</v>
      </c>
      <c r="V1038" t="s">
        <v>22</v>
      </c>
    </row>
    <row r="1039" spans="1:22">
      <c r="A1039" t="str">
        <f t="shared" si="366"/>
        <v>28/01/2026</v>
      </c>
      <c r="B1039" t="str">
        <f t="shared" si="367"/>
        <v>ENTRADA</v>
      </c>
      <c r="C1039" t="str">
        <f t="shared" si="368"/>
        <v>NFSE</v>
      </c>
      <c r="D1039" t="str">
        <f t="shared" si="374"/>
        <v>119</v>
      </c>
      <c r="E1039" t="str">
        <f t="shared" si="370"/>
        <v>1</v>
      </c>
      <c r="F1039" t="str">
        <f t="shared" si="365"/>
        <v>COM</v>
      </c>
      <c r="G1039" t="str">
        <f t="shared" si="375"/>
        <v>FARMÁCIA INDIANA LJ 85 (10128)</v>
      </c>
      <c r="H1039" t="s">
        <v>279</v>
      </c>
      <c r="I1039" t="str">
        <f t="shared" si="372"/>
        <v>28/01/2026</v>
      </c>
      <c r="J1039" t="str">
        <f t="shared" si="373"/>
        <v>19/01/2026</v>
      </c>
      <c r="K1039">
        <v>46050</v>
      </c>
      <c r="N1039">
        <v>303</v>
      </c>
      <c r="O1039" t="s">
        <v>26</v>
      </c>
      <c r="Q1039">
        <v>120.06</v>
      </c>
      <c r="R1039" t="str">
        <f>"FARMÁCIA INDIANA LJ 243 (10142)"</f>
        <v>FARMÁCIA INDIANA LJ 243 (10142)</v>
      </c>
      <c r="S1039" t="s">
        <v>27</v>
      </c>
      <c r="T1039">
        <v>4108</v>
      </c>
      <c r="U1039">
        <v>3485</v>
      </c>
      <c r="V1039" t="s">
        <v>22</v>
      </c>
    </row>
    <row r="1040" spans="1:22">
      <c r="A1040" t="str">
        <f t="shared" si="366"/>
        <v>28/01/2026</v>
      </c>
      <c r="B1040" t="str">
        <f t="shared" si="367"/>
        <v>ENTRADA</v>
      </c>
      <c r="C1040" t="str">
        <f t="shared" si="368"/>
        <v>NFSE</v>
      </c>
      <c r="D1040" t="str">
        <f t="shared" si="374"/>
        <v>119</v>
      </c>
      <c r="E1040" t="str">
        <f t="shared" si="370"/>
        <v>1</v>
      </c>
      <c r="F1040" t="str">
        <f t="shared" si="365"/>
        <v>COM</v>
      </c>
      <c r="G1040" t="str">
        <f t="shared" si="375"/>
        <v>FARMÁCIA INDIANA LJ 85 (10128)</v>
      </c>
      <c r="H1040" t="s">
        <v>279</v>
      </c>
      <c r="I1040" t="str">
        <f t="shared" si="372"/>
        <v>28/01/2026</v>
      </c>
      <c r="J1040" t="str">
        <f t="shared" si="373"/>
        <v>19/01/2026</v>
      </c>
      <c r="K1040">
        <v>46050</v>
      </c>
      <c r="N1040">
        <v>303</v>
      </c>
      <c r="O1040" t="s">
        <v>26</v>
      </c>
      <c r="Q1040">
        <v>58.25</v>
      </c>
      <c r="R1040" t="str">
        <f>"FARMÁCIA INDIANA LJ 211 (10168)"</f>
        <v>FARMÁCIA INDIANA LJ 211 (10168)</v>
      </c>
      <c r="S1040" t="s">
        <v>27</v>
      </c>
      <c r="T1040">
        <v>4108</v>
      </c>
      <c r="U1040">
        <v>3485</v>
      </c>
      <c r="V1040" t="s">
        <v>22</v>
      </c>
    </row>
    <row r="1041" spans="1:22">
      <c r="A1041" t="str">
        <f t="shared" si="366"/>
        <v>28/01/2026</v>
      </c>
      <c r="B1041" t="str">
        <f t="shared" si="367"/>
        <v>ENTRADA</v>
      </c>
      <c r="C1041" t="str">
        <f t="shared" si="368"/>
        <v>NFSE</v>
      </c>
      <c r="D1041" t="str">
        <f t="shared" si="374"/>
        <v>119</v>
      </c>
      <c r="E1041" t="str">
        <f t="shared" si="370"/>
        <v>1</v>
      </c>
      <c r="F1041" t="str">
        <f t="shared" si="365"/>
        <v>COM</v>
      </c>
      <c r="G1041" t="str">
        <f t="shared" si="375"/>
        <v>FARMÁCIA INDIANA LJ 85 (10128)</v>
      </c>
      <c r="H1041" t="s">
        <v>279</v>
      </c>
      <c r="I1041" t="str">
        <f t="shared" si="372"/>
        <v>28/01/2026</v>
      </c>
      <c r="J1041" t="str">
        <f t="shared" si="373"/>
        <v>19/01/2026</v>
      </c>
      <c r="K1041">
        <v>46050</v>
      </c>
      <c r="N1041">
        <v>303</v>
      </c>
      <c r="O1041" t="s">
        <v>26</v>
      </c>
      <c r="Q1041">
        <v>56.52</v>
      </c>
      <c r="R1041" t="str">
        <f>"FARMÁCIA INDIANA LJ 236 (10169)"</f>
        <v>FARMÁCIA INDIANA LJ 236 (10169)</v>
      </c>
      <c r="S1041" t="s">
        <v>27</v>
      </c>
      <c r="T1041">
        <v>4108</v>
      </c>
      <c r="U1041">
        <v>3485</v>
      </c>
      <c r="V1041" t="s">
        <v>22</v>
      </c>
    </row>
    <row r="1042" spans="1:22">
      <c r="A1042" t="str">
        <f t="shared" si="366"/>
        <v>28/01/2026</v>
      </c>
      <c r="B1042" t="str">
        <f t="shared" si="367"/>
        <v>ENTRADA</v>
      </c>
      <c r="C1042" t="str">
        <f t="shared" si="368"/>
        <v>NFSE</v>
      </c>
      <c r="D1042" t="str">
        <f t="shared" si="374"/>
        <v>119</v>
      </c>
      <c r="E1042" t="str">
        <f t="shared" si="370"/>
        <v>1</v>
      </c>
      <c r="F1042" t="str">
        <f t="shared" si="365"/>
        <v>COM</v>
      </c>
      <c r="G1042" t="str">
        <f t="shared" si="375"/>
        <v>FARMÁCIA INDIANA LJ 85 (10128)</v>
      </c>
      <c r="H1042" t="s">
        <v>279</v>
      </c>
      <c r="I1042" t="str">
        <f t="shared" si="372"/>
        <v>28/01/2026</v>
      </c>
      <c r="J1042" t="str">
        <f t="shared" si="373"/>
        <v>19/01/2026</v>
      </c>
      <c r="K1042">
        <v>46050</v>
      </c>
      <c r="N1042">
        <v>303</v>
      </c>
      <c r="O1042" t="s">
        <v>26</v>
      </c>
      <c r="Q1042">
        <v>114.88</v>
      </c>
      <c r="R1042" t="str">
        <f>"FARMÁCIA INDIANA LJ 188 (10176)"</f>
        <v>FARMÁCIA INDIANA LJ 188 (10176)</v>
      </c>
      <c r="S1042" t="s">
        <v>27</v>
      </c>
      <c r="T1042">
        <v>4108</v>
      </c>
      <c r="U1042">
        <v>3485</v>
      </c>
      <c r="V1042" t="s">
        <v>22</v>
      </c>
    </row>
    <row r="1043" spans="1:22">
      <c r="A1043" t="str">
        <f t="shared" si="366"/>
        <v>28/01/2026</v>
      </c>
      <c r="B1043" t="str">
        <f t="shared" si="367"/>
        <v>ENTRADA</v>
      </c>
      <c r="C1043" t="str">
        <f t="shared" si="368"/>
        <v>NFSE</v>
      </c>
      <c r="D1043" t="str">
        <f t="shared" si="374"/>
        <v>119</v>
      </c>
      <c r="E1043" t="str">
        <f t="shared" si="370"/>
        <v>1</v>
      </c>
      <c r="F1043" t="str">
        <f t="shared" si="365"/>
        <v>COM</v>
      </c>
      <c r="G1043" t="str">
        <f t="shared" si="375"/>
        <v>FARMÁCIA INDIANA LJ 85 (10128)</v>
      </c>
      <c r="H1043" t="s">
        <v>279</v>
      </c>
      <c r="I1043" t="str">
        <f t="shared" si="372"/>
        <v>28/01/2026</v>
      </c>
      <c r="J1043" t="str">
        <f t="shared" si="373"/>
        <v>19/01/2026</v>
      </c>
      <c r="K1043">
        <v>46050</v>
      </c>
      <c r="N1043">
        <v>303</v>
      </c>
      <c r="O1043" t="s">
        <v>26</v>
      </c>
      <c r="Q1043">
        <v>135</v>
      </c>
      <c r="R1043" t="str">
        <f>"FARMÁCIA INDIANA LJ 273 (10188)"</f>
        <v>FARMÁCIA INDIANA LJ 273 (10188)</v>
      </c>
      <c r="S1043" t="s">
        <v>27</v>
      </c>
      <c r="T1043">
        <v>4108</v>
      </c>
      <c r="U1043">
        <v>3485</v>
      </c>
      <c r="V1043" t="s">
        <v>22</v>
      </c>
    </row>
    <row r="1044" spans="1:22">
      <c r="A1044" t="str">
        <f t="shared" si="366"/>
        <v>28/01/2026</v>
      </c>
      <c r="B1044" t="str">
        <f t="shared" si="367"/>
        <v>ENTRADA</v>
      </c>
      <c r="C1044" t="str">
        <f t="shared" si="368"/>
        <v>NFSE</v>
      </c>
      <c r="D1044" t="str">
        <f t="shared" si="374"/>
        <v>119</v>
      </c>
      <c r="E1044" t="str">
        <f t="shared" si="370"/>
        <v>1</v>
      </c>
      <c r="F1044" t="str">
        <f t="shared" si="365"/>
        <v>COM</v>
      </c>
      <c r="G1044" t="str">
        <f t="shared" si="375"/>
        <v>FARMÁCIA INDIANA LJ 85 (10128)</v>
      </c>
      <c r="H1044" t="s">
        <v>279</v>
      </c>
      <c r="I1044" t="str">
        <f t="shared" si="372"/>
        <v>28/01/2026</v>
      </c>
      <c r="J1044" t="str">
        <f t="shared" si="373"/>
        <v>19/01/2026</v>
      </c>
      <c r="K1044">
        <v>46050</v>
      </c>
      <c r="N1044">
        <v>303</v>
      </c>
      <c r="O1044" t="s">
        <v>26</v>
      </c>
      <c r="Q1044">
        <v>18.100000000000001</v>
      </c>
      <c r="R1044" t="str">
        <f>"FARMÁCIA INDIANA LJ 235 (10190)"</f>
        <v>FARMÁCIA INDIANA LJ 235 (10190)</v>
      </c>
      <c r="S1044" t="s">
        <v>27</v>
      </c>
      <c r="T1044">
        <v>4108</v>
      </c>
      <c r="U1044">
        <v>3485</v>
      </c>
      <c r="V1044" t="s">
        <v>22</v>
      </c>
    </row>
    <row r="1045" spans="1:22">
      <c r="A1045" t="str">
        <f t="shared" si="366"/>
        <v>28/01/2026</v>
      </c>
      <c r="B1045" t="str">
        <f t="shared" si="367"/>
        <v>ENTRADA</v>
      </c>
      <c r="C1045" t="str">
        <f t="shared" si="368"/>
        <v>NFSE</v>
      </c>
      <c r="D1045" t="str">
        <f t="shared" si="374"/>
        <v>119</v>
      </c>
      <c r="E1045" t="str">
        <f t="shared" si="370"/>
        <v>1</v>
      </c>
      <c r="F1045" t="str">
        <f t="shared" si="365"/>
        <v>COM</v>
      </c>
      <c r="G1045" t="str">
        <f t="shared" si="375"/>
        <v>FARMÁCIA INDIANA LJ 85 (10128)</v>
      </c>
      <c r="H1045" t="s">
        <v>279</v>
      </c>
      <c r="I1045" t="str">
        <f t="shared" si="372"/>
        <v>28/01/2026</v>
      </c>
      <c r="J1045" t="str">
        <f t="shared" si="373"/>
        <v>19/01/2026</v>
      </c>
      <c r="K1045">
        <v>46050</v>
      </c>
      <c r="N1045">
        <v>303</v>
      </c>
      <c r="O1045" t="s">
        <v>26</v>
      </c>
      <c r="Q1045">
        <v>56.62</v>
      </c>
      <c r="R1045" t="str">
        <f>"FARMÁCIA INDIANA LJ 292 (10282)"</f>
        <v>FARMÁCIA INDIANA LJ 292 (10282)</v>
      </c>
      <c r="S1045" t="s">
        <v>27</v>
      </c>
      <c r="T1045">
        <v>4108</v>
      </c>
      <c r="U1045">
        <v>3485</v>
      </c>
      <c r="V1045" t="s">
        <v>22</v>
      </c>
    </row>
    <row r="1046" spans="1:22">
      <c r="A1046" t="str">
        <f t="shared" ref="A1046:A1077" si="376">("29/01/2026")</f>
        <v>29/01/2026</v>
      </c>
      <c r="B1046" t="str">
        <f t="shared" si="367"/>
        <v>ENTRADA</v>
      </c>
      <c r="C1046" t="str">
        <f t="shared" si="368"/>
        <v>NFSE</v>
      </c>
      <c r="D1046" t="str">
        <f>"152"</f>
        <v>152</v>
      </c>
      <c r="E1046" t="str">
        <f t="shared" si="370"/>
        <v>1</v>
      </c>
      <c r="F1046" t="str">
        <f t="shared" ref="F1046:F1077" si="377">"COM"</f>
        <v>COM</v>
      </c>
      <c r="G1046" t="str">
        <f>"LBL FARMACIA LTDA FILIAL (10192)"</f>
        <v>LBL FARMACIA LTDA FILIAL (10192)</v>
      </c>
      <c r="H1046" t="str">
        <f>"Serv.Prest. 19/01/2026 a 25/01/2026 - RPS: 2078 - NFSe: 152"</f>
        <v>Serv.Prest. 19/01/2026 a 25/01/2026 - RPS: 2078 - NFSe: 152</v>
      </c>
      <c r="I1046" t="str">
        <f t="shared" si="372"/>
        <v>28/01/2026</v>
      </c>
      <c r="J1046" t="str">
        <f t="shared" ref="J1046:J1077" si="378">("26/01/2026")</f>
        <v>26/01/2026</v>
      </c>
      <c r="K1046" t="str">
        <f>("29/01/2026")</f>
        <v>29/01/2026</v>
      </c>
      <c r="L1046">
        <v>300.3</v>
      </c>
      <c r="M1046">
        <v>300.3</v>
      </c>
      <c r="N1046">
        <v>303</v>
      </c>
      <c r="O1046" t="str">
        <f>"RECEITAS COM ENTREGAS"</f>
        <v>RECEITAS COM ENTREGAS</v>
      </c>
      <c r="P1046">
        <v>300.3</v>
      </c>
      <c r="S1046" t="str">
        <f>"RECEITAS COM ENTREGAS (303)"</f>
        <v>RECEITAS COM ENTREGAS (303)</v>
      </c>
      <c r="T1046">
        <v>4055</v>
      </c>
      <c r="U1046">
        <v>3545</v>
      </c>
      <c r="V1046" t="s">
        <v>88</v>
      </c>
    </row>
    <row r="1047" spans="1:22">
      <c r="A1047" t="str">
        <f t="shared" si="376"/>
        <v>29/01/2026</v>
      </c>
      <c r="B1047" t="str">
        <f t="shared" si="367"/>
        <v>ENTRADA</v>
      </c>
      <c r="C1047" t="str">
        <f t="shared" si="368"/>
        <v>NFSE</v>
      </c>
      <c r="D1047" t="str">
        <f>"152"</f>
        <v>152</v>
      </c>
      <c r="E1047" t="str">
        <f t="shared" si="370"/>
        <v>1</v>
      </c>
      <c r="F1047" t="str">
        <f t="shared" si="377"/>
        <v>COM</v>
      </c>
      <c r="G1047" t="str">
        <f>"LBL FARMACIA LTDA FILIAL (10192)"</f>
        <v>LBL FARMACIA LTDA FILIAL (10192)</v>
      </c>
      <c r="H1047" t="s">
        <v>280</v>
      </c>
      <c r="I1047" t="str">
        <f t="shared" si="372"/>
        <v>28/01/2026</v>
      </c>
      <c r="J1047" t="str">
        <f t="shared" si="378"/>
        <v>26/01/2026</v>
      </c>
      <c r="K1047">
        <v>46051</v>
      </c>
      <c r="N1047">
        <v>303</v>
      </c>
      <c r="O1047" t="s">
        <v>26</v>
      </c>
      <c r="Q1047">
        <v>300.3</v>
      </c>
      <c r="R1047" t="str">
        <f>"LBL FARMACIA LTDA FILIAL (10192)"</f>
        <v>LBL FARMACIA LTDA FILIAL (10192)</v>
      </c>
      <c r="S1047" t="s">
        <v>27</v>
      </c>
      <c r="T1047">
        <v>4055</v>
      </c>
      <c r="U1047">
        <v>3545</v>
      </c>
      <c r="V1047" t="s">
        <v>88</v>
      </c>
    </row>
    <row r="1048" spans="1:22">
      <c r="A1048" t="str">
        <f t="shared" si="376"/>
        <v>29/01/2026</v>
      </c>
      <c r="B1048" t="str">
        <f t="shared" ref="B1048:B1079" si="379">"ENTRADA"</f>
        <v>ENTRADA</v>
      </c>
      <c r="C1048" t="str">
        <f t="shared" ref="C1048:C1079" si="380">"NFSE"</f>
        <v>NFSE</v>
      </c>
      <c r="D1048" t="str">
        <f>"153"</f>
        <v>153</v>
      </c>
      <c r="E1048" t="str">
        <f t="shared" ref="E1048:E1079" si="381">"1"</f>
        <v>1</v>
      </c>
      <c r="F1048" t="str">
        <f t="shared" si="377"/>
        <v>COM</v>
      </c>
      <c r="G1048" t="str">
        <f>"LBL FARMACIA LTDA (10189)"</f>
        <v>LBL FARMACIA LTDA (10189)</v>
      </c>
      <c r="H1048" t="str">
        <f>"Serv.Prest. 19/01/2026 a 25/01/2026 - RPS: 2079 - NFSe: 153"</f>
        <v>Serv.Prest. 19/01/2026 a 25/01/2026 - RPS: 2079 - NFSe: 153</v>
      </c>
      <c r="I1048" t="str">
        <f t="shared" si="372"/>
        <v>28/01/2026</v>
      </c>
      <c r="J1048" t="str">
        <f t="shared" si="378"/>
        <v>26/01/2026</v>
      </c>
      <c r="K1048" t="str">
        <f>("29/01/2026")</f>
        <v>29/01/2026</v>
      </c>
      <c r="L1048">
        <v>150.15</v>
      </c>
      <c r="M1048">
        <v>150.15</v>
      </c>
      <c r="N1048">
        <v>303</v>
      </c>
      <c r="O1048" t="str">
        <f>"RECEITAS COM ENTREGAS"</f>
        <v>RECEITAS COM ENTREGAS</v>
      </c>
      <c r="P1048">
        <v>150.15</v>
      </c>
      <c r="S1048" t="str">
        <f>"RECEITAS COM ENTREGAS (303)"</f>
        <v>RECEITAS COM ENTREGAS (303)</v>
      </c>
      <c r="T1048">
        <v>4056</v>
      </c>
      <c r="U1048">
        <v>3546</v>
      </c>
      <c r="V1048" t="s">
        <v>88</v>
      </c>
    </row>
    <row r="1049" spans="1:22">
      <c r="A1049" t="str">
        <f t="shared" si="376"/>
        <v>29/01/2026</v>
      </c>
      <c r="B1049" t="str">
        <f t="shared" si="379"/>
        <v>ENTRADA</v>
      </c>
      <c r="C1049" t="str">
        <f t="shared" si="380"/>
        <v>NFSE</v>
      </c>
      <c r="D1049" t="str">
        <f>"153"</f>
        <v>153</v>
      </c>
      <c r="E1049" t="str">
        <f t="shared" si="381"/>
        <v>1</v>
      </c>
      <c r="F1049" t="str">
        <f t="shared" si="377"/>
        <v>COM</v>
      </c>
      <c r="G1049" t="str">
        <f>"LBL FARMACIA LTDA (10189)"</f>
        <v>LBL FARMACIA LTDA (10189)</v>
      </c>
      <c r="H1049" t="s">
        <v>281</v>
      </c>
      <c r="I1049" t="str">
        <f t="shared" si="372"/>
        <v>28/01/2026</v>
      </c>
      <c r="J1049" t="str">
        <f t="shared" si="378"/>
        <v>26/01/2026</v>
      </c>
      <c r="K1049">
        <v>46051</v>
      </c>
      <c r="N1049">
        <v>303</v>
      </c>
      <c r="O1049" t="s">
        <v>26</v>
      </c>
      <c r="Q1049">
        <v>150.15</v>
      </c>
      <c r="R1049" t="str">
        <f>"LBL FARMACIA LTDA (10189)"</f>
        <v>LBL FARMACIA LTDA (10189)</v>
      </c>
      <c r="S1049" t="s">
        <v>27</v>
      </c>
      <c r="T1049">
        <v>4056</v>
      </c>
      <c r="U1049">
        <v>3546</v>
      </c>
      <c r="V1049" t="s">
        <v>88</v>
      </c>
    </row>
    <row r="1050" spans="1:22">
      <c r="A1050" t="str">
        <f t="shared" si="376"/>
        <v>29/01/2026</v>
      </c>
      <c r="B1050" t="str">
        <f t="shared" si="379"/>
        <v>ENTRADA</v>
      </c>
      <c r="C1050" t="str">
        <f t="shared" si="380"/>
        <v>NFSE</v>
      </c>
      <c r="D1050" t="str">
        <f>"154"</f>
        <v>154</v>
      </c>
      <c r="E1050" t="str">
        <f t="shared" si="381"/>
        <v>1</v>
      </c>
      <c r="F1050" t="str">
        <f t="shared" si="377"/>
        <v>COM</v>
      </c>
      <c r="G1050" t="str">
        <f>"PENSE FARMA 31 (10205)"</f>
        <v>PENSE FARMA 31 (10205)</v>
      </c>
      <c r="H1050" t="str">
        <f>"Serv.Prest. 19/01/2026 a 25/01/2026 - RPS: 2080 - NFSe: 154"</f>
        <v>Serv.Prest. 19/01/2026 a 25/01/2026 - RPS: 2080 - NFSe: 154</v>
      </c>
      <c r="I1050" t="str">
        <f t="shared" si="372"/>
        <v>28/01/2026</v>
      </c>
      <c r="J1050" t="str">
        <f t="shared" si="378"/>
        <v>26/01/2026</v>
      </c>
      <c r="K1050" t="str">
        <f>("29/01/2026")</f>
        <v>29/01/2026</v>
      </c>
      <c r="L1050">
        <v>540.16999999999996</v>
      </c>
      <c r="M1050">
        <v>540.16999999999996</v>
      </c>
      <c r="N1050">
        <v>303</v>
      </c>
      <c r="O1050" t="str">
        <f>"RECEITAS COM ENTREGAS"</f>
        <v>RECEITAS COM ENTREGAS</v>
      </c>
      <c r="P1050">
        <v>540.16999999999996</v>
      </c>
      <c r="S1050" t="str">
        <f>"RECEITAS COM ENTREGAS (303)"</f>
        <v>RECEITAS COM ENTREGAS (303)</v>
      </c>
      <c r="T1050">
        <v>4057</v>
      </c>
      <c r="U1050">
        <v>3547</v>
      </c>
      <c r="V1050" t="s">
        <v>88</v>
      </c>
    </row>
    <row r="1051" spans="1:22">
      <c r="A1051" t="str">
        <f t="shared" si="376"/>
        <v>29/01/2026</v>
      </c>
      <c r="B1051" t="str">
        <f t="shared" si="379"/>
        <v>ENTRADA</v>
      </c>
      <c r="C1051" t="str">
        <f t="shared" si="380"/>
        <v>NFSE</v>
      </c>
      <c r="D1051" t="str">
        <f>"154"</f>
        <v>154</v>
      </c>
      <c r="E1051" t="str">
        <f t="shared" si="381"/>
        <v>1</v>
      </c>
      <c r="F1051" t="str">
        <f t="shared" si="377"/>
        <v>COM</v>
      </c>
      <c r="G1051" t="str">
        <f>"PENSE FARMA 31 (10205)"</f>
        <v>PENSE FARMA 31 (10205)</v>
      </c>
      <c r="H1051" t="s">
        <v>282</v>
      </c>
      <c r="I1051" t="str">
        <f t="shared" si="372"/>
        <v>28/01/2026</v>
      </c>
      <c r="J1051" t="str">
        <f t="shared" si="378"/>
        <v>26/01/2026</v>
      </c>
      <c r="K1051">
        <v>46051</v>
      </c>
      <c r="N1051">
        <v>303</v>
      </c>
      <c r="O1051" t="s">
        <v>26</v>
      </c>
      <c r="Q1051">
        <v>134.94</v>
      </c>
      <c r="R1051" t="str">
        <f>"PENSE FARMA 31 (10205)"</f>
        <v>PENSE FARMA 31 (10205)</v>
      </c>
      <c r="S1051" t="s">
        <v>27</v>
      </c>
      <c r="T1051">
        <v>4057</v>
      </c>
      <c r="U1051">
        <v>3547</v>
      </c>
      <c r="V1051" t="s">
        <v>88</v>
      </c>
    </row>
    <row r="1052" spans="1:22">
      <c r="A1052" t="str">
        <f t="shared" si="376"/>
        <v>29/01/2026</v>
      </c>
      <c r="B1052" t="str">
        <f t="shared" si="379"/>
        <v>ENTRADA</v>
      </c>
      <c r="C1052" t="str">
        <f t="shared" si="380"/>
        <v>NFSE</v>
      </c>
      <c r="D1052" t="str">
        <f>"154"</f>
        <v>154</v>
      </c>
      <c r="E1052" t="str">
        <f t="shared" si="381"/>
        <v>1</v>
      </c>
      <c r="F1052" t="str">
        <f t="shared" si="377"/>
        <v>COM</v>
      </c>
      <c r="G1052" t="str">
        <f>"PENSE FARMA 31 (10205)"</f>
        <v>PENSE FARMA 31 (10205)</v>
      </c>
      <c r="H1052" t="s">
        <v>282</v>
      </c>
      <c r="I1052" t="str">
        <f t="shared" si="372"/>
        <v>28/01/2026</v>
      </c>
      <c r="J1052" t="str">
        <f t="shared" si="378"/>
        <v>26/01/2026</v>
      </c>
      <c r="K1052">
        <v>46051</v>
      </c>
      <c r="N1052">
        <v>303</v>
      </c>
      <c r="O1052" t="s">
        <v>26</v>
      </c>
      <c r="Q1052">
        <v>134.93</v>
      </c>
      <c r="R1052" t="str">
        <f>"PENSE FARMA 16 (10221)"</f>
        <v>PENSE FARMA 16 (10221)</v>
      </c>
      <c r="S1052" t="s">
        <v>27</v>
      </c>
      <c r="T1052">
        <v>4057</v>
      </c>
      <c r="U1052">
        <v>3547</v>
      </c>
      <c r="V1052" t="s">
        <v>88</v>
      </c>
    </row>
    <row r="1053" spans="1:22">
      <c r="A1053" t="str">
        <f t="shared" si="376"/>
        <v>29/01/2026</v>
      </c>
      <c r="B1053" t="str">
        <f t="shared" si="379"/>
        <v>ENTRADA</v>
      </c>
      <c r="C1053" t="str">
        <f t="shared" si="380"/>
        <v>NFSE</v>
      </c>
      <c r="D1053" t="str">
        <f>"154"</f>
        <v>154</v>
      </c>
      <c r="E1053" t="str">
        <f t="shared" si="381"/>
        <v>1</v>
      </c>
      <c r="F1053" t="str">
        <f t="shared" si="377"/>
        <v>COM</v>
      </c>
      <c r="G1053" t="str">
        <f>"PENSE FARMA 31 (10205)"</f>
        <v>PENSE FARMA 31 (10205)</v>
      </c>
      <c r="H1053" t="s">
        <v>282</v>
      </c>
      <c r="I1053" t="str">
        <f t="shared" si="372"/>
        <v>28/01/2026</v>
      </c>
      <c r="J1053" t="str">
        <f t="shared" si="378"/>
        <v>26/01/2026</v>
      </c>
      <c r="K1053">
        <v>46051</v>
      </c>
      <c r="N1053">
        <v>303</v>
      </c>
      <c r="O1053" t="s">
        <v>26</v>
      </c>
      <c r="Q1053">
        <v>134.93</v>
      </c>
      <c r="R1053" t="str">
        <f>"PENSE FARMA 17 (10222)"</f>
        <v>PENSE FARMA 17 (10222)</v>
      </c>
      <c r="S1053" t="s">
        <v>27</v>
      </c>
      <c r="T1053">
        <v>4057</v>
      </c>
      <c r="U1053">
        <v>3547</v>
      </c>
      <c r="V1053" t="s">
        <v>88</v>
      </c>
    </row>
    <row r="1054" spans="1:22">
      <c r="A1054" t="str">
        <f t="shared" si="376"/>
        <v>29/01/2026</v>
      </c>
      <c r="B1054" t="str">
        <f t="shared" si="379"/>
        <v>ENTRADA</v>
      </c>
      <c r="C1054" t="str">
        <f t="shared" si="380"/>
        <v>NFSE</v>
      </c>
      <c r="D1054" t="str">
        <f>"154"</f>
        <v>154</v>
      </c>
      <c r="E1054" t="str">
        <f t="shared" si="381"/>
        <v>1</v>
      </c>
      <c r="F1054" t="str">
        <f t="shared" si="377"/>
        <v>COM</v>
      </c>
      <c r="G1054" t="str">
        <f>"PENSE FARMA 31 (10205)"</f>
        <v>PENSE FARMA 31 (10205)</v>
      </c>
      <c r="H1054" t="s">
        <v>282</v>
      </c>
      <c r="I1054" t="str">
        <f t="shared" si="372"/>
        <v>28/01/2026</v>
      </c>
      <c r="J1054" t="str">
        <f t="shared" si="378"/>
        <v>26/01/2026</v>
      </c>
      <c r="K1054">
        <v>46051</v>
      </c>
      <c r="N1054">
        <v>303</v>
      </c>
      <c r="O1054" t="s">
        <v>26</v>
      </c>
      <c r="Q1054">
        <v>135.37</v>
      </c>
      <c r="R1054" t="str">
        <f>"PENSE FARMA 62 (10274)"</f>
        <v>PENSE FARMA 62 (10274)</v>
      </c>
      <c r="S1054" t="s">
        <v>27</v>
      </c>
      <c r="T1054">
        <v>4057</v>
      </c>
      <c r="U1054">
        <v>3547</v>
      </c>
      <c r="V1054" t="s">
        <v>88</v>
      </c>
    </row>
    <row r="1055" spans="1:22">
      <c r="A1055" t="str">
        <f t="shared" si="376"/>
        <v>29/01/2026</v>
      </c>
      <c r="B1055" t="str">
        <f t="shared" si="379"/>
        <v>ENTRADA</v>
      </c>
      <c r="C1055" t="str">
        <f t="shared" si="380"/>
        <v>NFSE</v>
      </c>
      <c r="D1055" t="str">
        <f>"155"</f>
        <v>155</v>
      </c>
      <c r="E1055" t="str">
        <f t="shared" si="381"/>
        <v>1</v>
      </c>
      <c r="F1055" t="str">
        <f t="shared" si="377"/>
        <v>COM</v>
      </c>
      <c r="G1055" t="str">
        <f>"PENSE FARMA 44 (10231)"</f>
        <v>PENSE FARMA 44 (10231)</v>
      </c>
      <c r="H1055" t="str">
        <f>"Serv.Prest. 19/01/2026 a 25/01/2026 - RPS: 2081 - NFSe: 155"</f>
        <v>Serv.Prest. 19/01/2026 a 25/01/2026 - RPS: 2081 - NFSe: 155</v>
      </c>
      <c r="I1055" t="str">
        <f t="shared" si="372"/>
        <v>28/01/2026</v>
      </c>
      <c r="J1055" t="str">
        <f t="shared" si="378"/>
        <v>26/01/2026</v>
      </c>
      <c r="K1055" t="str">
        <f>("29/01/2026")</f>
        <v>29/01/2026</v>
      </c>
      <c r="L1055">
        <v>630.80999999999995</v>
      </c>
      <c r="M1055">
        <v>630.80999999999995</v>
      </c>
      <c r="N1055">
        <v>303</v>
      </c>
      <c r="O1055" t="str">
        <f>"RECEITAS COM ENTREGAS"</f>
        <v>RECEITAS COM ENTREGAS</v>
      </c>
      <c r="P1055">
        <v>630.80999999999995</v>
      </c>
      <c r="S1055" t="str">
        <f>"RECEITAS COM ENTREGAS (303)"</f>
        <v>RECEITAS COM ENTREGAS (303)</v>
      </c>
      <c r="T1055">
        <v>4058</v>
      </c>
      <c r="U1055">
        <v>3548</v>
      </c>
      <c r="V1055" t="s">
        <v>88</v>
      </c>
    </row>
    <row r="1056" spans="1:22">
      <c r="A1056" t="str">
        <f t="shared" si="376"/>
        <v>29/01/2026</v>
      </c>
      <c r="B1056" t="str">
        <f t="shared" si="379"/>
        <v>ENTRADA</v>
      </c>
      <c r="C1056" t="str">
        <f t="shared" si="380"/>
        <v>NFSE</v>
      </c>
      <c r="D1056" t="str">
        <f>"155"</f>
        <v>155</v>
      </c>
      <c r="E1056" t="str">
        <f t="shared" si="381"/>
        <v>1</v>
      </c>
      <c r="F1056" t="str">
        <f t="shared" si="377"/>
        <v>COM</v>
      </c>
      <c r="G1056" t="str">
        <f>"PENSE FARMA 44 (10231)"</f>
        <v>PENSE FARMA 44 (10231)</v>
      </c>
      <c r="H1056" t="s">
        <v>283</v>
      </c>
      <c r="I1056" t="str">
        <f t="shared" si="372"/>
        <v>28/01/2026</v>
      </c>
      <c r="J1056" t="str">
        <f t="shared" si="378"/>
        <v>26/01/2026</v>
      </c>
      <c r="K1056">
        <v>46051</v>
      </c>
      <c r="N1056">
        <v>303</v>
      </c>
      <c r="O1056" t="s">
        <v>26</v>
      </c>
      <c r="Q1056">
        <v>314.89999999999998</v>
      </c>
      <c r="R1056" t="str">
        <f>"PENSE FARMA 44 (10231)"</f>
        <v>PENSE FARMA 44 (10231)</v>
      </c>
      <c r="S1056" t="s">
        <v>27</v>
      </c>
      <c r="T1056">
        <v>4058</v>
      </c>
      <c r="U1056">
        <v>3548</v>
      </c>
      <c r="V1056" t="s">
        <v>88</v>
      </c>
    </row>
    <row r="1057" spans="1:22">
      <c r="A1057" t="str">
        <f t="shared" si="376"/>
        <v>29/01/2026</v>
      </c>
      <c r="B1057" t="str">
        <f t="shared" si="379"/>
        <v>ENTRADA</v>
      </c>
      <c r="C1057" t="str">
        <f t="shared" si="380"/>
        <v>NFSE</v>
      </c>
      <c r="D1057" t="str">
        <f>"155"</f>
        <v>155</v>
      </c>
      <c r="E1057" t="str">
        <f t="shared" si="381"/>
        <v>1</v>
      </c>
      <c r="F1057" t="str">
        <f t="shared" si="377"/>
        <v>COM</v>
      </c>
      <c r="G1057" t="str">
        <f>"PENSE FARMA 44 (10231)"</f>
        <v>PENSE FARMA 44 (10231)</v>
      </c>
      <c r="H1057" t="s">
        <v>283</v>
      </c>
      <c r="I1057" t="str">
        <f t="shared" si="372"/>
        <v>28/01/2026</v>
      </c>
      <c r="J1057" t="str">
        <f t="shared" si="378"/>
        <v>26/01/2026</v>
      </c>
      <c r="K1057">
        <v>46051</v>
      </c>
      <c r="N1057">
        <v>303</v>
      </c>
      <c r="O1057" t="s">
        <v>26</v>
      </c>
      <c r="Q1057">
        <v>315.91000000000003</v>
      </c>
      <c r="R1057" t="str">
        <f>"PENSE FARMA 48 (10233)"</f>
        <v>PENSE FARMA 48 (10233)</v>
      </c>
      <c r="S1057" t="s">
        <v>27</v>
      </c>
      <c r="T1057">
        <v>4058</v>
      </c>
      <c r="U1057">
        <v>3548</v>
      </c>
      <c r="V1057" t="s">
        <v>88</v>
      </c>
    </row>
    <row r="1058" spans="1:22">
      <c r="A1058" t="str">
        <f t="shared" si="376"/>
        <v>29/01/2026</v>
      </c>
      <c r="B1058" t="str">
        <f t="shared" si="379"/>
        <v>ENTRADA</v>
      </c>
      <c r="C1058" t="str">
        <f t="shared" si="380"/>
        <v>NFSE</v>
      </c>
      <c r="D1058" t="str">
        <f>"156"</f>
        <v>156</v>
      </c>
      <c r="E1058" t="str">
        <f t="shared" si="381"/>
        <v>1</v>
      </c>
      <c r="F1058" t="str">
        <f t="shared" si="377"/>
        <v>COM</v>
      </c>
      <c r="G1058" t="str">
        <f>"PENSE FARMA 49 (10234)"</f>
        <v>PENSE FARMA 49 (10234)</v>
      </c>
      <c r="H1058" t="str">
        <f>"Serv.Prest. 19/01/2026 a 25/01/2026 - RPS: 2082 - NFSe: 156"</f>
        <v>Serv.Prest. 19/01/2026 a 25/01/2026 - RPS: 2082 - NFSe: 156</v>
      </c>
      <c r="I1058" t="str">
        <f t="shared" si="372"/>
        <v>28/01/2026</v>
      </c>
      <c r="J1058" t="str">
        <f t="shared" si="378"/>
        <v>26/01/2026</v>
      </c>
      <c r="K1058" t="str">
        <f>("29/01/2026")</f>
        <v>29/01/2026</v>
      </c>
      <c r="L1058">
        <v>213.43</v>
      </c>
      <c r="M1058">
        <v>213.43</v>
      </c>
      <c r="N1058">
        <v>303</v>
      </c>
      <c r="O1058" t="str">
        <f>"RECEITAS COM ENTREGAS"</f>
        <v>RECEITAS COM ENTREGAS</v>
      </c>
      <c r="P1058">
        <v>213.43</v>
      </c>
      <c r="S1058" t="str">
        <f>"RECEITAS COM ENTREGAS (303)"</f>
        <v>RECEITAS COM ENTREGAS (303)</v>
      </c>
      <c r="T1058">
        <v>4059</v>
      </c>
      <c r="U1058">
        <v>3549</v>
      </c>
      <c r="V1058" t="s">
        <v>88</v>
      </c>
    </row>
    <row r="1059" spans="1:22">
      <c r="A1059" t="str">
        <f t="shared" si="376"/>
        <v>29/01/2026</v>
      </c>
      <c r="B1059" t="str">
        <f t="shared" si="379"/>
        <v>ENTRADA</v>
      </c>
      <c r="C1059" t="str">
        <f t="shared" si="380"/>
        <v>NFSE</v>
      </c>
      <c r="D1059" t="str">
        <f>"156"</f>
        <v>156</v>
      </c>
      <c r="E1059" t="str">
        <f t="shared" si="381"/>
        <v>1</v>
      </c>
      <c r="F1059" t="str">
        <f t="shared" si="377"/>
        <v>COM</v>
      </c>
      <c r="G1059" t="str">
        <f>"PENSE FARMA 49 (10234)"</f>
        <v>PENSE FARMA 49 (10234)</v>
      </c>
      <c r="H1059" t="s">
        <v>284</v>
      </c>
      <c r="I1059" t="str">
        <f t="shared" si="372"/>
        <v>28/01/2026</v>
      </c>
      <c r="J1059" t="str">
        <f t="shared" si="378"/>
        <v>26/01/2026</v>
      </c>
      <c r="K1059">
        <v>46051</v>
      </c>
      <c r="N1059">
        <v>303</v>
      </c>
      <c r="O1059" t="s">
        <v>26</v>
      </c>
      <c r="Q1059">
        <v>213.43</v>
      </c>
      <c r="R1059" t="str">
        <f>"PENSE FARMA 49 (10234)"</f>
        <v>PENSE FARMA 49 (10234)</v>
      </c>
      <c r="S1059" t="s">
        <v>27</v>
      </c>
      <c r="T1059">
        <v>4059</v>
      </c>
      <c r="U1059">
        <v>3549</v>
      </c>
      <c r="V1059" t="s">
        <v>88</v>
      </c>
    </row>
    <row r="1060" spans="1:22">
      <c r="A1060" t="str">
        <f t="shared" si="376"/>
        <v>29/01/2026</v>
      </c>
      <c r="B1060" t="str">
        <f t="shared" si="379"/>
        <v>ENTRADA</v>
      </c>
      <c r="C1060" t="str">
        <f t="shared" si="380"/>
        <v>NFSE</v>
      </c>
      <c r="D1060" t="str">
        <f>"157"</f>
        <v>157</v>
      </c>
      <c r="E1060" t="str">
        <f t="shared" si="381"/>
        <v>1</v>
      </c>
      <c r="F1060" t="str">
        <f t="shared" si="377"/>
        <v>COM</v>
      </c>
      <c r="G1060" t="str">
        <f>"PENSE FARMA 39 (10228)"</f>
        <v>PENSE FARMA 39 (10228)</v>
      </c>
      <c r="H1060" t="str">
        <f>"Serv.Prest. 19/01/2026 a 25/01/2026 - RPS: 2083 - NFSe: 157"</f>
        <v>Serv.Prest. 19/01/2026 a 25/01/2026 - RPS: 2083 - NFSe: 157</v>
      </c>
      <c r="I1060" t="str">
        <f t="shared" si="372"/>
        <v>28/01/2026</v>
      </c>
      <c r="J1060" t="str">
        <f t="shared" si="378"/>
        <v>26/01/2026</v>
      </c>
      <c r="K1060" t="str">
        <f>("29/01/2026")</f>
        <v>29/01/2026</v>
      </c>
      <c r="L1060">
        <v>599.98</v>
      </c>
      <c r="M1060">
        <v>599.98</v>
      </c>
      <c r="N1060">
        <v>303</v>
      </c>
      <c r="O1060" t="str">
        <f>"RECEITAS COM ENTREGAS"</f>
        <v>RECEITAS COM ENTREGAS</v>
      </c>
      <c r="P1060">
        <v>599.98</v>
      </c>
      <c r="S1060" t="str">
        <f>"RECEITAS COM ENTREGAS (303)"</f>
        <v>RECEITAS COM ENTREGAS (303)</v>
      </c>
      <c r="T1060">
        <v>4060</v>
      </c>
      <c r="U1060">
        <v>3550</v>
      </c>
      <c r="V1060" t="s">
        <v>88</v>
      </c>
    </row>
    <row r="1061" spans="1:22">
      <c r="A1061" t="str">
        <f t="shared" si="376"/>
        <v>29/01/2026</v>
      </c>
      <c r="B1061" t="str">
        <f t="shared" si="379"/>
        <v>ENTRADA</v>
      </c>
      <c r="C1061" t="str">
        <f t="shared" si="380"/>
        <v>NFSE</v>
      </c>
      <c r="D1061" t="str">
        <f>"157"</f>
        <v>157</v>
      </c>
      <c r="E1061" t="str">
        <f t="shared" si="381"/>
        <v>1</v>
      </c>
      <c r="F1061" t="str">
        <f t="shared" si="377"/>
        <v>COM</v>
      </c>
      <c r="G1061" t="str">
        <f>"PENSE FARMA 39 (10228)"</f>
        <v>PENSE FARMA 39 (10228)</v>
      </c>
      <c r="H1061" t="s">
        <v>285</v>
      </c>
      <c r="I1061" t="str">
        <f t="shared" si="372"/>
        <v>28/01/2026</v>
      </c>
      <c r="J1061" t="str">
        <f t="shared" si="378"/>
        <v>26/01/2026</v>
      </c>
      <c r="K1061">
        <v>46051</v>
      </c>
      <c r="N1061">
        <v>303</v>
      </c>
      <c r="O1061" t="s">
        <v>26</v>
      </c>
      <c r="Q1061">
        <v>148.85</v>
      </c>
      <c r="R1061" t="str">
        <f>"PENSE FARMA 02 (10199)"</f>
        <v>PENSE FARMA 02 (10199)</v>
      </c>
      <c r="S1061" t="s">
        <v>27</v>
      </c>
      <c r="T1061">
        <v>4060</v>
      </c>
      <c r="U1061">
        <v>3550</v>
      </c>
      <c r="V1061" t="s">
        <v>88</v>
      </c>
    </row>
    <row r="1062" spans="1:22">
      <c r="A1062" t="str">
        <f t="shared" si="376"/>
        <v>29/01/2026</v>
      </c>
      <c r="B1062" t="str">
        <f t="shared" si="379"/>
        <v>ENTRADA</v>
      </c>
      <c r="C1062" t="str">
        <f t="shared" si="380"/>
        <v>NFSE</v>
      </c>
      <c r="D1062" t="str">
        <f>"157"</f>
        <v>157</v>
      </c>
      <c r="E1062" t="str">
        <f t="shared" si="381"/>
        <v>1</v>
      </c>
      <c r="F1062" t="str">
        <f t="shared" si="377"/>
        <v>COM</v>
      </c>
      <c r="G1062" t="str">
        <f>"PENSE FARMA 39 (10228)"</f>
        <v>PENSE FARMA 39 (10228)</v>
      </c>
      <c r="H1062" t="s">
        <v>285</v>
      </c>
      <c r="I1062" t="str">
        <f t="shared" ref="I1062:I1093" si="382">("28/01/2026")</f>
        <v>28/01/2026</v>
      </c>
      <c r="J1062" t="str">
        <f t="shared" si="378"/>
        <v>26/01/2026</v>
      </c>
      <c r="K1062">
        <v>46051</v>
      </c>
      <c r="N1062">
        <v>303</v>
      </c>
      <c r="O1062" t="s">
        <v>26</v>
      </c>
      <c r="Q1062">
        <v>148.86000000000001</v>
      </c>
      <c r="R1062" t="str">
        <f>"PENSE FARMA 01 (10215)"</f>
        <v>PENSE FARMA 01 (10215)</v>
      </c>
      <c r="S1062" t="s">
        <v>27</v>
      </c>
      <c r="T1062">
        <v>4060</v>
      </c>
      <c r="U1062">
        <v>3550</v>
      </c>
      <c r="V1062" t="s">
        <v>88</v>
      </c>
    </row>
    <row r="1063" spans="1:22">
      <c r="A1063" t="str">
        <f t="shared" si="376"/>
        <v>29/01/2026</v>
      </c>
      <c r="B1063" t="str">
        <f t="shared" si="379"/>
        <v>ENTRADA</v>
      </c>
      <c r="C1063" t="str">
        <f t="shared" si="380"/>
        <v>NFSE</v>
      </c>
      <c r="D1063" t="str">
        <f>"157"</f>
        <v>157</v>
      </c>
      <c r="E1063" t="str">
        <f t="shared" si="381"/>
        <v>1</v>
      </c>
      <c r="F1063" t="str">
        <f t="shared" si="377"/>
        <v>COM</v>
      </c>
      <c r="G1063" t="str">
        <f>"PENSE FARMA 39 (10228)"</f>
        <v>PENSE FARMA 39 (10228)</v>
      </c>
      <c r="H1063" t="s">
        <v>285</v>
      </c>
      <c r="I1063" t="str">
        <f t="shared" si="382"/>
        <v>28/01/2026</v>
      </c>
      <c r="J1063" t="str">
        <f t="shared" si="378"/>
        <v>26/01/2026</v>
      </c>
      <c r="K1063">
        <v>46051</v>
      </c>
      <c r="N1063">
        <v>303</v>
      </c>
      <c r="O1063" t="s">
        <v>26</v>
      </c>
      <c r="Q1063">
        <v>148.86000000000001</v>
      </c>
      <c r="R1063" t="str">
        <f>"PENSE FARMA 03 (10216)"</f>
        <v>PENSE FARMA 03 (10216)</v>
      </c>
      <c r="S1063" t="s">
        <v>27</v>
      </c>
      <c r="T1063">
        <v>4060</v>
      </c>
      <c r="U1063">
        <v>3550</v>
      </c>
      <c r="V1063" t="s">
        <v>88</v>
      </c>
    </row>
    <row r="1064" spans="1:22">
      <c r="A1064" t="str">
        <f t="shared" si="376"/>
        <v>29/01/2026</v>
      </c>
      <c r="B1064" t="str">
        <f t="shared" si="379"/>
        <v>ENTRADA</v>
      </c>
      <c r="C1064" t="str">
        <f t="shared" si="380"/>
        <v>NFSE</v>
      </c>
      <c r="D1064" t="str">
        <f>"157"</f>
        <v>157</v>
      </c>
      <c r="E1064" t="str">
        <f t="shared" si="381"/>
        <v>1</v>
      </c>
      <c r="F1064" t="str">
        <f t="shared" si="377"/>
        <v>COM</v>
      </c>
      <c r="G1064" t="str">
        <f>"PENSE FARMA 39 (10228)"</f>
        <v>PENSE FARMA 39 (10228)</v>
      </c>
      <c r="H1064" t="s">
        <v>285</v>
      </c>
      <c r="I1064" t="str">
        <f t="shared" si="382"/>
        <v>28/01/2026</v>
      </c>
      <c r="J1064" t="str">
        <f t="shared" si="378"/>
        <v>26/01/2026</v>
      </c>
      <c r="K1064">
        <v>46051</v>
      </c>
      <c r="N1064">
        <v>303</v>
      </c>
      <c r="O1064" t="s">
        <v>26</v>
      </c>
      <c r="Q1064">
        <v>153.41</v>
      </c>
      <c r="R1064" t="str">
        <f>"PENSE FARMA 39 (10228)"</f>
        <v>PENSE FARMA 39 (10228)</v>
      </c>
      <c r="S1064" t="s">
        <v>27</v>
      </c>
      <c r="T1064">
        <v>4060</v>
      </c>
      <c r="U1064">
        <v>3550</v>
      </c>
      <c r="V1064" t="s">
        <v>88</v>
      </c>
    </row>
    <row r="1065" spans="1:22">
      <c r="A1065" t="str">
        <f t="shared" si="376"/>
        <v>29/01/2026</v>
      </c>
      <c r="B1065" t="str">
        <f t="shared" si="379"/>
        <v>ENTRADA</v>
      </c>
      <c r="C1065" t="str">
        <f t="shared" si="380"/>
        <v>NFSE</v>
      </c>
      <c r="D1065" t="str">
        <f>"162"</f>
        <v>162</v>
      </c>
      <c r="E1065" t="str">
        <f t="shared" si="381"/>
        <v>1</v>
      </c>
      <c r="F1065" t="str">
        <f t="shared" si="377"/>
        <v>COM</v>
      </c>
      <c r="G1065" t="str">
        <f>"PENSE FARMA 47 (10232)"</f>
        <v>PENSE FARMA 47 (10232)</v>
      </c>
      <c r="H1065" t="str">
        <f>"Serv.Prest. 19/01/2026 a 25/01/2026 - RPS: 2087 - NFSe: 162"</f>
        <v>Serv.Prest. 19/01/2026 a 25/01/2026 - RPS: 2087 - NFSe: 162</v>
      </c>
      <c r="I1065" t="str">
        <f t="shared" si="382"/>
        <v>28/01/2026</v>
      </c>
      <c r="J1065" t="str">
        <f t="shared" si="378"/>
        <v>26/01/2026</v>
      </c>
      <c r="K1065" t="str">
        <f>("29/01/2026")</f>
        <v>29/01/2026</v>
      </c>
      <c r="L1065">
        <v>320.23</v>
      </c>
      <c r="M1065">
        <v>320.23</v>
      </c>
      <c r="N1065">
        <v>303</v>
      </c>
      <c r="O1065" t="str">
        <f>"RECEITAS COM ENTREGAS"</f>
        <v>RECEITAS COM ENTREGAS</v>
      </c>
      <c r="P1065">
        <v>320.23</v>
      </c>
      <c r="S1065" t="str">
        <f>"RECEITAS COM ENTREGAS (303)"</f>
        <v>RECEITAS COM ENTREGAS (303)</v>
      </c>
      <c r="T1065">
        <v>4061</v>
      </c>
      <c r="U1065">
        <v>3554</v>
      </c>
      <c r="V1065" t="s">
        <v>88</v>
      </c>
    </row>
    <row r="1066" spans="1:22">
      <c r="A1066" t="str">
        <f t="shared" si="376"/>
        <v>29/01/2026</v>
      </c>
      <c r="B1066" t="str">
        <f t="shared" si="379"/>
        <v>ENTRADA</v>
      </c>
      <c r="C1066" t="str">
        <f t="shared" si="380"/>
        <v>NFSE</v>
      </c>
      <c r="D1066" t="str">
        <f>"162"</f>
        <v>162</v>
      </c>
      <c r="E1066" t="str">
        <f t="shared" si="381"/>
        <v>1</v>
      </c>
      <c r="F1066" t="str">
        <f t="shared" si="377"/>
        <v>COM</v>
      </c>
      <c r="G1066" t="str">
        <f>"PENSE FARMA 47 (10232)"</f>
        <v>PENSE FARMA 47 (10232)</v>
      </c>
      <c r="H1066" t="s">
        <v>286</v>
      </c>
      <c r="I1066" t="str">
        <f t="shared" si="382"/>
        <v>28/01/2026</v>
      </c>
      <c r="J1066" t="str">
        <f t="shared" si="378"/>
        <v>26/01/2026</v>
      </c>
      <c r="K1066">
        <v>46051</v>
      </c>
      <c r="N1066">
        <v>303</v>
      </c>
      <c r="O1066" t="s">
        <v>26</v>
      </c>
      <c r="Q1066">
        <v>320.23</v>
      </c>
      <c r="R1066" t="str">
        <f>"PENSE FARMA 47 (10232)"</f>
        <v>PENSE FARMA 47 (10232)</v>
      </c>
      <c r="S1066" t="s">
        <v>27</v>
      </c>
      <c r="T1066">
        <v>4061</v>
      </c>
      <c r="U1066">
        <v>3554</v>
      </c>
      <c r="V1066" t="s">
        <v>88</v>
      </c>
    </row>
    <row r="1067" spans="1:22">
      <c r="A1067" t="str">
        <f t="shared" si="376"/>
        <v>29/01/2026</v>
      </c>
      <c r="B1067" t="str">
        <f t="shared" si="379"/>
        <v>ENTRADA</v>
      </c>
      <c r="C1067" t="str">
        <f t="shared" si="380"/>
        <v>NFSE</v>
      </c>
      <c r="D1067" t="str">
        <f>"163"</f>
        <v>163</v>
      </c>
      <c r="E1067" t="str">
        <f t="shared" si="381"/>
        <v>1</v>
      </c>
      <c r="F1067" t="str">
        <f t="shared" si="377"/>
        <v>COM</v>
      </c>
      <c r="G1067" t="str">
        <f>"PENSE FARMA 25 (10224)"</f>
        <v>PENSE FARMA 25 (10224)</v>
      </c>
      <c r="H1067" t="str">
        <f>"Serv.Prest. 19/01/2026 a 25/01/2026 - RPS: 2088 - NFSe: 163"</f>
        <v>Serv.Prest. 19/01/2026 a 25/01/2026 - RPS: 2088 - NFSe: 163</v>
      </c>
      <c r="I1067" t="str">
        <f t="shared" si="382"/>
        <v>28/01/2026</v>
      </c>
      <c r="J1067" t="str">
        <f t="shared" si="378"/>
        <v>26/01/2026</v>
      </c>
      <c r="K1067" t="str">
        <f>("29/01/2026")</f>
        <v>29/01/2026</v>
      </c>
      <c r="L1067">
        <v>320.5</v>
      </c>
      <c r="M1067">
        <v>320.5</v>
      </c>
      <c r="N1067">
        <v>303</v>
      </c>
      <c r="O1067" t="str">
        <f>"RECEITAS COM ENTREGAS"</f>
        <v>RECEITAS COM ENTREGAS</v>
      </c>
      <c r="P1067">
        <v>320.5</v>
      </c>
      <c r="S1067" t="str">
        <f>"RECEITAS COM ENTREGAS (303)"</f>
        <v>RECEITAS COM ENTREGAS (303)</v>
      </c>
      <c r="T1067">
        <v>4062</v>
      </c>
      <c r="U1067">
        <v>3555</v>
      </c>
      <c r="V1067" t="s">
        <v>88</v>
      </c>
    </row>
    <row r="1068" spans="1:22">
      <c r="A1068" t="str">
        <f t="shared" si="376"/>
        <v>29/01/2026</v>
      </c>
      <c r="B1068" t="str">
        <f t="shared" si="379"/>
        <v>ENTRADA</v>
      </c>
      <c r="C1068" t="str">
        <f t="shared" si="380"/>
        <v>NFSE</v>
      </c>
      <c r="D1068" t="str">
        <f>"163"</f>
        <v>163</v>
      </c>
      <c r="E1068" t="str">
        <f t="shared" si="381"/>
        <v>1</v>
      </c>
      <c r="F1068" t="str">
        <f t="shared" si="377"/>
        <v>COM</v>
      </c>
      <c r="G1068" t="str">
        <f>"PENSE FARMA 25 (10224)"</f>
        <v>PENSE FARMA 25 (10224)</v>
      </c>
      <c r="H1068" t="s">
        <v>287</v>
      </c>
      <c r="I1068" t="str">
        <f t="shared" si="382"/>
        <v>28/01/2026</v>
      </c>
      <c r="J1068" t="str">
        <f t="shared" si="378"/>
        <v>26/01/2026</v>
      </c>
      <c r="K1068">
        <v>46051</v>
      </c>
      <c r="N1068">
        <v>303</v>
      </c>
      <c r="O1068" t="s">
        <v>26</v>
      </c>
      <c r="Q1068">
        <v>320.5</v>
      </c>
      <c r="R1068" t="str">
        <f>"PENSE FARMA 25 (10224)"</f>
        <v>PENSE FARMA 25 (10224)</v>
      </c>
      <c r="S1068" t="s">
        <v>27</v>
      </c>
      <c r="T1068">
        <v>4062</v>
      </c>
      <c r="U1068">
        <v>3555</v>
      </c>
      <c r="V1068" t="s">
        <v>88</v>
      </c>
    </row>
    <row r="1069" spans="1:22">
      <c r="A1069" t="str">
        <f t="shared" si="376"/>
        <v>29/01/2026</v>
      </c>
      <c r="B1069" t="str">
        <f t="shared" si="379"/>
        <v>ENTRADA</v>
      </c>
      <c r="C1069" t="str">
        <f t="shared" si="380"/>
        <v>NFSE</v>
      </c>
      <c r="D1069" t="str">
        <f>"164"</f>
        <v>164</v>
      </c>
      <c r="E1069" t="str">
        <f t="shared" si="381"/>
        <v>1</v>
      </c>
      <c r="F1069" t="str">
        <f t="shared" si="377"/>
        <v>COM</v>
      </c>
      <c r="G1069" t="str">
        <f>"PENSE FARMA 35 (10227)"</f>
        <v>PENSE FARMA 35 (10227)</v>
      </c>
      <c r="H1069" t="str">
        <f>"Serv.Prest. 19/01/2026 a 25/01/2026 - RPS: 2089 - NFSe: 164"</f>
        <v>Serv.Prest. 19/01/2026 a 25/01/2026 - RPS: 2089 - NFSe: 164</v>
      </c>
      <c r="I1069" t="str">
        <f t="shared" si="382"/>
        <v>28/01/2026</v>
      </c>
      <c r="J1069" t="str">
        <f t="shared" si="378"/>
        <v>26/01/2026</v>
      </c>
      <c r="K1069" t="str">
        <f>("29/01/2026")</f>
        <v>29/01/2026</v>
      </c>
      <c r="L1069">
        <v>171.45</v>
      </c>
      <c r="M1069">
        <v>171.45</v>
      </c>
      <c r="N1069">
        <v>303</v>
      </c>
      <c r="O1069" t="str">
        <f>"RECEITAS COM ENTREGAS"</f>
        <v>RECEITAS COM ENTREGAS</v>
      </c>
      <c r="P1069">
        <v>171.45</v>
      </c>
      <c r="S1069" t="str">
        <f>"RECEITAS COM ENTREGAS (303)"</f>
        <v>RECEITAS COM ENTREGAS (303)</v>
      </c>
      <c r="T1069">
        <v>4063</v>
      </c>
      <c r="U1069">
        <v>3556</v>
      </c>
      <c r="V1069" t="s">
        <v>88</v>
      </c>
    </row>
    <row r="1070" spans="1:22">
      <c r="A1070" t="str">
        <f t="shared" si="376"/>
        <v>29/01/2026</v>
      </c>
      <c r="B1070" t="str">
        <f t="shared" si="379"/>
        <v>ENTRADA</v>
      </c>
      <c r="C1070" t="str">
        <f t="shared" si="380"/>
        <v>NFSE</v>
      </c>
      <c r="D1070" t="str">
        <f>"164"</f>
        <v>164</v>
      </c>
      <c r="E1070" t="str">
        <f t="shared" si="381"/>
        <v>1</v>
      </c>
      <c r="F1070" t="str">
        <f t="shared" si="377"/>
        <v>COM</v>
      </c>
      <c r="G1070" t="str">
        <f>"PENSE FARMA 35 (10227)"</f>
        <v>PENSE FARMA 35 (10227)</v>
      </c>
      <c r="H1070" t="s">
        <v>288</v>
      </c>
      <c r="I1070" t="str">
        <f t="shared" si="382"/>
        <v>28/01/2026</v>
      </c>
      <c r="J1070" t="str">
        <f t="shared" si="378"/>
        <v>26/01/2026</v>
      </c>
      <c r="K1070">
        <v>46051</v>
      </c>
      <c r="N1070">
        <v>303</v>
      </c>
      <c r="O1070" t="s">
        <v>26</v>
      </c>
      <c r="Q1070">
        <v>171.45</v>
      </c>
      <c r="R1070" t="str">
        <f>"PENSE FARMA 35 (10227)"</f>
        <v>PENSE FARMA 35 (10227)</v>
      </c>
      <c r="S1070" t="s">
        <v>27</v>
      </c>
      <c r="T1070">
        <v>4063</v>
      </c>
      <c r="U1070">
        <v>3556</v>
      </c>
      <c r="V1070" t="s">
        <v>88</v>
      </c>
    </row>
    <row r="1071" spans="1:22">
      <c r="A1071" t="str">
        <f t="shared" si="376"/>
        <v>29/01/2026</v>
      </c>
      <c r="B1071" t="str">
        <f t="shared" si="379"/>
        <v>ENTRADA</v>
      </c>
      <c r="C1071" t="str">
        <f t="shared" si="380"/>
        <v>NFSE</v>
      </c>
      <c r="D1071" t="str">
        <f t="shared" ref="D1071:D1076" si="383">"166"</f>
        <v>166</v>
      </c>
      <c r="E1071" t="str">
        <f t="shared" si="381"/>
        <v>1</v>
      </c>
      <c r="F1071" t="str">
        <f t="shared" si="377"/>
        <v>COM</v>
      </c>
      <c r="G1071" t="str">
        <f t="shared" ref="G1071:G1076" si="384">"PENSE FARMA 08 (10217)"</f>
        <v>PENSE FARMA 08 (10217)</v>
      </c>
      <c r="H1071" t="str">
        <f>"Serv.Prest. 19/01/2026 a 25/01/2026 - RPS: 2091 - NFSe: 166"</f>
        <v>Serv.Prest. 19/01/2026 a 25/01/2026 - RPS: 2091 - NFSe: 166</v>
      </c>
      <c r="I1071" t="str">
        <f t="shared" si="382"/>
        <v>28/01/2026</v>
      </c>
      <c r="J1071" t="str">
        <f t="shared" si="378"/>
        <v>26/01/2026</v>
      </c>
      <c r="K1071" t="str">
        <f>("29/01/2026")</f>
        <v>29/01/2026</v>
      </c>
      <c r="L1071">
        <v>589.5</v>
      </c>
      <c r="M1071">
        <v>589.5</v>
      </c>
      <c r="N1071">
        <v>303</v>
      </c>
      <c r="O1071" t="str">
        <f>"RECEITAS COM ENTREGAS"</f>
        <v>RECEITAS COM ENTREGAS</v>
      </c>
      <c r="P1071">
        <v>589.5</v>
      </c>
      <c r="S1071" t="str">
        <f>"RECEITAS COM ENTREGAS (303)"</f>
        <v>RECEITAS COM ENTREGAS (303)</v>
      </c>
      <c r="T1071">
        <v>4064</v>
      </c>
      <c r="U1071">
        <v>3558</v>
      </c>
      <c r="V1071" t="s">
        <v>88</v>
      </c>
    </row>
    <row r="1072" spans="1:22">
      <c r="A1072" t="str">
        <f t="shared" si="376"/>
        <v>29/01/2026</v>
      </c>
      <c r="B1072" t="str">
        <f t="shared" si="379"/>
        <v>ENTRADA</v>
      </c>
      <c r="C1072" t="str">
        <f t="shared" si="380"/>
        <v>NFSE</v>
      </c>
      <c r="D1072" t="str">
        <f t="shared" si="383"/>
        <v>166</v>
      </c>
      <c r="E1072" t="str">
        <f t="shared" si="381"/>
        <v>1</v>
      </c>
      <c r="F1072" t="str">
        <f t="shared" si="377"/>
        <v>COM</v>
      </c>
      <c r="G1072" t="str">
        <f t="shared" si="384"/>
        <v>PENSE FARMA 08 (10217)</v>
      </c>
      <c r="H1072" t="s">
        <v>289</v>
      </c>
      <c r="I1072" t="str">
        <f t="shared" si="382"/>
        <v>28/01/2026</v>
      </c>
      <c r="J1072" t="str">
        <f t="shared" si="378"/>
        <v>26/01/2026</v>
      </c>
      <c r="K1072">
        <v>46051</v>
      </c>
      <c r="N1072">
        <v>303</v>
      </c>
      <c r="O1072" t="s">
        <v>26</v>
      </c>
      <c r="Q1072">
        <v>117.9</v>
      </c>
      <c r="R1072" t="str">
        <f>"PENSE FARMA 08 (10217)"</f>
        <v>PENSE FARMA 08 (10217)</v>
      </c>
      <c r="S1072" t="s">
        <v>27</v>
      </c>
      <c r="T1072">
        <v>4064</v>
      </c>
      <c r="U1072">
        <v>3558</v>
      </c>
      <c r="V1072" t="s">
        <v>88</v>
      </c>
    </row>
    <row r="1073" spans="1:22">
      <c r="A1073" t="str">
        <f t="shared" si="376"/>
        <v>29/01/2026</v>
      </c>
      <c r="B1073" t="str">
        <f t="shared" si="379"/>
        <v>ENTRADA</v>
      </c>
      <c r="C1073" t="str">
        <f t="shared" si="380"/>
        <v>NFSE</v>
      </c>
      <c r="D1073" t="str">
        <f t="shared" si="383"/>
        <v>166</v>
      </c>
      <c r="E1073" t="str">
        <f t="shared" si="381"/>
        <v>1</v>
      </c>
      <c r="F1073" t="str">
        <f t="shared" si="377"/>
        <v>COM</v>
      </c>
      <c r="G1073" t="str">
        <f t="shared" si="384"/>
        <v>PENSE FARMA 08 (10217)</v>
      </c>
      <c r="H1073" t="s">
        <v>289</v>
      </c>
      <c r="I1073" t="str">
        <f t="shared" si="382"/>
        <v>28/01/2026</v>
      </c>
      <c r="J1073" t="str">
        <f t="shared" si="378"/>
        <v>26/01/2026</v>
      </c>
      <c r="K1073">
        <v>46051</v>
      </c>
      <c r="N1073">
        <v>303</v>
      </c>
      <c r="O1073" t="s">
        <v>26</v>
      </c>
      <c r="Q1073">
        <v>117.9</v>
      </c>
      <c r="R1073" t="str">
        <f>"PENSE FARMA 11 (10220)"</f>
        <v>PENSE FARMA 11 (10220)</v>
      </c>
      <c r="S1073" t="s">
        <v>27</v>
      </c>
      <c r="T1073">
        <v>4064</v>
      </c>
      <c r="U1073">
        <v>3558</v>
      </c>
      <c r="V1073" t="s">
        <v>88</v>
      </c>
    </row>
    <row r="1074" spans="1:22">
      <c r="A1074" t="str">
        <f t="shared" si="376"/>
        <v>29/01/2026</v>
      </c>
      <c r="B1074" t="str">
        <f t="shared" si="379"/>
        <v>ENTRADA</v>
      </c>
      <c r="C1074" t="str">
        <f t="shared" si="380"/>
        <v>NFSE</v>
      </c>
      <c r="D1074" t="str">
        <f t="shared" si="383"/>
        <v>166</v>
      </c>
      <c r="E1074" t="str">
        <f t="shared" si="381"/>
        <v>1</v>
      </c>
      <c r="F1074" t="str">
        <f t="shared" si="377"/>
        <v>COM</v>
      </c>
      <c r="G1074" t="str">
        <f t="shared" si="384"/>
        <v>PENSE FARMA 08 (10217)</v>
      </c>
      <c r="H1074" t="s">
        <v>289</v>
      </c>
      <c r="I1074" t="str">
        <f t="shared" si="382"/>
        <v>28/01/2026</v>
      </c>
      <c r="J1074" t="str">
        <f t="shared" si="378"/>
        <v>26/01/2026</v>
      </c>
      <c r="K1074">
        <v>46051</v>
      </c>
      <c r="N1074">
        <v>303</v>
      </c>
      <c r="O1074" t="s">
        <v>26</v>
      </c>
      <c r="Q1074">
        <v>117.9</v>
      </c>
      <c r="R1074" t="str">
        <f>"PENSE FARMA 41 (10229)"</f>
        <v>PENSE FARMA 41 (10229)</v>
      </c>
      <c r="S1074" t="s">
        <v>27</v>
      </c>
      <c r="T1074">
        <v>4064</v>
      </c>
      <c r="U1074">
        <v>3558</v>
      </c>
      <c r="V1074" t="s">
        <v>88</v>
      </c>
    </row>
    <row r="1075" spans="1:22">
      <c r="A1075" t="str">
        <f t="shared" si="376"/>
        <v>29/01/2026</v>
      </c>
      <c r="B1075" t="str">
        <f t="shared" si="379"/>
        <v>ENTRADA</v>
      </c>
      <c r="C1075" t="str">
        <f t="shared" si="380"/>
        <v>NFSE</v>
      </c>
      <c r="D1075" t="str">
        <f t="shared" si="383"/>
        <v>166</v>
      </c>
      <c r="E1075" t="str">
        <f t="shared" si="381"/>
        <v>1</v>
      </c>
      <c r="F1075" t="str">
        <f t="shared" si="377"/>
        <v>COM</v>
      </c>
      <c r="G1075" t="str">
        <f t="shared" si="384"/>
        <v>PENSE FARMA 08 (10217)</v>
      </c>
      <c r="H1075" t="s">
        <v>289</v>
      </c>
      <c r="I1075" t="str">
        <f t="shared" si="382"/>
        <v>28/01/2026</v>
      </c>
      <c r="J1075" t="str">
        <f t="shared" si="378"/>
        <v>26/01/2026</v>
      </c>
      <c r="K1075">
        <v>46051</v>
      </c>
      <c r="N1075">
        <v>303</v>
      </c>
      <c r="O1075" t="s">
        <v>26</v>
      </c>
      <c r="Q1075">
        <v>117.9</v>
      </c>
      <c r="R1075" t="str">
        <f>"PENSE FARMA 42 (10230)"</f>
        <v>PENSE FARMA 42 (10230)</v>
      </c>
      <c r="S1075" t="s">
        <v>27</v>
      </c>
      <c r="T1075">
        <v>4064</v>
      </c>
      <c r="U1075">
        <v>3558</v>
      </c>
      <c r="V1075" t="s">
        <v>88</v>
      </c>
    </row>
    <row r="1076" spans="1:22">
      <c r="A1076" t="str">
        <f t="shared" si="376"/>
        <v>29/01/2026</v>
      </c>
      <c r="B1076" t="str">
        <f t="shared" si="379"/>
        <v>ENTRADA</v>
      </c>
      <c r="C1076" t="str">
        <f t="shared" si="380"/>
        <v>NFSE</v>
      </c>
      <c r="D1076" t="str">
        <f t="shared" si="383"/>
        <v>166</v>
      </c>
      <c r="E1076" t="str">
        <f t="shared" si="381"/>
        <v>1</v>
      </c>
      <c r="F1076" t="str">
        <f t="shared" si="377"/>
        <v>COM</v>
      </c>
      <c r="G1076" t="str">
        <f t="shared" si="384"/>
        <v>PENSE FARMA 08 (10217)</v>
      </c>
      <c r="H1076" t="s">
        <v>289</v>
      </c>
      <c r="I1076" t="str">
        <f t="shared" si="382"/>
        <v>28/01/2026</v>
      </c>
      <c r="J1076" t="str">
        <f t="shared" si="378"/>
        <v>26/01/2026</v>
      </c>
      <c r="K1076">
        <v>46051</v>
      </c>
      <c r="N1076">
        <v>303</v>
      </c>
      <c r="O1076" t="s">
        <v>26</v>
      </c>
      <c r="Q1076">
        <v>117.9</v>
      </c>
      <c r="R1076" t="str">
        <f>"PENSE FARMA 52 (10236)"</f>
        <v>PENSE FARMA 52 (10236)</v>
      </c>
      <c r="S1076" t="s">
        <v>27</v>
      </c>
      <c r="T1076">
        <v>4064</v>
      </c>
      <c r="U1076">
        <v>3558</v>
      </c>
      <c r="V1076" t="s">
        <v>88</v>
      </c>
    </row>
    <row r="1077" spans="1:22">
      <c r="A1077" t="str">
        <f t="shared" si="376"/>
        <v>29/01/2026</v>
      </c>
      <c r="B1077" t="str">
        <f t="shared" si="379"/>
        <v>ENTRADA</v>
      </c>
      <c r="C1077" t="str">
        <f t="shared" si="380"/>
        <v>NFSE</v>
      </c>
      <c r="D1077" t="str">
        <f>"167"</f>
        <v>167</v>
      </c>
      <c r="E1077" t="str">
        <f t="shared" si="381"/>
        <v>1</v>
      </c>
      <c r="F1077" t="str">
        <f t="shared" si="377"/>
        <v>COM</v>
      </c>
      <c r="G1077" t="str">
        <f>"PENSE FARMA 09 (10218)"</f>
        <v>PENSE FARMA 09 (10218)</v>
      </c>
      <c r="H1077" t="str">
        <f>"Serv.Prest. 19/01/2026 a 25/01/2026 - RPS: 2092 - NFSe: 167"</f>
        <v>Serv.Prest. 19/01/2026 a 25/01/2026 - RPS: 2092 - NFSe: 167</v>
      </c>
      <c r="I1077" t="str">
        <f t="shared" si="382"/>
        <v>28/01/2026</v>
      </c>
      <c r="J1077" t="str">
        <f t="shared" si="378"/>
        <v>26/01/2026</v>
      </c>
      <c r="K1077" t="str">
        <f>("29/01/2026")</f>
        <v>29/01/2026</v>
      </c>
      <c r="L1077">
        <v>336.54</v>
      </c>
      <c r="M1077">
        <v>336.54</v>
      </c>
      <c r="N1077">
        <v>303</v>
      </c>
      <c r="O1077" t="str">
        <f>"RECEITAS COM ENTREGAS"</f>
        <v>RECEITAS COM ENTREGAS</v>
      </c>
      <c r="P1077">
        <v>336.54</v>
      </c>
      <c r="S1077" t="str">
        <f>"RECEITAS COM ENTREGAS (303)"</f>
        <v>RECEITAS COM ENTREGAS (303)</v>
      </c>
      <c r="T1077">
        <v>4065</v>
      </c>
      <c r="U1077">
        <v>3559</v>
      </c>
      <c r="V1077" t="s">
        <v>88</v>
      </c>
    </row>
    <row r="1078" spans="1:22">
      <c r="A1078" t="str">
        <f t="shared" ref="A1078:A1109" si="385">("29/01/2026")</f>
        <v>29/01/2026</v>
      </c>
      <c r="B1078" t="str">
        <f t="shared" si="379"/>
        <v>ENTRADA</v>
      </c>
      <c r="C1078" t="str">
        <f t="shared" si="380"/>
        <v>NFSE</v>
      </c>
      <c r="D1078" t="str">
        <f>"167"</f>
        <v>167</v>
      </c>
      <c r="E1078" t="str">
        <f t="shared" si="381"/>
        <v>1</v>
      </c>
      <c r="F1078" t="str">
        <f t="shared" ref="F1078:F1109" si="386">"COM"</f>
        <v>COM</v>
      </c>
      <c r="G1078" t="str">
        <f>"PENSE FARMA 09 (10218)"</f>
        <v>PENSE FARMA 09 (10218)</v>
      </c>
      <c r="H1078" t="s">
        <v>290</v>
      </c>
      <c r="I1078" t="str">
        <f t="shared" si="382"/>
        <v>28/01/2026</v>
      </c>
      <c r="J1078" t="str">
        <f t="shared" ref="J1078:J1109" si="387">("26/01/2026")</f>
        <v>26/01/2026</v>
      </c>
      <c r="K1078">
        <v>46051</v>
      </c>
      <c r="N1078">
        <v>303</v>
      </c>
      <c r="O1078" t="s">
        <v>26</v>
      </c>
      <c r="Q1078">
        <v>168.27</v>
      </c>
      <c r="R1078" t="str">
        <f>"PENSE FARMA 09 (10218)"</f>
        <v>PENSE FARMA 09 (10218)</v>
      </c>
      <c r="S1078" t="s">
        <v>27</v>
      </c>
      <c r="T1078">
        <v>4065</v>
      </c>
      <c r="U1078">
        <v>3559</v>
      </c>
      <c r="V1078" t="s">
        <v>88</v>
      </c>
    </row>
    <row r="1079" spans="1:22">
      <c r="A1079" t="str">
        <f t="shared" si="385"/>
        <v>29/01/2026</v>
      </c>
      <c r="B1079" t="str">
        <f t="shared" si="379"/>
        <v>ENTRADA</v>
      </c>
      <c r="C1079" t="str">
        <f t="shared" si="380"/>
        <v>NFSE</v>
      </c>
      <c r="D1079" t="str">
        <f>"167"</f>
        <v>167</v>
      </c>
      <c r="E1079" t="str">
        <f t="shared" si="381"/>
        <v>1</v>
      </c>
      <c r="F1079" t="str">
        <f t="shared" si="386"/>
        <v>COM</v>
      </c>
      <c r="G1079" t="str">
        <f>"PENSE FARMA 09 (10218)"</f>
        <v>PENSE FARMA 09 (10218)</v>
      </c>
      <c r="H1079" t="s">
        <v>290</v>
      </c>
      <c r="I1079" t="str">
        <f t="shared" si="382"/>
        <v>28/01/2026</v>
      </c>
      <c r="J1079" t="str">
        <f t="shared" si="387"/>
        <v>26/01/2026</v>
      </c>
      <c r="K1079">
        <v>46051</v>
      </c>
      <c r="N1079">
        <v>303</v>
      </c>
      <c r="O1079" t="s">
        <v>26</v>
      </c>
      <c r="Q1079">
        <v>168.27</v>
      </c>
      <c r="R1079" t="str">
        <f>"PENSE FARMA 10 (10219)"</f>
        <v>PENSE FARMA 10 (10219)</v>
      </c>
      <c r="S1079" t="s">
        <v>27</v>
      </c>
      <c r="T1079">
        <v>4065</v>
      </c>
      <c r="U1079">
        <v>3559</v>
      </c>
      <c r="V1079" t="s">
        <v>88</v>
      </c>
    </row>
    <row r="1080" spans="1:22">
      <c r="A1080" t="str">
        <f t="shared" si="385"/>
        <v>29/01/2026</v>
      </c>
      <c r="B1080" t="str">
        <f t="shared" ref="B1080:B1111" si="388">"ENTRADA"</f>
        <v>ENTRADA</v>
      </c>
      <c r="C1080" t="str">
        <f t="shared" ref="C1080:C1111" si="389">"NFSE"</f>
        <v>NFSE</v>
      </c>
      <c r="D1080" t="str">
        <f>"168"</f>
        <v>168</v>
      </c>
      <c r="E1080" t="str">
        <f t="shared" ref="E1080:E1111" si="390">"1"</f>
        <v>1</v>
      </c>
      <c r="F1080" t="str">
        <f t="shared" si="386"/>
        <v>COM</v>
      </c>
      <c r="G1080" t="str">
        <f>"FRAN FARMA (10124)"</f>
        <v>FRAN FARMA (10124)</v>
      </c>
      <c r="H1080" t="str">
        <f>"Serv.Prest. 19/01/2026 a 25/01/2026 - RPS: 2093 - NFSe: 168"</f>
        <v>Serv.Prest. 19/01/2026 a 25/01/2026 - RPS: 2093 - NFSe: 168</v>
      </c>
      <c r="I1080" t="str">
        <f t="shared" si="382"/>
        <v>28/01/2026</v>
      </c>
      <c r="J1080" t="str">
        <f t="shared" si="387"/>
        <v>26/01/2026</v>
      </c>
      <c r="K1080" t="str">
        <f>("29/01/2026")</f>
        <v>29/01/2026</v>
      </c>
      <c r="L1080">
        <v>160</v>
      </c>
      <c r="M1080">
        <v>160</v>
      </c>
      <c r="N1080">
        <v>303</v>
      </c>
      <c r="O1080" t="str">
        <f>"RECEITAS COM ENTREGAS"</f>
        <v>RECEITAS COM ENTREGAS</v>
      </c>
      <c r="P1080">
        <v>160</v>
      </c>
      <c r="S1080" t="str">
        <f>"RECEITAS COM ENTREGAS (303)"</f>
        <v>RECEITAS COM ENTREGAS (303)</v>
      </c>
      <c r="T1080">
        <v>4066</v>
      </c>
      <c r="U1080">
        <v>3560</v>
      </c>
      <c r="V1080" t="s">
        <v>88</v>
      </c>
    </row>
    <row r="1081" spans="1:22">
      <c r="A1081" t="str">
        <f t="shared" si="385"/>
        <v>29/01/2026</v>
      </c>
      <c r="B1081" t="str">
        <f t="shared" si="388"/>
        <v>ENTRADA</v>
      </c>
      <c r="C1081" t="str">
        <f t="shared" si="389"/>
        <v>NFSE</v>
      </c>
      <c r="D1081" t="str">
        <f>"168"</f>
        <v>168</v>
      </c>
      <c r="E1081" t="str">
        <f t="shared" si="390"/>
        <v>1</v>
      </c>
      <c r="F1081" t="str">
        <f t="shared" si="386"/>
        <v>COM</v>
      </c>
      <c r="G1081" t="str">
        <f>"FRAN FARMA (10124)"</f>
        <v>FRAN FARMA (10124)</v>
      </c>
      <c r="H1081" t="s">
        <v>291</v>
      </c>
      <c r="I1081" t="str">
        <f t="shared" si="382"/>
        <v>28/01/2026</v>
      </c>
      <c r="J1081" t="str">
        <f t="shared" si="387"/>
        <v>26/01/2026</v>
      </c>
      <c r="K1081">
        <v>46051</v>
      </c>
      <c r="N1081">
        <v>303</v>
      </c>
      <c r="O1081" t="s">
        <v>26</v>
      </c>
      <c r="Q1081">
        <v>160</v>
      </c>
      <c r="R1081" t="str">
        <f>"FRAN FARMA LJ 2 (10131)"</f>
        <v>FRAN FARMA LJ 2 (10131)</v>
      </c>
      <c r="S1081" t="s">
        <v>27</v>
      </c>
      <c r="T1081">
        <v>4066</v>
      </c>
      <c r="U1081">
        <v>3560</v>
      </c>
      <c r="V1081" t="s">
        <v>88</v>
      </c>
    </row>
    <row r="1082" spans="1:22">
      <c r="A1082" t="str">
        <f t="shared" si="385"/>
        <v>29/01/2026</v>
      </c>
      <c r="B1082" t="str">
        <f t="shared" si="388"/>
        <v>ENTRADA</v>
      </c>
      <c r="C1082" t="str">
        <f t="shared" si="389"/>
        <v>NFSE</v>
      </c>
      <c r="D1082" t="str">
        <f>"169"</f>
        <v>169</v>
      </c>
      <c r="E1082" t="str">
        <f t="shared" si="390"/>
        <v>1</v>
      </c>
      <c r="F1082" t="str">
        <f t="shared" si="386"/>
        <v>COM</v>
      </c>
      <c r="G1082" t="str">
        <f>"PENSE FARMA 15 (10195)"</f>
        <v>PENSE FARMA 15 (10195)</v>
      </c>
      <c r="H1082" t="str">
        <f>"Serv.Prest. 19/01/2026 a 25/01/2026 - RPS: 2094 - NFSe: 169"</f>
        <v>Serv.Prest. 19/01/2026 a 25/01/2026 - RPS: 2094 - NFSe: 169</v>
      </c>
      <c r="I1082" t="str">
        <f t="shared" si="382"/>
        <v>28/01/2026</v>
      </c>
      <c r="J1082" t="str">
        <f t="shared" si="387"/>
        <v>26/01/2026</v>
      </c>
      <c r="K1082" t="str">
        <f>("29/01/2026")</f>
        <v>29/01/2026</v>
      </c>
      <c r="L1082">
        <v>642</v>
      </c>
      <c r="M1082">
        <v>642</v>
      </c>
      <c r="N1082">
        <v>303</v>
      </c>
      <c r="O1082" t="str">
        <f>"RECEITAS COM ENTREGAS"</f>
        <v>RECEITAS COM ENTREGAS</v>
      </c>
      <c r="P1082">
        <v>642</v>
      </c>
      <c r="S1082" t="str">
        <f>"RECEITAS COM ENTREGAS (303)"</f>
        <v>RECEITAS COM ENTREGAS (303)</v>
      </c>
      <c r="T1082">
        <v>4067</v>
      </c>
      <c r="U1082">
        <v>3561</v>
      </c>
      <c r="V1082" t="s">
        <v>88</v>
      </c>
    </row>
    <row r="1083" spans="1:22">
      <c r="A1083" t="str">
        <f t="shared" si="385"/>
        <v>29/01/2026</v>
      </c>
      <c r="B1083" t="str">
        <f t="shared" si="388"/>
        <v>ENTRADA</v>
      </c>
      <c r="C1083" t="str">
        <f t="shared" si="389"/>
        <v>NFSE</v>
      </c>
      <c r="D1083" t="str">
        <f>"169"</f>
        <v>169</v>
      </c>
      <c r="E1083" t="str">
        <f t="shared" si="390"/>
        <v>1</v>
      </c>
      <c r="F1083" t="str">
        <f t="shared" si="386"/>
        <v>COM</v>
      </c>
      <c r="G1083" t="str">
        <f>"PENSE FARMA 15 (10195)"</f>
        <v>PENSE FARMA 15 (10195)</v>
      </c>
      <c r="H1083" t="s">
        <v>292</v>
      </c>
      <c r="I1083" t="str">
        <f t="shared" si="382"/>
        <v>28/01/2026</v>
      </c>
      <c r="J1083" t="str">
        <f t="shared" si="387"/>
        <v>26/01/2026</v>
      </c>
      <c r="K1083">
        <v>46051</v>
      </c>
      <c r="N1083">
        <v>303</v>
      </c>
      <c r="O1083" t="s">
        <v>26</v>
      </c>
      <c r="Q1083">
        <v>160.5</v>
      </c>
      <c r="R1083" t="str">
        <f>"PENSE FARMA 15 (10195)"</f>
        <v>PENSE FARMA 15 (10195)</v>
      </c>
      <c r="S1083" t="s">
        <v>27</v>
      </c>
      <c r="T1083">
        <v>4067</v>
      </c>
      <c r="U1083">
        <v>3561</v>
      </c>
      <c r="V1083" t="s">
        <v>88</v>
      </c>
    </row>
    <row r="1084" spans="1:22">
      <c r="A1084" t="str">
        <f t="shared" si="385"/>
        <v>29/01/2026</v>
      </c>
      <c r="B1084" t="str">
        <f t="shared" si="388"/>
        <v>ENTRADA</v>
      </c>
      <c r="C1084" t="str">
        <f t="shared" si="389"/>
        <v>NFSE</v>
      </c>
      <c r="D1084" t="str">
        <f>"169"</f>
        <v>169</v>
      </c>
      <c r="E1084" t="str">
        <f t="shared" si="390"/>
        <v>1</v>
      </c>
      <c r="F1084" t="str">
        <f t="shared" si="386"/>
        <v>COM</v>
      </c>
      <c r="G1084" t="str">
        <f>"PENSE FARMA 15 (10195)"</f>
        <v>PENSE FARMA 15 (10195)</v>
      </c>
      <c r="H1084" t="s">
        <v>292</v>
      </c>
      <c r="I1084" t="str">
        <f t="shared" si="382"/>
        <v>28/01/2026</v>
      </c>
      <c r="J1084" t="str">
        <f t="shared" si="387"/>
        <v>26/01/2026</v>
      </c>
      <c r="K1084">
        <v>46051</v>
      </c>
      <c r="N1084">
        <v>303</v>
      </c>
      <c r="O1084" t="s">
        <v>26</v>
      </c>
      <c r="Q1084">
        <v>160.5</v>
      </c>
      <c r="R1084" t="str">
        <f>"PENSE FARMA 26 (10196)"</f>
        <v>PENSE FARMA 26 (10196)</v>
      </c>
      <c r="S1084" t="s">
        <v>27</v>
      </c>
      <c r="T1084">
        <v>4067</v>
      </c>
      <c r="U1084">
        <v>3561</v>
      </c>
      <c r="V1084" t="s">
        <v>88</v>
      </c>
    </row>
    <row r="1085" spans="1:22">
      <c r="A1085" t="str">
        <f t="shared" si="385"/>
        <v>29/01/2026</v>
      </c>
      <c r="B1085" t="str">
        <f t="shared" si="388"/>
        <v>ENTRADA</v>
      </c>
      <c r="C1085" t="str">
        <f t="shared" si="389"/>
        <v>NFSE</v>
      </c>
      <c r="D1085" t="str">
        <f>"169"</f>
        <v>169</v>
      </c>
      <c r="E1085" t="str">
        <f t="shared" si="390"/>
        <v>1</v>
      </c>
      <c r="F1085" t="str">
        <f t="shared" si="386"/>
        <v>COM</v>
      </c>
      <c r="G1085" t="str">
        <f>"PENSE FARMA 15 (10195)"</f>
        <v>PENSE FARMA 15 (10195)</v>
      </c>
      <c r="H1085" t="s">
        <v>292</v>
      </c>
      <c r="I1085" t="str">
        <f t="shared" si="382"/>
        <v>28/01/2026</v>
      </c>
      <c r="J1085" t="str">
        <f t="shared" si="387"/>
        <v>26/01/2026</v>
      </c>
      <c r="K1085">
        <v>46051</v>
      </c>
      <c r="N1085">
        <v>303</v>
      </c>
      <c r="O1085" t="s">
        <v>26</v>
      </c>
      <c r="Q1085">
        <v>160.5</v>
      </c>
      <c r="R1085" t="str">
        <f>"PENSE FARMA 60 (10197)"</f>
        <v>PENSE FARMA 60 (10197)</v>
      </c>
      <c r="S1085" t="s">
        <v>27</v>
      </c>
      <c r="T1085">
        <v>4067</v>
      </c>
      <c r="U1085">
        <v>3561</v>
      </c>
      <c r="V1085" t="s">
        <v>88</v>
      </c>
    </row>
    <row r="1086" spans="1:22">
      <c r="A1086" t="str">
        <f t="shared" si="385"/>
        <v>29/01/2026</v>
      </c>
      <c r="B1086" t="str">
        <f t="shared" si="388"/>
        <v>ENTRADA</v>
      </c>
      <c r="C1086" t="str">
        <f t="shared" si="389"/>
        <v>NFSE</v>
      </c>
      <c r="D1086" t="str">
        <f>"169"</f>
        <v>169</v>
      </c>
      <c r="E1086" t="str">
        <f t="shared" si="390"/>
        <v>1</v>
      </c>
      <c r="F1086" t="str">
        <f t="shared" si="386"/>
        <v>COM</v>
      </c>
      <c r="G1086" t="str">
        <f>"PENSE FARMA 15 (10195)"</f>
        <v>PENSE FARMA 15 (10195)</v>
      </c>
      <c r="H1086" t="s">
        <v>292</v>
      </c>
      <c r="I1086" t="str">
        <f t="shared" si="382"/>
        <v>28/01/2026</v>
      </c>
      <c r="J1086" t="str">
        <f t="shared" si="387"/>
        <v>26/01/2026</v>
      </c>
      <c r="K1086">
        <v>46051</v>
      </c>
      <c r="N1086">
        <v>303</v>
      </c>
      <c r="O1086" t="s">
        <v>26</v>
      </c>
      <c r="Q1086">
        <v>160.5</v>
      </c>
      <c r="R1086" t="str">
        <f>"PENSE FARMA 61 (10243)"</f>
        <v>PENSE FARMA 61 (10243)</v>
      </c>
      <c r="S1086" t="s">
        <v>27</v>
      </c>
      <c r="T1086">
        <v>4067</v>
      </c>
      <c r="U1086">
        <v>3561</v>
      </c>
      <c r="V1086" t="s">
        <v>88</v>
      </c>
    </row>
    <row r="1087" spans="1:22">
      <c r="A1087" t="str">
        <f t="shared" si="385"/>
        <v>29/01/2026</v>
      </c>
      <c r="B1087" t="str">
        <f t="shared" si="388"/>
        <v>ENTRADA</v>
      </c>
      <c r="C1087" t="str">
        <f t="shared" si="389"/>
        <v>NFSE</v>
      </c>
      <c r="D1087" t="str">
        <f>"170"</f>
        <v>170</v>
      </c>
      <c r="E1087" t="str">
        <f t="shared" si="390"/>
        <v>1</v>
      </c>
      <c r="F1087" t="str">
        <f t="shared" si="386"/>
        <v>COM</v>
      </c>
      <c r="G1087" t="str">
        <f>"PENSE FARMA 46 (10194)"</f>
        <v>PENSE FARMA 46 (10194)</v>
      </c>
      <c r="H1087" t="str">
        <f>"Serv.Prest. 19/01/2026 a 25/01/2026 - RPS: 2095 - NFSe: 170"</f>
        <v>Serv.Prest. 19/01/2026 a 25/01/2026 - RPS: 2095 - NFSe: 170</v>
      </c>
      <c r="I1087" t="str">
        <f t="shared" si="382"/>
        <v>28/01/2026</v>
      </c>
      <c r="J1087" t="str">
        <f t="shared" si="387"/>
        <v>26/01/2026</v>
      </c>
      <c r="K1087" t="str">
        <f>("29/01/2026")</f>
        <v>29/01/2026</v>
      </c>
      <c r="L1087">
        <v>342</v>
      </c>
      <c r="M1087">
        <v>342</v>
      </c>
      <c r="N1087">
        <v>303</v>
      </c>
      <c r="O1087" t="str">
        <f>"RECEITAS COM ENTREGAS"</f>
        <v>RECEITAS COM ENTREGAS</v>
      </c>
      <c r="P1087">
        <v>342</v>
      </c>
      <c r="S1087" t="str">
        <f>"RECEITAS COM ENTREGAS (303)"</f>
        <v>RECEITAS COM ENTREGAS (303)</v>
      </c>
      <c r="T1087">
        <v>4068</v>
      </c>
      <c r="U1087">
        <v>3562</v>
      </c>
      <c r="V1087" t="s">
        <v>88</v>
      </c>
    </row>
    <row r="1088" spans="1:22">
      <c r="A1088" t="str">
        <f t="shared" si="385"/>
        <v>29/01/2026</v>
      </c>
      <c r="B1088" t="str">
        <f t="shared" si="388"/>
        <v>ENTRADA</v>
      </c>
      <c r="C1088" t="str">
        <f t="shared" si="389"/>
        <v>NFSE</v>
      </c>
      <c r="D1088" t="str">
        <f>"170"</f>
        <v>170</v>
      </c>
      <c r="E1088" t="str">
        <f t="shared" si="390"/>
        <v>1</v>
      </c>
      <c r="F1088" t="str">
        <f t="shared" si="386"/>
        <v>COM</v>
      </c>
      <c r="G1088" t="str">
        <f>"PENSE FARMA 46 (10194)"</f>
        <v>PENSE FARMA 46 (10194)</v>
      </c>
      <c r="H1088" t="s">
        <v>293</v>
      </c>
      <c r="I1088" t="str">
        <f t="shared" si="382"/>
        <v>28/01/2026</v>
      </c>
      <c r="J1088" t="str">
        <f t="shared" si="387"/>
        <v>26/01/2026</v>
      </c>
      <c r="K1088">
        <v>46051</v>
      </c>
      <c r="N1088">
        <v>303</v>
      </c>
      <c r="O1088" t="s">
        <v>26</v>
      </c>
      <c r="Q1088">
        <v>342</v>
      </c>
      <c r="R1088" t="str">
        <f>"PENSE FARMA 46 (10194)"</f>
        <v>PENSE FARMA 46 (10194)</v>
      </c>
      <c r="S1088" t="s">
        <v>27</v>
      </c>
      <c r="T1088">
        <v>4068</v>
      </c>
      <c r="U1088">
        <v>3562</v>
      </c>
      <c r="V1088" t="s">
        <v>88</v>
      </c>
    </row>
    <row r="1089" spans="1:22">
      <c r="A1089" t="str">
        <f t="shared" si="385"/>
        <v>29/01/2026</v>
      </c>
      <c r="B1089" t="str">
        <f t="shared" si="388"/>
        <v>ENTRADA</v>
      </c>
      <c r="C1089" t="str">
        <f t="shared" si="389"/>
        <v>NFSE</v>
      </c>
      <c r="D1089" t="str">
        <f>"171"</f>
        <v>171</v>
      </c>
      <c r="E1089" t="str">
        <f t="shared" si="390"/>
        <v>1</v>
      </c>
      <c r="F1089" t="str">
        <f t="shared" si="386"/>
        <v>COM</v>
      </c>
      <c r="G1089" t="str">
        <f>"JAL FARMACIA E DROGARIA LJ 1 (10137)"</f>
        <v>JAL FARMACIA E DROGARIA LJ 1 (10137)</v>
      </c>
      <c r="H1089" t="str">
        <f>"Serv.Prest. 19/01/2026 a 25/01/2026 - RPS: 2096 - NFSe: 171"</f>
        <v>Serv.Prest. 19/01/2026 a 25/01/2026 - RPS: 2096 - NFSe: 171</v>
      </c>
      <c r="I1089" t="str">
        <f t="shared" si="382"/>
        <v>28/01/2026</v>
      </c>
      <c r="J1089" t="str">
        <f t="shared" si="387"/>
        <v>26/01/2026</v>
      </c>
      <c r="K1089" t="str">
        <f>("29/01/2026")</f>
        <v>29/01/2026</v>
      </c>
      <c r="L1089">
        <v>327</v>
      </c>
      <c r="M1089">
        <v>327</v>
      </c>
      <c r="N1089">
        <v>303</v>
      </c>
      <c r="O1089" t="str">
        <f>"RECEITAS COM ENTREGAS"</f>
        <v>RECEITAS COM ENTREGAS</v>
      </c>
      <c r="P1089">
        <v>327</v>
      </c>
      <c r="S1089" t="str">
        <f>"RECEITAS COM ENTREGAS (303)"</f>
        <v>RECEITAS COM ENTREGAS (303)</v>
      </c>
      <c r="T1089">
        <v>4069</v>
      </c>
      <c r="U1089">
        <v>3563</v>
      </c>
      <c r="V1089" t="s">
        <v>88</v>
      </c>
    </row>
    <row r="1090" spans="1:22">
      <c r="A1090" t="str">
        <f t="shared" si="385"/>
        <v>29/01/2026</v>
      </c>
      <c r="B1090" t="str">
        <f t="shared" si="388"/>
        <v>ENTRADA</v>
      </c>
      <c r="C1090" t="str">
        <f t="shared" si="389"/>
        <v>NFSE</v>
      </c>
      <c r="D1090" t="str">
        <f>"171"</f>
        <v>171</v>
      </c>
      <c r="E1090" t="str">
        <f t="shared" si="390"/>
        <v>1</v>
      </c>
      <c r="F1090" t="str">
        <f t="shared" si="386"/>
        <v>COM</v>
      </c>
      <c r="G1090" t="str">
        <f>"JAL FARMACIA E DROGARIA LJ 1 (10137)"</f>
        <v>JAL FARMACIA E DROGARIA LJ 1 (10137)</v>
      </c>
      <c r="H1090" t="s">
        <v>294</v>
      </c>
      <c r="I1090" t="str">
        <f t="shared" si="382"/>
        <v>28/01/2026</v>
      </c>
      <c r="J1090" t="str">
        <f t="shared" si="387"/>
        <v>26/01/2026</v>
      </c>
      <c r="K1090">
        <v>46051</v>
      </c>
      <c r="N1090">
        <v>303</v>
      </c>
      <c r="O1090" t="s">
        <v>26</v>
      </c>
      <c r="Q1090">
        <v>327</v>
      </c>
      <c r="R1090" t="str">
        <f>"JAL FARMACIA E DROGARIA LJ 1 (10137)"</f>
        <v>JAL FARMACIA E DROGARIA LJ 1 (10137)</v>
      </c>
      <c r="S1090" t="s">
        <v>27</v>
      </c>
      <c r="T1090">
        <v>4069</v>
      </c>
      <c r="U1090">
        <v>3563</v>
      </c>
      <c r="V1090" t="s">
        <v>88</v>
      </c>
    </row>
    <row r="1091" spans="1:22">
      <c r="A1091" t="str">
        <f t="shared" si="385"/>
        <v>29/01/2026</v>
      </c>
      <c r="B1091" t="str">
        <f t="shared" si="388"/>
        <v>ENTRADA</v>
      </c>
      <c r="C1091" t="str">
        <f t="shared" si="389"/>
        <v>NFSE</v>
      </c>
      <c r="D1091" t="str">
        <f>"172"</f>
        <v>172</v>
      </c>
      <c r="E1091" t="str">
        <f t="shared" si="390"/>
        <v>1</v>
      </c>
      <c r="F1091" t="str">
        <f t="shared" si="386"/>
        <v>COM</v>
      </c>
      <c r="G1091" t="str">
        <f>"JAL FARMACIA E DROGARIA LJ 2 (10138)"</f>
        <v>JAL FARMACIA E DROGARIA LJ 2 (10138)</v>
      </c>
      <c r="H1091" t="str">
        <f>"Serv.Prest. 19/01/2026 a 25/01/2026 - RPS: 2097 - NFSe: 172"</f>
        <v>Serv.Prest. 19/01/2026 a 25/01/2026 - RPS: 2097 - NFSe: 172</v>
      </c>
      <c r="I1091" t="str">
        <f t="shared" si="382"/>
        <v>28/01/2026</v>
      </c>
      <c r="J1091" t="str">
        <f t="shared" si="387"/>
        <v>26/01/2026</v>
      </c>
      <c r="K1091" t="str">
        <f>("29/01/2026")</f>
        <v>29/01/2026</v>
      </c>
      <c r="L1091">
        <v>300</v>
      </c>
      <c r="M1091">
        <v>300</v>
      </c>
      <c r="N1091">
        <v>303</v>
      </c>
      <c r="O1091" t="str">
        <f>"RECEITAS COM ENTREGAS"</f>
        <v>RECEITAS COM ENTREGAS</v>
      </c>
      <c r="P1091">
        <v>300</v>
      </c>
      <c r="S1091" t="str">
        <f>"RECEITAS COM ENTREGAS (303)"</f>
        <v>RECEITAS COM ENTREGAS (303)</v>
      </c>
      <c r="T1091">
        <v>4070</v>
      </c>
      <c r="U1091">
        <v>3564</v>
      </c>
      <c r="V1091" t="s">
        <v>88</v>
      </c>
    </row>
    <row r="1092" spans="1:22">
      <c r="A1092" t="str">
        <f t="shared" si="385"/>
        <v>29/01/2026</v>
      </c>
      <c r="B1092" t="str">
        <f t="shared" si="388"/>
        <v>ENTRADA</v>
      </c>
      <c r="C1092" t="str">
        <f t="shared" si="389"/>
        <v>NFSE</v>
      </c>
      <c r="D1092" t="str">
        <f>"172"</f>
        <v>172</v>
      </c>
      <c r="E1092" t="str">
        <f t="shared" si="390"/>
        <v>1</v>
      </c>
      <c r="F1092" t="str">
        <f t="shared" si="386"/>
        <v>COM</v>
      </c>
      <c r="G1092" t="str">
        <f>"JAL FARMACIA E DROGARIA LJ 2 (10138)"</f>
        <v>JAL FARMACIA E DROGARIA LJ 2 (10138)</v>
      </c>
      <c r="H1092" t="s">
        <v>295</v>
      </c>
      <c r="I1092" t="str">
        <f t="shared" si="382"/>
        <v>28/01/2026</v>
      </c>
      <c r="J1092" t="str">
        <f t="shared" si="387"/>
        <v>26/01/2026</v>
      </c>
      <c r="K1092">
        <v>46051</v>
      </c>
      <c r="N1092">
        <v>303</v>
      </c>
      <c r="O1092" t="s">
        <v>26</v>
      </c>
      <c r="Q1092">
        <v>300</v>
      </c>
      <c r="R1092" t="str">
        <f>"JAL FARMACIA E DROGARIA LJ 2 (10138)"</f>
        <v>JAL FARMACIA E DROGARIA LJ 2 (10138)</v>
      </c>
      <c r="S1092" t="s">
        <v>27</v>
      </c>
      <c r="T1092">
        <v>4070</v>
      </c>
      <c r="U1092">
        <v>3564</v>
      </c>
      <c r="V1092" t="s">
        <v>88</v>
      </c>
    </row>
    <row r="1093" spans="1:22">
      <c r="A1093" t="str">
        <f t="shared" si="385"/>
        <v>29/01/2026</v>
      </c>
      <c r="B1093" t="str">
        <f t="shared" si="388"/>
        <v>ENTRADA</v>
      </c>
      <c r="C1093" t="str">
        <f t="shared" si="389"/>
        <v>NFSE</v>
      </c>
      <c r="D1093" t="str">
        <f t="shared" ref="D1093:D1099" si="391">"173"</f>
        <v>173</v>
      </c>
      <c r="E1093" t="str">
        <f t="shared" si="390"/>
        <v>1</v>
      </c>
      <c r="F1093" t="str">
        <f t="shared" si="386"/>
        <v>COM</v>
      </c>
      <c r="G1093" t="str">
        <f t="shared" ref="G1093:G1099" si="392">"PENSE FARMA 36 (10206)"</f>
        <v>PENSE FARMA 36 (10206)</v>
      </c>
      <c r="H1093" t="str">
        <f>"Serv.Prest. 19/01/2026 a 25/01/2026 - RPS: 2098 - NFSe: 173"</f>
        <v>Serv.Prest. 19/01/2026 a 25/01/2026 - RPS: 2098 - NFSe: 173</v>
      </c>
      <c r="I1093" t="str">
        <f t="shared" si="382"/>
        <v>28/01/2026</v>
      </c>
      <c r="J1093" t="str">
        <f t="shared" si="387"/>
        <v>26/01/2026</v>
      </c>
      <c r="K1093" t="str">
        <f>("29/01/2026")</f>
        <v>29/01/2026</v>
      </c>
      <c r="L1093">
        <v>894.35</v>
      </c>
      <c r="M1093">
        <v>894.35</v>
      </c>
      <c r="N1093">
        <v>303</v>
      </c>
      <c r="O1093" t="str">
        <f>"RECEITAS COM ENTREGAS"</f>
        <v>RECEITAS COM ENTREGAS</v>
      </c>
      <c r="P1093">
        <v>894.35</v>
      </c>
      <c r="S1093" t="str">
        <f>"RECEITAS COM ENTREGAS (303)"</f>
        <v>RECEITAS COM ENTREGAS (303)</v>
      </c>
      <c r="T1093">
        <v>4071</v>
      </c>
      <c r="U1093">
        <v>3565</v>
      </c>
      <c r="V1093" t="s">
        <v>88</v>
      </c>
    </row>
    <row r="1094" spans="1:22">
      <c r="A1094" t="str">
        <f t="shared" si="385"/>
        <v>29/01/2026</v>
      </c>
      <c r="B1094" t="str">
        <f t="shared" si="388"/>
        <v>ENTRADA</v>
      </c>
      <c r="C1094" t="str">
        <f t="shared" si="389"/>
        <v>NFSE</v>
      </c>
      <c r="D1094" t="str">
        <f t="shared" si="391"/>
        <v>173</v>
      </c>
      <c r="E1094" t="str">
        <f t="shared" si="390"/>
        <v>1</v>
      </c>
      <c r="F1094" t="str">
        <f t="shared" si="386"/>
        <v>COM</v>
      </c>
      <c r="G1094" t="str">
        <f t="shared" si="392"/>
        <v>PENSE FARMA 36 (10206)</v>
      </c>
      <c r="H1094" t="s">
        <v>296</v>
      </c>
      <c r="I1094" t="str">
        <f t="shared" ref="I1094:I1125" si="393">("28/01/2026")</f>
        <v>28/01/2026</v>
      </c>
      <c r="J1094" t="str">
        <f t="shared" si="387"/>
        <v>26/01/2026</v>
      </c>
      <c r="K1094">
        <v>46051</v>
      </c>
      <c r="N1094">
        <v>303</v>
      </c>
      <c r="O1094" t="s">
        <v>26</v>
      </c>
      <c r="Q1094">
        <v>148.30000000000001</v>
      </c>
      <c r="R1094" t="str">
        <f>"PENSE FARMA 20 (10203)"</f>
        <v>PENSE FARMA 20 (10203)</v>
      </c>
      <c r="S1094" t="s">
        <v>27</v>
      </c>
      <c r="T1094">
        <v>4071</v>
      </c>
      <c r="U1094">
        <v>3565</v>
      </c>
      <c r="V1094" t="s">
        <v>88</v>
      </c>
    </row>
    <row r="1095" spans="1:22">
      <c r="A1095" t="str">
        <f t="shared" si="385"/>
        <v>29/01/2026</v>
      </c>
      <c r="B1095" t="str">
        <f t="shared" si="388"/>
        <v>ENTRADA</v>
      </c>
      <c r="C1095" t="str">
        <f t="shared" si="389"/>
        <v>NFSE</v>
      </c>
      <c r="D1095" t="str">
        <f t="shared" si="391"/>
        <v>173</v>
      </c>
      <c r="E1095" t="str">
        <f t="shared" si="390"/>
        <v>1</v>
      </c>
      <c r="F1095" t="str">
        <f t="shared" si="386"/>
        <v>COM</v>
      </c>
      <c r="G1095" t="str">
        <f t="shared" si="392"/>
        <v>PENSE FARMA 36 (10206)</v>
      </c>
      <c r="H1095" t="s">
        <v>296</v>
      </c>
      <c r="I1095" t="str">
        <f t="shared" si="393"/>
        <v>28/01/2026</v>
      </c>
      <c r="J1095" t="str">
        <f t="shared" si="387"/>
        <v>26/01/2026</v>
      </c>
      <c r="K1095">
        <v>46051</v>
      </c>
      <c r="N1095">
        <v>303</v>
      </c>
      <c r="O1095" t="s">
        <v>26</v>
      </c>
      <c r="Q1095">
        <v>148.28</v>
      </c>
      <c r="R1095" t="str">
        <f>"PENSE FARMA 36 (10206)"</f>
        <v>PENSE FARMA 36 (10206)</v>
      </c>
      <c r="S1095" t="s">
        <v>27</v>
      </c>
      <c r="T1095">
        <v>4071</v>
      </c>
      <c r="U1095">
        <v>3565</v>
      </c>
      <c r="V1095" t="s">
        <v>88</v>
      </c>
    </row>
    <row r="1096" spans="1:22">
      <c r="A1096" t="str">
        <f t="shared" si="385"/>
        <v>29/01/2026</v>
      </c>
      <c r="B1096" t="str">
        <f t="shared" si="388"/>
        <v>ENTRADA</v>
      </c>
      <c r="C1096" t="str">
        <f t="shared" si="389"/>
        <v>NFSE</v>
      </c>
      <c r="D1096" t="str">
        <f t="shared" si="391"/>
        <v>173</v>
      </c>
      <c r="E1096" t="str">
        <f t="shared" si="390"/>
        <v>1</v>
      </c>
      <c r="F1096" t="str">
        <f t="shared" si="386"/>
        <v>COM</v>
      </c>
      <c r="G1096" t="str">
        <f t="shared" si="392"/>
        <v>PENSE FARMA 36 (10206)</v>
      </c>
      <c r="H1096" t="s">
        <v>296</v>
      </c>
      <c r="I1096" t="str">
        <f t="shared" si="393"/>
        <v>28/01/2026</v>
      </c>
      <c r="J1096" t="str">
        <f t="shared" si="387"/>
        <v>26/01/2026</v>
      </c>
      <c r="K1096">
        <v>46051</v>
      </c>
      <c r="N1096">
        <v>303</v>
      </c>
      <c r="O1096" t="s">
        <v>26</v>
      </c>
      <c r="Q1096">
        <v>148.28</v>
      </c>
      <c r="R1096" t="str">
        <f>"PENSE FARMA 40 (10207)"</f>
        <v>PENSE FARMA 40 (10207)</v>
      </c>
      <c r="S1096" t="s">
        <v>27</v>
      </c>
      <c r="T1096">
        <v>4071</v>
      </c>
      <c r="U1096">
        <v>3565</v>
      </c>
      <c r="V1096" t="s">
        <v>88</v>
      </c>
    </row>
    <row r="1097" spans="1:22">
      <c r="A1097" t="str">
        <f t="shared" si="385"/>
        <v>29/01/2026</v>
      </c>
      <c r="B1097" t="str">
        <f t="shared" si="388"/>
        <v>ENTRADA</v>
      </c>
      <c r="C1097" t="str">
        <f t="shared" si="389"/>
        <v>NFSE</v>
      </c>
      <c r="D1097" t="str">
        <f t="shared" si="391"/>
        <v>173</v>
      </c>
      <c r="E1097" t="str">
        <f t="shared" si="390"/>
        <v>1</v>
      </c>
      <c r="F1097" t="str">
        <f t="shared" si="386"/>
        <v>COM</v>
      </c>
      <c r="G1097" t="str">
        <f t="shared" si="392"/>
        <v>PENSE FARMA 36 (10206)</v>
      </c>
      <c r="H1097" t="s">
        <v>296</v>
      </c>
      <c r="I1097" t="str">
        <f t="shared" si="393"/>
        <v>28/01/2026</v>
      </c>
      <c r="J1097" t="str">
        <f t="shared" si="387"/>
        <v>26/01/2026</v>
      </c>
      <c r="K1097">
        <v>46051</v>
      </c>
      <c r="N1097">
        <v>303</v>
      </c>
      <c r="O1097" t="s">
        <v>26</v>
      </c>
      <c r="Q1097">
        <v>148.28</v>
      </c>
      <c r="R1097" t="str">
        <f>"PENSE FARMA 43 (10208)"</f>
        <v>PENSE FARMA 43 (10208)</v>
      </c>
      <c r="S1097" t="s">
        <v>27</v>
      </c>
      <c r="T1097">
        <v>4071</v>
      </c>
      <c r="U1097">
        <v>3565</v>
      </c>
      <c r="V1097" t="s">
        <v>88</v>
      </c>
    </row>
    <row r="1098" spans="1:22">
      <c r="A1098" t="str">
        <f t="shared" si="385"/>
        <v>29/01/2026</v>
      </c>
      <c r="B1098" t="str">
        <f t="shared" si="388"/>
        <v>ENTRADA</v>
      </c>
      <c r="C1098" t="str">
        <f t="shared" si="389"/>
        <v>NFSE</v>
      </c>
      <c r="D1098" t="str">
        <f t="shared" si="391"/>
        <v>173</v>
      </c>
      <c r="E1098" t="str">
        <f t="shared" si="390"/>
        <v>1</v>
      </c>
      <c r="F1098" t="str">
        <f t="shared" si="386"/>
        <v>COM</v>
      </c>
      <c r="G1098" t="str">
        <f t="shared" si="392"/>
        <v>PENSE FARMA 36 (10206)</v>
      </c>
      <c r="H1098" t="s">
        <v>296</v>
      </c>
      <c r="I1098" t="str">
        <f t="shared" si="393"/>
        <v>28/01/2026</v>
      </c>
      <c r="J1098" t="str">
        <f t="shared" si="387"/>
        <v>26/01/2026</v>
      </c>
      <c r="K1098">
        <v>46051</v>
      </c>
      <c r="N1098">
        <v>303</v>
      </c>
      <c r="O1098" t="s">
        <v>26</v>
      </c>
      <c r="Q1098">
        <v>148.28</v>
      </c>
      <c r="R1098" t="str">
        <f>"PENSE FARMA 59 (10211)"</f>
        <v>PENSE FARMA 59 (10211)</v>
      </c>
      <c r="S1098" t="s">
        <v>27</v>
      </c>
      <c r="T1098">
        <v>4071</v>
      </c>
      <c r="U1098">
        <v>3565</v>
      </c>
      <c r="V1098" t="s">
        <v>88</v>
      </c>
    </row>
    <row r="1099" spans="1:22">
      <c r="A1099" t="str">
        <f t="shared" si="385"/>
        <v>29/01/2026</v>
      </c>
      <c r="B1099" t="str">
        <f t="shared" si="388"/>
        <v>ENTRADA</v>
      </c>
      <c r="C1099" t="str">
        <f t="shared" si="389"/>
        <v>NFSE</v>
      </c>
      <c r="D1099" t="str">
        <f t="shared" si="391"/>
        <v>173</v>
      </c>
      <c r="E1099" t="str">
        <f t="shared" si="390"/>
        <v>1</v>
      </c>
      <c r="F1099" t="str">
        <f t="shared" si="386"/>
        <v>COM</v>
      </c>
      <c r="G1099" t="str">
        <f t="shared" si="392"/>
        <v>PENSE FARMA 36 (10206)</v>
      </c>
      <c r="H1099" t="s">
        <v>296</v>
      </c>
      <c r="I1099" t="str">
        <f t="shared" si="393"/>
        <v>28/01/2026</v>
      </c>
      <c r="J1099" t="str">
        <f t="shared" si="387"/>
        <v>26/01/2026</v>
      </c>
      <c r="K1099">
        <v>46051</v>
      </c>
      <c r="N1099">
        <v>303</v>
      </c>
      <c r="O1099" t="s">
        <v>26</v>
      </c>
      <c r="Q1099">
        <v>152.93</v>
      </c>
      <c r="R1099" t="str">
        <f>"PENSE FARMA DARK STORE 361 (10212)"</f>
        <v>PENSE FARMA DARK STORE 361 (10212)</v>
      </c>
      <c r="S1099" t="s">
        <v>27</v>
      </c>
      <c r="T1099">
        <v>4071</v>
      </c>
      <c r="U1099">
        <v>3565</v>
      </c>
      <c r="V1099" t="s">
        <v>88</v>
      </c>
    </row>
    <row r="1100" spans="1:22">
      <c r="A1100" t="str">
        <f t="shared" si="385"/>
        <v>29/01/2026</v>
      </c>
      <c r="B1100" t="str">
        <f t="shared" si="388"/>
        <v>ENTRADA</v>
      </c>
      <c r="C1100" t="str">
        <f t="shared" si="389"/>
        <v>NFSE</v>
      </c>
      <c r="D1100" t="str">
        <f>"174"</f>
        <v>174</v>
      </c>
      <c r="E1100" t="str">
        <f t="shared" si="390"/>
        <v>1</v>
      </c>
      <c r="F1100" t="str">
        <f t="shared" si="386"/>
        <v>COM</v>
      </c>
      <c r="G1100" t="str">
        <f>"PENSE FARMA 27 (10204)"</f>
        <v>PENSE FARMA 27 (10204)</v>
      </c>
      <c r="H1100" t="str">
        <f>"Serv.Prest. 19/01/2026 a 25/01/2026 - RPS: 2099 - NFSe: 174"</f>
        <v>Serv.Prest. 19/01/2026 a 25/01/2026 - RPS: 2099 - NFSe: 174</v>
      </c>
      <c r="I1100" t="str">
        <f t="shared" si="393"/>
        <v>28/01/2026</v>
      </c>
      <c r="J1100" t="str">
        <f t="shared" si="387"/>
        <v>26/01/2026</v>
      </c>
      <c r="K1100" t="str">
        <f>("29/01/2026")</f>
        <v>29/01/2026</v>
      </c>
      <c r="L1100">
        <v>577.5</v>
      </c>
      <c r="M1100">
        <v>577.5</v>
      </c>
      <c r="N1100">
        <v>303</v>
      </c>
      <c r="O1100" t="str">
        <f>"RECEITAS COM ENTREGAS"</f>
        <v>RECEITAS COM ENTREGAS</v>
      </c>
      <c r="P1100">
        <v>577.5</v>
      </c>
      <c r="S1100" t="str">
        <f>"RECEITAS COM ENTREGAS (303)"</f>
        <v>RECEITAS COM ENTREGAS (303)</v>
      </c>
      <c r="T1100">
        <v>4072</v>
      </c>
      <c r="U1100">
        <v>3566</v>
      </c>
      <c r="V1100" t="s">
        <v>88</v>
      </c>
    </row>
    <row r="1101" spans="1:22">
      <c r="A1101" t="str">
        <f t="shared" si="385"/>
        <v>29/01/2026</v>
      </c>
      <c r="B1101" t="str">
        <f t="shared" si="388"/>
        <v>ENTRADA</v>
      </c>
      <c r="C1101" t="str">
        <f t="shared" si="389"/>
        <v>NFSE</v>
      </c>
      <c r="D1101" t="str">
        <f>"174"</f>
        <v>174</v>
      </c>
      <c r="E1101" t="str">
        <f t="shared" si="390"/>
        <v>1</v>
      </c>
      <c r="F1101" t="str">
        <f t="shared" si="386"/>
        <v>COM</v>
      </c>
      <c r="G1101" t="str">
        <f>"PENSE FARMA 27 (10204)"</f>
        <v>PENSE FARMA 27 (10204)</v>
      </c>
      <c r="H1101" t="s">
        <v>297</v>
      </c>
      <c r="I1101" t="str">
        <f t="shared" si="393"/>
        <v>28/01/2026</v>
      </c>
      <c r="J1101" t="str">
        <f t="shared" si="387"/>
        <v>26/01/2026</v>
      </c>
      <c r="K1101">
        <v>46051</v>
      </c>
      <c r="N1101">
        <v>303</v>
      </c>
      <c r="O1101" t="s">
        <v>26</v>
      </c>
      <c r="Q1101">
        <v>192.14</v>
      </c>
      <c r="R1101" t="str">
        <f>"PENSE FARMA 05 (10200)"</f>
        <v>PENSE FARMA 05 (10200)</v>
      </c>
      <c r="S1101" t="s">
        <v>27</v>
      </c>
      <c r="T1101">
        <v>4072</v>
      </c>
      <c r="U1101">
        <v>3566</v>
      </c>
      <c r="V1101" t="s">
        <v>88</v>
      </c>
    </row>
    <row r="1102" spans="1:22">
      <c r="A1102" t="str">
        <f t="shared" si="385"/>
        <v>29/01/2026</v>
      </c>
      <c r="B1102" t="str">
        <f t="shared" si="388"/>
        <v>ENTRADA</v>
      </c>
      <c r="C1102" t="str">
        <f t="shared" si="389"/>
        <v>NFSE</v>
      </c>
      <c r="D1102" t="str">
        <f>"174"</f>
        <v>174</v>
      </c>
      <c r="E1102" t="str">
        <f t="shared" si="390"/>
        <v>1</v>
      </c>
      <c r="F1102" t="str">
        <f t="shared" si="386"/>
        <v>COM</v>
      </c>
      <c r="G1102" t="str">
        <f>"PENSE FARMA 27 (10204)"</f>
        <v>PENSE FARMA 27 (10204)</v>
      </c>
      <c r="H1102" t="s">
        <v>297</v>
      </c>
      <c r="I1102" t="str">
        <f t="shared" si="393"/>
        <v>28/01/2026</v>
      </c>
      <c r="J1102" t="str">
        <f t="shared" si="387"/>
        <v>26/01/2026</v>
      </c>
      <c r="K1102">
        <v>46051</v>
      </c>
      <c r="N1102">
        <v>303</v>
      </c>
      <c r="O1102" t="s">
        <v>26</v>
      </c>
      <c r="Q1102">
        <v>192.13</v>
      </c>
      <c r="R1102" t="str">
        <f>"PENSE FARMA 13 (10202)"</f>
        <v>PENSE FARMA 13 (10202)</v>
      </c>
      <c r="S1102" t="s">
        <v>27</v>
      </c>
      <c r="T1102">
        <v>4072</v>
      </c>
      <c r="U1102">
        <v>3566</v>
      </c>
      <c r="V1102" t="s">
        <v>88</v>
      </c>
    </row>
    <row r="1103" spans="1:22">
      <c r="A1103" t="str">
        <f t="shared" si="385"/>
        <v>29/01/2026</v>
      </c>
      <c r="B1103" t="str">
        <f t="shared" si="388"/>
        <v>ENTRADA</v>
      </c>
      <c r="C1103" t="str">
        <f t="shared" si="389"/>
        <v>NFSE</v>
      </c>
      <c r="D1103" t="str">
        <f>"174"</f>
        <v>174</v>
      </c>
      <c r="E1103" t="str">
        <f t="shared" si="390"/>
        <v>1</v>
      </c>
      <c r="F1103" t="str">
        <f t="shared" si="386"/>
        <v>COM</v>
      </c>
      <c r="G1103" t="str">
        <f>"PENSE FARMA 27 (10204)"</f>
        <v>PENSE FARMA 27 (10204)</v>
      </c>
      <c r="H1103" t="s">
        <v>297</v>
      </c>
      <c r="I1103" t="str">
        <f t="shared" si="393"/>
        <v>28/01/2026</v>
      </c>
      <c r="J1103" t="str">
        <f t="shared" si="387"/>
        <v>26/01/2026</v>
      </c>
      <c r="K1103">
        <v>46051</v>
      </c>
      <c r="N1103">
        <v>303</v>
      </c>
      <c r="O1103" t="s">
        <v>26</v>
      </c>
      <c r="Q1103">
        <v>193.23</v>
      </c>
      <c r="R1103" t="str">
        <f>"PENSE FARMA 27 (10204)"</f>
        <v>PENSE FARMA 27 (10204)</v>
      </c>
      <c r="S1103" t="s">
        <v>27</v>
      </c>
      <c r="T1103">
        <v>4072</v>
      </c>
      <c r="U1103">
        <v>3566</v>
      </c>
      <c r="V1103" t="s">
        <v>88</v>
      </c>
    </row>
    <row r="1104" spans="1:22">
      <c r="A1104" t="str">
        <f t="shared" si="385"/>
        <v>29/01/2026</v>
      </c>
      <c r="B1104" t="str">
        <f t="shared" si="388"/>
        <v>ENTRADA</v>
      </c>
      <c r="C1104" t="str">
        <f t="shared" si="389"/>
        <v>NFSE</v>
      </c>
      <c r="D1104" t="str">
        <f>"175"</f>
        <v>175</v>
      </c>
      <c r="E1104" t="str">
        <f t="shared" si="390"/>
        <v>1</v>
      </c>
      <c r="F1104" t="str">
        <f t="shared" si="386"/>
        <v>COM</v>
      </c>
      <c r="G1104" t="str">
        <f>"PENSE FARMA 07 (10201)"</f>
        <v>PENSE FARMA 07 (10201)</v>
      </c>
      <c r="H1104" t="str">
        <f>"Serv.Prest. 19/01/2026 a 25/01/2026 - RPS: 2100 - NFSe: 175"</f>
        <v>Serv.Prest. 19/01/2026 a 25/01/2026 - RPS: 2100 - NFSe: 175</v>
      </c>
      <c r="I1104" t="str">
        <f t="shared" si="393"/>
        <v>28/01/2026</v>
      </c>
      <c r="J1104" t="str">
        <f t="shared" si="387"/>
        <v>26/01/2026</v>
      </c>
      <c r="K1104" t="str">
        <f>("29/01/2026")</f>
        <v>29/01/2026</v>
      </c>
      <c r="L1104">
        <v>309.75</v>
      </c>
      <c r="M1104">
        <v>309.75</v>
      </c>
      <c r="N1104">
        <v>303</v>
      </c>
      <c r="O1104" t="str">
        <f>"RECEITAS COM ENTREGAS"</f>
        <v>RECEITAS COM ENTREGAS</v>
      </c>
      <c r="P1104">
        <v>309.75</v>
      </c>
      <c r="S1104" t="str">
        <f>"RECEITAS COM ENTREGAS (303)"</f>
        <v>RECEITAS COM ENTREGAS (303)</v>
      </c>
      <c r="T1104">
        <v>4073</v>
      </c>
      <c r="U1104">
        <v>3567</v>
      </c>
      <c r="V1104" t="s">
        <v>88</v>
      </c>
    </row>
    <row r="1105" spans="1:22">
      <c r="A1105" t="str">
        <f t="shared" si="385"/>
        <v>29/01/2026</v>
      </c>
      <c r="B1105" t="str">
        <f t="shared" si="388"/>
        <v>ENTRADA</v>
      </c>
      <c r="C1105" t="str">
        <f t="shared" si="389"/>
        <v>NFSE</v>
      </c>
      <c r="D1105" t="str">
        <f>"175"</f>
        <v>175</v>
      </c>
      <c r="E1105" t="str">
        <f t="shared" si="390"/>
        <v>1</v>
      </c>
      <c r="F1105" t="str">
        <f t="shared" si="386"/>
        <v>COM</v>
      </c>
      <c r="G1105" t="str">
        <f>"PENSE FARMA 07 (10201)"</f>
        <v>PENSE FARMA 07 (10201)</v>
      </c>
      <c r="H1105" t="s">
        <v>298</v>
      </c>
      <c r="I1105" t="str">
        <f t="shared" si="393"/>
        <v>28/01/2026</v>
      </c>
      <c r="J1105" t="str">
        <f t="shared" si="387"/>
        <v>26/01/2026</v>
      </c>
      <c r="K1105">
        <v>46051</v>
      </c>
      <c r="N1105">
        <v>303</v>
      </c>
      <c r="O1105" t="s">
        <v>26</v>
      </c>
      <c r="Q1105">
        <v>102.9</v>
      </c>
      <c r="R1105" t="str">
        <f>"PENSE FARMA 07 (10201)"</f>
        <v>PENSE FARMA 07 (10201)</v>
      </c>
      <c r="S1105" t="s">
        <v>27</v>
      </c>
      <c r="T1105">
        <v>4073</v>
      </c>
      <c r="U1105">
        <v>3567</v>
      </c>
      <c r="V1105" t="s">
        <v>88</v>
      </c>
    </row>
    <row r="1106" spans="1:22">
      <c r="A1106" t="str">
        <f t="shared" si="385"/>
        <v>29/01/2026</v>
      </c>
      <c r="B1106" t="str">
        <f t="shared" si="388"/>
        <v>ENTRADA</v>
      </c>
      <c r="C1106" t="str">
        <f t="shared" si="389"/>
        <v>NFSE</v>
      </c>
      <c r="D1106" t="str">
        <f>"175"</f>
        <v>175</v>
      </c>
      <c r="E1106" t="str">
        <f t="shared" si="390"/>
        <v>1</v>
      </c>
      <c r="F1106" t="str">
        <f t="shared" si="386"/>
        <v>COM</v>
      </c>
      <c r="G1106" t="str">
        <f>"PENSE FARMA 07 (10201)"</f>
        <v>PENSE FARMA 07 (10201)</v>
      </c>
      <c r="H1106" t="s">
        <v>298</v>
      </c>
      <c r="I1106" t="str">
        <f t="shared" si="393"/>
        <v>28/01/2026</v>
      </c>
      <c r="J1106" t="str">
        <f t="shared" si="387"/>
        <v>26/01/2026</v>
      </c>
      <c r="K1106">
        <v>46051</v>
      </c>
      <c r="N1106">
        <v>303</v>
      </c>
      <c r="O1106" t="s">
        <v>26</v>
      </c>
      <c r="Q1106">
        <v>102.9</v>
      </c>
      <c r="R1106" t="str">
        <f>"PENSE FARMA 45 (10209)"</f>
        <v>PENSE FARMA 45 (10209)</v>
      </c>
      <c r="S1106" t="s">
        <v>27</v>
      </c>
      <c r="T1106">
        <v>4073</v>
      </c>
      <c r="U1106">
        <v>3567</v>
      </c>
      <c r="V1106" t="s">
        <v>88</v>
      </c>
    </row>
    <row r="1107" spans="1:22">
      <c r="A1107" t="str">
        <f t="shared" si="385"/>
        <v>29/01/2026</v>
      </c>
      <c r="B1107" t="str">
        <f t="shared" si="388"/>
        <v>ENTRADA</v>
      </c>
      <c r="C1107" t="str">
        <f t="shared" si="389"/>
        <v>NFSE</v>
      </c>
      <c r="D1107" t="str">
        <f>"175"</f>
        <v>175</v>
      </c>
      <c r="E1107" t="str">
        <f t="shared" si="390"/>
        <v>1</v>
      </c>
      <c r="F1107" t="str">
        <f t="shared" si="386"/>
        <v>COM</v>
      </c>
      <c r="G1107" t="str">
        <f>"PENSE FARMA 07 (10201)"</f>
        <v>PENSE FARMA 07 (10201)</v>
      </c>
      <c r="H1107" t="s">
        <v>298</v>
      </c>
      <c r="I1107" t="str">
        <f t="shared" si="393"/>
        <v>28/01/2026</v>
      </c>
      <c r="J1107" t="str">
        <f t="shared" si="387"/>
        <v>26/01/2026</v>
      </c>
      <c r="K1107">
        <v>46051</v>
      </c>
      <c r="N1107">
        <v>303</v>
      </c>
      <c r="O1107" t="s">
        <v>26</v>
      </c>
      <c r="Q1107">
        <v>103.95</v>
      </c>
      <c r="R1107" t="str">
        <f>"PENSE FARMA 50 (10210)"</f>
        <v>PENSE FARMA 50 (10210)</v>
      </c>
      <c r="S1107" t="s">
        <v>27</v>
      </c>
      <c r="T1107">
        <v>4073</v>
      </c>
      <c r="U1107">
        <v>3567</v>
      </c>
      <c r="V1107" t="s">
        <v>88</v>
      </c>
    </row>
    <row r="1108" spans="1:22">
      <c r="A1108" t="str">
        <f t="shared" si="385"/>
        <v>29/01/2026</v>
      </c>
      <c r="B1108" t="str">
        <f t="shared" si="388"/>
        <v>ENTRADA</v>
      </c>
      <c r="C1108" t="str">
        <f t="shared" si="389"/>
        <v>NFSE</v>
      </c>
      <c r="D1108" t="str">
        <f>"177"</f>
        <v>177</v>
      </c>
      <c r="E1108" t="str">
        <f t="shared" si="390"/>
        <v>1</v>
      </c>
      <c r="F1108" t="str">
        <f t="shared" si="386"/>
        <v>COM</v>
      </c>
      <c r="G1108" t="str">
        <f>"BELLESE FARMA (10279)"</f>
        <v>BELLESE FARMA (10279)</v>
      </c>
      <c r="H1108" t="str">
        <f>"Serv.Prest. 19/01/2026 a 25/01/2026 - RPS: 2102 - NFSe: 177"</f>
        <v>Serv.Prest. 19/01/2026 a 25/01/2026 - RPS: 2102 - NFSe: 177</v>
      </c>
      <c r="I1108" t="str">
        <f t="shared" si="393"/>
        <v>28/01/2026</v>
      </c>
      <c r="J1108" t="str">
        <f t="shared" si="387"/>
        <v>26/01/2026</v>
      </c>
      <c r="K1108" t="str">
        <f>("29/01/2026")</f>
        <v>29/01/2026</v>
      </c>
      <c r="L1108">
        <v>150.05000000000001</v>
      </c>
      <c r="M1108">
        <v>150.05000000000001</v>
      </c>
      <c r="N1108">
        <v>303</v>
      </c>
      <c r="O1108" t="str">
        <f>"RECEITAS COM ENTREGAS"</f>
        <v>RECEITAS COM ENTREGAS</v>
      </c>
      <c r="P1108">
        <v>150.05000000000001</v>
      </c>
      <c r="S1108" t="str">
        <f>"RECEITAS COM ENTREGAS (303)"</f>
        <v>RECEITAS COM ENTREGAS (303)</v>
      </c>
      <c r="T1108">
        <v>4074</v>
      </c>
      <c r="U1108">
        <v>3569</v>
      </c>
      <c r="V1108" t="s">
        <v>88</v>
      </c>
    </row>
    <row r="1109" spans="1:22">
      <c r="A1109" t="str">
        <f t="shared" si="385"/>
        <v>29/01/2026</v>
      </c>
      <c r="B1109" t="str">
        <f t="shared" si="388"/>
        <v>ENTRADA</v>
      </c>
      <c r="C1109" t="str">
        <f t="shared" si="389"/>
        <v>NFSE</v>
      </c>
      <c r="D1109" t="str">
        <f>"177"</f>
        <v>177</v>
      </c>
      <c r="E1109" t="str">
        <f t="shared" si="390"/>
        <v>1</v>
      </c>
      <c r="F1109" t="str">
        <f t="shared" si="386"/>
        <v>COM</v>
      </c>
      <c r="G1109" t="str">
        <f>"BELLESE FARMA (10279)"</f>
        <v>BELLESE FARMA (10279)</v>
      </c>
      <c r="H1109" t="s">
        <v>299</v>
      </c>
      <c r="I1109" t="str">
        <f t="shared" si="393"/>
        <v>28/01/2026</v>
      </c>
      <c r="J1109" t="str">
        <f t="shared" si="387"/>
        <v>26/01/2026</v>
      </c>
      <c r="K1109">
        <v>46051</v>
      </c>
      <c r="N1109">
        <v>303</v>
      </c>
      <c r="O1109" t="s">
        <v>26</v>
      </c>
      <c r="Q1109">
        <v>150.05000000000001</v>
      </c>
      <c r="R1109" t="str">
        <f>"BELLESE FARMA (10279)"</f>
        <v>BELLESE FARMA (10279)</v>
      </c>
      <c r="S1109" t="s">
        <v>27</v>
      </c>
      <c r="T1109">
        <v>4074</v>
      </c>
      <c r="U1109">
        <v>3569</v>
      </c>
      <c r="V1109" t="s">
        <v>88</v>
      </c>
    </row>
    <row r="1110" spans="1:22">
      <c r="A1110" t="str">
        <f t="shared" ref="A1110:A1135" si="394">("29/01/2026")</f>
        <v>29/01/2026</v>
      </c>
      <c r="B1110" t="str">
        <f t="shared" si="388"/>
        <v>ENTRADA</v>
      </c>
      <c r="C1110" t="str">
        <f t="shared" si="389"/>
        <v>NFSE</v>
      </c>
      <c r="D1110" t="str">
        <f>"179"</f>
        <v>179</v>
      </c>
      <c r="E1110" t="str">
        <f t="shared" si="390"/>
        <v>1</v>
      </c>
      <c r="F1110" t="str">
        <f t="shared" ref="F1110:F1134" si="395">"COM"</f>
        <v>COM</v>
      </c>
      <c r="G1110" t="str">
        <f>"DROGARIA AGAPEAMA (10167)"</f>
        <v>DROGARIA AGAPEAMA (10167)</v>
      </c>
      <c r="H1110" t="str">
        <f>"Serv.Prest. 19/01/2026 a 25/01/2026 - RPS: 2104 - NFSe: 179"</f>
        <v>Serv.Prest. 19/01/2026 a 25/01/2026 - RPS: 2104 - NFSe: 179</v>
      </c>
      <c r="I1110" t="str">
        <f t="shared" si="393"/>
        <v>28/01/2026</v>
      </c>
      <c r="J1110" t="str">
        <f t="shared" ref="J1110:J1124" si="396">("26/01/2026")</f>
        <v>26/01/2026</v>
      </c>
      <c r="K1110" t="str">
        <f>("29/01/2026")</f>
        <v>29/01/2026</v>
      </c>
      <c r="L1110">
        <v>332.8</v>
      </c>
      <c r="M1110">
        <v>332.8</v>
      </c>
      <c r="N1110">
        <v>303</v>
      </c>
      <c r="O1110" t="str">
        <f>"RECEITAS COM ENTREGAS"</f>
        <v>RECEITAS COM ENTREGAS</v>
      </c>
      <c r="P1110">
        <v>332.8</v>
      </c>
      <c r="S1110" t="str">
        <f>"RECEITAS COM ENTREGAS (303)"</f>
        <v>RECEITAS COM ENTREGAS (303)</v>
      </c>
      <c r="T1110">
        <v>4075</v>
      </c>
      <c r="U1110">
        <v>3571</v>
      </c>
      <c r="V1110" t="s">
        <v>88</v>
      </c>
    </row>
    <row r="1111" spans="1:22">
      <c r="A1111" t="str">
        <f t="shared" si="394"/>
        <v>29/01/2026</v>
      </c>
      <c r="B1111" t="str">
        <f t="shared" si="388"/>
        <v>ENTRADA</v>
      </c>
      <c r="C1111" t="str">
        <f t="shared" si="389"/>
        <v>NFSE</v>
      </c>
      <c r="D1111" t="str">
        <f>"179"</f>
        <v>179</v>
      </c>
      <c r="E1111" t="str">
        <f t="shared" si="390"/>
        <v>1</v>
      </c>
      <c r="F1111" t="str">
        <f t="shared" si="395"/>
        <v>COM</v>
      </c>
      <c r="G1111" t="str">
        <f>"DROGARIA AGAPEAMA (10167)"</f>
        <v>DROGARIA AGAPEAMA (10167)</v>
      </c>
      <c r="H1111" t="s">
        <v>300</v>
      </c>
      <c r="I1111" t="str">
        <f t="shared" si="393"/>
        <v>28/01/2026</v>
      </c>
      <c r="J1111" t="str">
        <f t="shared" si="396"/>
        <v>26/01/2026</v>
      </c>
      <c r="K1111">
        <v>46051</v>
      </c>
      <c r="N1111">
        <v>303</v>
      </c>
      <c r="O1111" t="s">
        <v>26</v>
      </c>
      <c r="Q1111">
        <v>332.8</v>
      </c>
      <c r="R1111" t="str">
        <f>"DROGARIA AGAPEAMA (10167)"</f>
        <v>DROGARIA AGAPEAMA (10167)</v>
      </c>
      <c r="S1111" t="s">
        <v>27</v>
      </c>
      <c r="T1111">
        <v>4075</v>
      </c>
      <c r="U1111">
        <v>3571</v>
      </c>
      <c r="V1111" t="s">
        <v>88</v>
      </c>
    </row>
    <row r="1112" spans="1:22">
      <c r="A1112" t="str">
        <f t="shared" si="394"/>
        <v>29/01/2026</v>
      </c>
      <c r="B1112" t="str">
        <f t="shared" ref="B1112:B1134" si="397">"ENTRADA"</f>
        <v>ENTRADA</v>
      </c>
      <c r="C1112" t="str">
        <f t="shared" ref="C1112:C1134" si="398">"NFSE"</f>
        <v>NFSE</v>
      </c>
      <c r="D1112" t="str">
        <f>"181"</f>
        <v>181</v>
      </c>
      <c r="E1112" t="str">
        <f t="shared" ref="E1112:E1134" si="399">"1"</f>
        <v>1</v>
      </c>
      <c r="F1112" t="str">
        <f t="shared" si="395"/>
        <v>COM</v>
      </c>
      <c r="G1112" t="str">
        <f>"DROGARIA ANA VISCONDE DO RIO BRANCO (10182)"</f>
        <v>DROGARIA ANA VISCONDE DO RIO BRANCO (10182)</v>
      </c>
      <c r="H1112" t="str">
        <f>"Serv.Prest. 19/01/2026 a 25/01/2026 - RPS: 2106 - NFSe: 181"</f>
        <v>Serv.Prest. 19/01/2026 a 25/01/2026 - RPS: 2106 - NFSe: 181</v>
      </c>
      <c r="I1112" t="str">
        <f t="shared" si="393"/>
        <v>28/01/2026</v>
      </c>
      <c r="J1112" t="str">
        <f t="shared" si="396"/>
        <v>26/01/2026</v>
      </c>
      <c r="K1112" t="str">
        <f>("29/01/2026")</f>
        <v>29/01/2026</v>
      </c>
      <c r="L1112">
        <v>792.45</v>
      </c>
      <c r="M1112">
        <v>792.45</v>
      </c>
      <c r="N1112">
        <v>303</v>
      </c>
      <c r="O1112" t="str">
        <f>"RECEITAS COM ENTREGAS"</f>
        <v>RECEITAS COM ENTREGAS</v>
      </c>
      <c r="P1112">
        <v>792.45</v>
      </c>
      <c r="S1112" t="str">
        <f>"RECEITAS COM ENTREGAS (303)"</f>
        <v>RECEITAS COM ENTREGAS (303)</v>
      </c>
      <c r="T1112">
        <v>4076</v>
      </c>
      <c r="U1112">
        <v>3573</v>
      </c>
      <c r="V1112" t="s">
        <v>88</v>
      </c>
    </row>
    <row r="1113" spans="1:22">
      <c r="A1113" t="str">
        <f t="shared" si="394"/>
        <v>29/01/2026</v>
      </c>
      <c r="B1113" t="str">
        <f t="shared" si="397"/>
        <v>ENTRADA</v>
      </c>
      <c r="C1113" t="str">
        <f t="shared" si="398"/>
        <v>NFSE</v>
      </c>
      <c r="D1113" t="str">
        <f>"181"</f>
        <v>181</v>
      </c>
      <c r="E1113" t="str">
        <f t="shared" si="399"/>
        <v>1</v>
      </c>
      <c r="F1113" t="str">
        <f t="shared" si="395"/>
        <v>COM</v>
      </c>
      <c r="G1113" t="str">
        <f>"DROGARIA ANA VISCONDE DO RIO BRANCO (10182)"</f>
        <v>DROGARIA ANA VISCONDE DO RIO BRANCO (10182)</v>
      </c>
      <c r="H1113" t="s">
        <v>301</v>
      </c>
      <c r="I1113" t="str">
        <f t="shared" si="393"/>
        <v>28/01/2026</v>
      </c>
      <c r="J1113" t="str">
        <f t="shared" si="396"/>
        <v>26/01/2026</v>
      </c>
      <c r="K1113">
        <v>46051</v>
      </c>
      <c r="N1113">
        <v>303</v>
      </c>
      <c r="O1113" t="s">
        <v>26</v>
      </c>
      <c r="Q1113">
        <v>792.45</v>
      </c>
      <c r="R1113" t="str">
        <f>"DROGARIA ANA VISCONDE DO RIO BRANCO (10182)"</f>
        <v>DROGARIA ANA VISCONDE DO RIO BRANCO (10182)</v>
      </c>
      <c r="S1113" t="s">
        <v>27</v>
      </c>
      <c r="T1113">
        <v>4076</v>
      </c>
      <c r="U1113">
        <v>3573</v>
      </c>
      <c r="V1113" t="s">
        <v>88</v>
      </c>
    </row>
    <row r="1114" spans="1:22">
      <c r="A1114" t="str">
        <f t="shared" si="394"/>
        <v>29/01/2026</v>
      </c>
      <c r="B1114" t="str">
        <f t="shared" si="397"/>
        <v>ENTRADA</v>
      </c>
      <c r="C1114" t="str">
        <f t="shared" si="398"/>
        <v>NFSE</v>
      </c>
      <c r="D1114" t="str">
        <f>"184"</f>
        <v>184</v>
      </c>
      <c r="E1114" t="str">
        <f t="shared" si="399"/>
        <v>1</v>
      </c>
      <c r="F1114" t="str">
        <f t="shared" si="395"/>
        <v>COM</v>
      </c>
      <c r="G1114" t="str">
        <f>"DROGARIA MEDIC CENTER LTDA (10172)"</f>
        <v>DROGARIA MEDIC CENTER LTDA (10172)</v>
      </c>
      <c r="H1114" t="str">
        <f>"Serv.Prest. 19/01/2026 a 25/01/2026 - RPS: 2109 - NFSe: 184"</f>
        <v>Serv.Prest. 19/01/2026 a 25/01/2026 - RPS: 2109 - NFSe: 184</v>
      </c>
      <c r="I1114" t="str">
        <f t="shared" si="393"/>
        <v>28/01/2026</v>
      </c>
      <c r="J1114" t="str">
        <f t="shared" si="396"/>
        <v>26/01/2026</v>
      </c>
      <c r="K1114" t="str">
        <f>("29/01/2026")</f>
        <v>29/01/2026</v>
      </c>
      <c r="L1114">
        <v>155.69999999999999</v>
      </c>
      <c r="M1114">
        <v>155.69999999999999</v>
      </c>
      <c r="N1114">
        <v>303</v>
      </c>
      <c r="O1114" t="str">
        <f>"RECEITAS COM ENTREGAS"</f>
        <v>RECEITAS COM ENTREGAS</v>
      </c>
      <c r="P1114">
        <v>155.69999999999999</v>
      </c>
      <c r="S1114" t="str">
        <f>"RECEITAS COM ENTREGAS (303)"</f>
        <v>RECEITAS COM ENTREGAS (303)</v>
      </c>
      <c r="T1114">
        <v>4077</v>
      </c>
      <c r="U1114">
        <v>3576</v>
      </c>
      <c r="V1114" t="s">
        <v>88</v>
      </c>
    </row>
    <row r="1115" spans="1:22">
      <c r="A1115" t="str">
        <f t="shared" si="394"/>
        <v>29/01/2026</v>
      </c>
      <c r="B1115" t="str">
        <f t="shared" si="397"/>
        <v>ENTRADA</v>
      </c>
      <c r="C1115" t="str">
        <f t="shared" si="398"/>
        <v>NFSE</v>
      </c>
      <c r="D1115" t="str">
        <f>"184"</f>
        <v>184</v>
      </c>
      <c r="E1115" t="str">
        <f t="shared" si="399"/>
        <v>1</v>
      </c>
      <c r="F1115" t="str">
        <f t="shared" si="395"/>
        <v>COM</v>
      </c>
      <c r="G1115" t="str">
        <f>"DROGARIA MEDIC CENTER LTDA (10172)"</f>
        <v>DROGARIA MEDIC CENTER LTDA (10172)</v>
      </c>
      <c r="H1115" t="s">
        <v>302</v>
      </c>
      <c r="I1115" t="str">
        <f t="shared" si="393"/>
        <v>28/01/2026</v>
      </c>
      <c r="J1115" t="str">
        <f t="shared" si="396"/>
        <v>26/01/2026</v>
      </c>
      <c r="K1115">
        <v>46051</v>
      </c>
      <c r="N1115">
        <v>303</v>
      </c>
      <c r="O1115" t="s">
        <v>26</v>
      </c>
      <c r="Q1115">
        <v>155.69999999999999</v>
      </c>
      <c r="R1115" t="str">
        <f>"DROGARIA MEDIC CENTER LTDA (10172)"</f>
        <v>DROGARIA MEDIC CENTER LTDA (10172)</v>
      </c>
      <c r="S1115" t="s">
        <v>27</v>
      </c>
      <c r="T1115">
        <v>4077</v>
      </c>
      <c r="U1115">
        <v>3576</v>
      </c>
      <c r="V1115" t="s">
        <v>88</v>
      </c>
    </row>
    <row r="1116" spans="1:22">
      <c r="A1116" t="str">
        <f t="shared" si="394"/>
        <v>29/01/2026</v>
      </c>
      <c r="B1116" t="str">
        <f t="shared" si="397"/>
        <v>ENTRADA</v>
      </c>
      <c r="C1116" t="str">
        <f t="shared" si="398"/>
        <v>NFSE</v>
      </c>
      <c r="D1116" t="str">
        <f>"186"</f>
        <v>186</v>
      </c>
      <c r="E1116" t="str">
        <f t="shared" si="399"/>
        <v>1</v>
      </c>
      <c r="F1116" t="str">
        <f t="shared" si="395"/>
        <v>COM</v>
      </c>
      <c r="G1116" t="str">
        <f>"DROGARIA TOTAL JUNDIAI (10177)"</f>
        <v>DROGARIA TOTAL JUNDIAI (10177)</v>
      </c>
      <c r="H1116" t="str">
        <f>"Serv.Prest. 19/01/2026 a 25/01/2026 - RPS: 2111 - NFSe: 186"</f>
        <v>Serv.Prest. 19/01/2026 a 25/01/2026 - RPS: 2111 - NFSe: 186</v>
      </c>
      <c r="I1116" t="str">
        <f t="shared" si="393"/>
        <v>28/01/2026</v>
      </c>
      <c r="J1116" t="str">
        <f t="shared" si="396"/>
        <v>26/01/2026</v>
      </c>
      <c r="K1116" t="str">
        <f>("29/01/2026")</f>
        <v>29/01/2026</v>
      </c>
      <c r="L1116">
        <v>100.27</v>
      </c>
      <c r="M1116">
        <v>100.27</v>
      </c>
      <c r="N1116">
        <v>303</v>
      </c>
      <c r="O1116" t="str">
        <f>"RECEITAS COM ENTREGAS"</f>
        <v>RECEITAS COM ENTREGAS</v>
      </c>
      <c r="P1116">
        <v>100.27</v>
      </c>
      <c r="S1116" t="str">
        <f>"RECEITAS COM ENTREGAS (303)"</f>
        <v>RECEITAS COM ENTREGAS (303)</v>
      </c>
      <c r="T1116">
        <v>4078</v>
      </c>
      <c r="U1116">
        <v>3578</v>
      </c>
      <c r="V1116" t="s">
        <v>88</v>
      </c>
    </row>
    <row r="1117" spans="1:22">
      <c r="A1117" t="str">
        <f t="shared" si="394"/>
        <v>29/01/2026</v>
      </c>
      <c r="B1117" t="str">
        <f t="shared" si="397"/>
        <v>ENTRADA</v>
      </c>
      <c r="C1117" t="str">
        <f t="shared" si="398"/>
        <v>NFSE</v>
      </c>
      <c r="D1117" t="str">
        <f>"186"</f>
        <v>186</v>
      </c>
      <c r="E1117" t="str">
        <f t="shared" si="399"/>
        <v>1</v>
      </c>
      <c r="F1117" t="str">
        <f t="shared" si="395"/>
        <v>COM</v>
      </c>
      <c r="G1117" t="str">
        <f>"DROGARIA TOTAL JUNDIAI (10177)"</f>
        <v>DROGARIA TOTAL JUNDIAI (10177)</v>
      </c>
      <c r="H1117" t="s">
        <v>303</v>
      </c>
      <c r="I1117" t="str">
        <f t="shared" si="393"/>
        <v>28/01/2026</v>
      </c>
      <c r="J1117" t="str">
        <f t="shared" si="396"/>
        <v>26/01/2026</v>
      </c>
      <c r="K1117">
        <v>46051</v>
      </c>
      <c r="N1117">
        <v>303</v>
      </c>
      <c r="O1117" t="s">
        <v>26</v>
      </c>
      <c r="Q1117">
        <v>100.27</v>
      </c>
      <c r="R1117" t="str">
        <f>"DROGARIA TOTAL JUNDIAI (10177)"</f>
        <v>DROGARIA TOTAL JUNDIAI (10177)</v>
      </c>
      <c r="S1117" t="s">
        <v>27</v>
      </c>
      <c r="T1117">
        <v>4078</v>
      </c>
      <c r="U1117">
        <v>3578</v>
      </c>
      <c r="V1117" t="s">
        <v>88</v>
      </c>
    </row>
    <row r="1118" spans="1:22">
      <c r="A1118" t="str">
        <f t="shared" si="394"/>
        <v>29/01/2026</v>
      </c>
      <c r="B1118" t="str">
        <f t="shared" si="397"/>
        <v>ENTRADA</v>
      </c>
      <c r="C1118" t="str">
        <f t="shared" si="398"/>
        <v>NFSE</v>
      </c>
      <c r="D1118" t="str">
        <f>"189"</f>
        <v>189</v>
      </c>
      <c r="E1118" t="str">
        <f t="shared" si="399"/>
        <v>1</v>
      </c>
      <c r="F1118" t="str">
        <f t="shared" si="395"/>
        <v>COM</v>
      </c>
      <c r="G1118" t="str">
        <f>"ULTRA POPULAR  UBA 2 (10214)"</f>
        <v>ULTRA POPULAR  UBA 2 (10214)</v>
      </c>
      <c r="H1118" t="str">
        <f>"Serv.Prest. 19/01/2026 a 25/01/2026 - RPS: 2114 - NFSe: 189"</f>
        <v>Serv.Prest. 19/01/2026 a 25/01/2026 - RPS: 2114 - NFSe: 189</v>
      </c>
      <c r="I1118" t="str">
        <f t="shared" si="393"/>
        <v>28/01/2026</v>
      </c>
      <c r="J1118" t="str">
        <f t="shared" si="396"/>
        <v>26/01/2026</v>
      </c>
      <c r="K1118" t="str">
        <f>("29/01/2026")</f>
        <v>29/01/2026</v>
      </c>
      <c r="L1118">
        <v>133.07</v>
      </c>
      <c r="M1118">
        <v>133.07</v>
      </c>
      <c r="N1118">
        <v>303</v>
      </c>
      <c r="O1118" t="str">
        <f>"RECEITAS COM ENTREGAS"</f>
        <v>RECEITAS COM ENTREGAS</v>
      </c>
      <c r="P1118">
        <v>133.07</v>
      </c>
      <c r="S1118" t="str">
        <f>"RECEITAS COM ENTREGAS (303)"</f>
        <v>RECEITAS COM ENTREGAS (303)</v>
      </c>
      <c r="T1118">
        <v>4079</v>
      </c>
      <c r="U1118">
        <v>3581</v>
      </c>
      <c r="V1118" t="s">
        <v>88</v>
      </c>
    </row>
    <row r="1119" spans="1:22">
      <c r="A1119" t="str">
        <f t="shared" si="394"/>
        <v>29/01/2026</v>
      </c>
      <c r="B1119" t="str">
        <f t="shared" si="397"/>
        <v>ENTRADA</v>
      </c>
      <c r="C1119" t="str">
        <f t="shared" si="398"/>
        <v>NFSE</v>
      </c>
      <c r="D1119" t="str">
        <f>"189"</f>
        <v>189</v>
      </c>
      <c r="E1119" t="str">
        <f t="shared" si="399"/>
        <v>1</v>
      </c>
      <c r="F1119" t="str">
        <f t="shared" si="395"/>
        <v>COM</v>
      </c>
      <c r="G1119" t="str">
        <f>"ULTRA POPULAR  UBA 2 (10214)"</f>
        <v>ULTRA POPULAR  UBA 2 (10214)</v>
      </c>
      <c r="H1119" t="s">
        <v>304</v>
      </c>
      <c r="I1119" t="str">
        <f t="shared" si="393"/>
        <v>28/01/2026</v>
      </c>
      <c r="J1119" t="str">
        <f t="shared" si="396"/>
        <v>26/01/2026</v>
      </c>
      <c r="K1119">
        <v>46051</v>
      </c>
      <c r="N1119">
        <v>303</v>
      </c>
      <c r="O1119" t="s">
        <v>26</v>
      </c>
      <c r="Q1119">
        <v>99.8</v>
      </c>
      <c r="R1119" t="str">
        <f>"ULTRA POPULAR  UBA 2 (10214)"</f>
        <v>ULTRA POPULAR  UBA 2 (10214)</v>
      </c>
      <c r="S1119" t="s">
        <v>27</v>
      </c>
      <c r="T1119">
        <v>4079</v>
      </c>
      <c r="U1119">
        <v>3581</v>
      </c>
      <c r="V1119" t="s">
        <v>88</v>
      </c>
    </row>
    <row r="1120" spans="1:22">
      <c r="A1120" t="str">
        <f t="shared" si="394"/>
        <v>29/01/2026</v>
      </c>
      <c r="B1120" t="str">
        <f t="shared" si="397"/>
        <v>ENTRADA</v>
      </c>
      <c r="C1120" t="str">
        <f t="shared" si="398"/>
        <v>NFSE</v>
      </c>
      <c r="D1120" t="str">
        <f>"189"</f>
        <v>189</v>
      </c>
      <c r="E1120" t="str">
        <f t="shared" si="399"/>
        <v>1</v>
      </c>
      <c r="F1120" t="str">
        <f t="shared" si="395"/>
        <v>COM</v>
      </c>
      <c r="G1120" t="str">
        <f>"ULTRA POPULAR  UBA 2 (10214)"</f>
        <v>ULTRA POPULAR  UBA 2 (10214)</v>
      </c>
      <c r="H1120" t="s">
        <v>304</v>
      </c>
      <c r="I1120" t="str">
        <f t="shared" si="393"/>
        <v>28/01/2026</v>
      </c>
      <c r="J1120" t="str">
        <f t="shared" si="396"/>
        <v>26/01/2026</v>
      </c>
      <c r="K1120">
        <v>46051</v>
      </c>
      <c r="N1120">
        <v>303</v>
      </c>
      <c r="O1120" t="s">
        <v>26</v>
      </c>
      <c r="Q1120">
        <v>33.270000000000003</v>
      </c>
      <c r="R1120" t="str">
        <f>"UBA 1 (10263)"</f>
        <v>UBA 1 (10263)</v>
      </c>
      <c r="S1120" t="s">
        <v>27</v>
      </c>
      <c r="T1120">
        <v>4079</v>
      </c>
      <c r="U1120">
        <v>3581</v>
      </c>
      <c r="V1120" t="s">
        <v>88</v>
      </c>
    </row>
    <row r="1121" spans="1:22">
      <c r="A1121" t="str">
        <f t="shared" si="394"/>
        <v>29/01/2026</v>
      </c>
      <c r="B1121" t="str">
        <f t="shared" si="397"/>
        <v>ENTRADA</v>
      </c>
      <c r="C1121" t="str">
        <f t="shared" si="398"/>
        <v>NFSE</v>
      </c>
      <c r="D1121" t="str">
        <f>"191"</f>
        <v>191</v>
      </c>
      <c r="E1121" t="str">
        <f t="shared" si="399"/>
        <v>1</v>
      </c>
      <c r="F1121" t="str">
        <f t="shared" si="395"/>
        <v>COM</v>
      </c>
      <c r="G1121" t="str">
        <f>"PENSE FARMA 19 (10223)"</f>
        <v>PENSE FARMA 19 (10223)</v>
      </c>
      <c r="H1121" t="str">
        <f>"Serv.Prest. 19/01/2026 a 25/01/2026 - RPS: 2116 - NFSe: 191"</f>
        <v>Serv.Prest. 19/01/2026 a 25/01/2026 - RPS: 2116 - NFSe: 191</v>
      </c>
      <c r="I1121" t="str">
        <f t="shared" si="393"/>
        <v>28/01/2026</v>
      </c>
      <c r="J1121" t="str">
        <f t="shared" si="396"/>
        <v>26/01/2026</v>
      </c>
      <c r="K1121" t="str">
        <f>("29/01/2026")</f>
        <v>29/01/2026</v>
      </c>
      <c r="L1121">
        <v>448.95</v>
      </c>
      <c r="M1121">
        <v>448.95</v>
      </c>
      <c r="N1121">
        <v>303</v>
      </c>
      <c r="O1121" t="str">
        <f>"RECEITAS COM ENTREGAS"</f>
        <v>RECEITAS COM ENTREGAS</v>
      </c>
      <c r="P1121">
        <v>448.95</v>
      </c>
      <c r="S1121" t="str">
        <f>"RECEITAS COM ENTREGAS (303)"</f>
        <v>RECEITAS COM ENTREGAS (303)</v>
      </c>
      <c r="T1121">
        <v>4080</v>
      </c>
      <c r="U1121">
        <v>3583</v>
      </c>
      <c r="V1121" t="s">
        <v>88</v>
      </c>
    </row>
    <row r="1122" spans="1:22">
      <c r="A1122" t="str">
        <f t="shared" si="394"/>
        <v>29/01/2026</v>
      </c>
      <c r="B1122" t="str">
        <f t="shared" si="397"/>
        <v>ENTRADA</v>
      </c>
      <c r="C1122" t="str">
        <f t="shared" si="398"/>
        <v>NFSE</v>
      </c>
      <c r="D1122" t="str">
        <f>"191"</f>
        <v>191</v>
      </c>
      <c r="E1122" t="str">
        <f t="shared" si="399"/>
        <v>1</v>
      </c>
      <c r="F1122" t="str">
        <f t="shared" si="395"/>
        <v>COM</v>
      </c>
      <c r="G1122" t="str">
        <f>"PENSE FARMA 19 (10223)"</f>
        <v>PENSE FARMA 19 (10223)</v>
      </c>
      <c r="H1122" t="s">
        <v>305</v>
      </c>
      <c r="I1122" t="str">
        <f t="shared" si="393"/>
        <v>28/01/2026</v>
      </c>
      <c r="J1122" t="str">
        <f t="shared" si="396"/>
        <v>26/01/2026</v>
      </c>
      <c r="K1122">
        <v>46051</v>
      </c>
      <c r="N1122">
        <v>303</v>
      </c>
      <c r="O1122" t="s">
        <v>26</v>
      </c>
      <c r="Q1122">
        <v>448.95</v>
      </c>
      <c r="R1122" t="str">
        <f>"PENSE FARMA 19 (10223)"</f>
        <v>PENSE FARMA 19 (10223)</v>
      </c>
      <c r="S1122" t="s">
        <v>27</v>
      </c>
      <c r="T1122">
        <v>4080</v>
      </c>
      <c r="U1122">
        <v>3583</v>
      </c>
      <c r="V1122" t="s">
        <v>88</v>
      </c>
    </row>
    <row r="1123" spans="1:22">
      <c r="A1123" t="str">
        <f t="shared" si="394"/>
        <v>29/01/2026</v>
      </c>
      <c r="B1123" t="str">
        <f t="shared" si="397"/>
        <v>ENTRADA</v>
      </c>
      <c r="C1123" t="str">
        <f t="shared" si="398"/>
        <v>NFSE</v>
      </c>
      <c r="D1123" t="str">
        <f>"192"</f>
        <v>192</v>
      </c>
      <c r="E1123" t="str">
        <f t="shared" si="399"/>
        <v>1</v>
      </c>
      <c r="F1123" t="str">
        <f t="shared" si="395"/>
        <v>COM</v>
      </c>
      <c r="G1123" t="str">
        <f>"ENTREFARMA (10164)"</f>
        <v>ENTREFARMA (10164)</v>
      </c>
      <c r="H1123" t="str">
        <f>"Serv.Prest. 19/01/2026 a 25/01/2026 - RPS: 2117 - NFSe: 192"</f>
        <v>Serv.Prest. 19/01/2026 a 25/01/2026 - RPS: 2117 - NFSe: 192</v>
      </c>
      <c r="I1123" t="str">
        <f t="shared" si="393"/>
        <v>28/01/2026</v>
      </c>
      <c r="J1123" t="str">
        <f t="shared" si="396"/>
        <v>26/01/2026</v>
      </c>
      <c r="K1123" t="str">
        <f>("29/01/2026")</f>
        <v>29/01/2026</v>
      </c>
      <c r="L1123">
        <v>1016.17</v>
      </c>
      <c r="M1123">
        <v>1016.17</v>
      </c>
      <c r="N1123">
        <v>303</v>
      </c>
      <c r="O1123" t="str">
        <f>"RECEITAS COM ENTREGAS"</f>
        <v>RECEITAS COM ENTREGAS</v>
      </c>
      <c r="P1123">
        <v>1016.17</v>
      </c>
      <c r="S1123" t="str">
        <f>"RECEITAS COM ENTREGAS (303)"</f>
        <v>RECEITAS COM ENTREGAS (303)</v>
      </c>
      <c r="T1123">
        <v>4081</v>
      </c>
      <c r="U1123">
        <v>3584</v>
      </c>
      <c r="V1123" t="s">
        <v>88</v>
      </c>
    </row>
    <row r="1124" spans="1:22">
      <c r="A1124" t="str">
        <f t="shared" si="394"/>
        <v>29/01/2026</v>
      </c>
      <c r="B1124" t="str">
        <f t="shared" si="397"/>
        <v>ENTRADA</v>
      </c>
      <c r="C1124" t="str">
        <f t="shared" si="398"/>
        <v>NFSE</v>
      </c>
      <c r="D1124" t="str">
        <f>"192"</f>
        <v>192</v>
      </c>
      <c r="E1124" t="str">
        <f t="shared" si="399"/>
        <v>1</v>
      </c>
      <c r="F1124" t="str">
        <f t="shared" si="395"/>
        <v>COM</v>
      </c>
      <c r="G1124" t="str">
        <f>"ENTREFARMA (10164)"</f>
        <v>ENTREFARMA (10164)</v>
      </c>
      <c r="H1124" t="s">
        <v>306</v>
      </c>
      <c r="I1124" t="str">
        <f t="shared" si="393"/>
        <v>28/01/2026</v>
      </c>
      <c r="J1124" t="str">
        <f t="shared" si="396"/>
        <v>26/01/2026</v>
      </c>
      <c r="K1124">
        <v>46051</v>
      </c>
      <c r="N1124">
        <v>303</v>
      </c>
      <c r="O1124" t="s">
        <v>26</v>
      </c>
      <c r="Q1124">
        <v>1016.17</v>
      </c>
      <c r="R1124" t="str">
        <f>"ENTREFARMA (10164)"</f>
        <v>ENTREFARMA (10164)</v>
      </c>
      <c r="S1124" t="s">
        <v>27</v>
      </c>
      <c r="T1124">
        <v>4081</v>
      </c>
      <c r="U1124">
        <v>3584</v>
      </c>
      <c r="V1124" t="s">
        <v>88</v>
      </c>
    </row>
    <row r="1125" spans="1:22">
      <c r="A1125" t="str">
        <f t="shared" si="394"/>
        <v>29/01/2026</v>
      </c>
      <c r="B1125" t="str">
        <f t="shared" si="397"/>
        <v>ENTRADA</v>
      </c>
      <c r="C1125" t="str">
        <f t="shared" si="398"/>
        <v>NFSE</v>
      </c>
      <c r="D1125" t="str">
        <f>"196"</f>
        <v>196</v>
      </c>
      <c r="E1125" t="str">
        <f t="shared" si="399"/>
        <v>1</v>
      </c>
      <c r="F1125" t="str">
        <f t="shared" si="395"/>
        <v>COM</v>
      </c>
      <c r="G1125" t="str">
        <f>"DROGARIA NIQUINHO (10257)"</f>
        <v>DROGARIA NIQUINHO (10257)</v>
      </c>
      <c r="H1125" t="str">
        <f>"Serv.Prest. 19/01/2026 a 25/01/2026 - RPS: 2121 - NFSe: 196"</f>
        <v>Serv.Prest. 19/01/2026 a 25/01/2026 - RPS: 2121 - NFSe: 196</v>
      </c>
      <c r="I1125" t="str">
        <f t="shared" si="393"/>
        <v>28/01/2026</v>
      </c>
      <c r="J1125" t="str">
        <f t="shared" ref="J1125:J1134" si="400">("27/01/2026")</f>
        <v>27/01/2026</v>
      </c>
      <c r="K1125" t="str">
        <f>("29/01/2026")</f>
        <v>29/01/2026</v>
      </c>
      <c r="L1125">
        <v>258.45999999999998</v>
      </c>
      <c r="M1125">
        <v>258.45999999999998</v>
      </c>
      <c r="N1125">
        <v>303</v>
      </c>
      <c r="O1125" t="str">
        <f>"RECEITAS COM ENTREGAS"</f>
        <v>RECEITAS COM ENTREGAS</v>
      </c>
      <c r="P1125">
        <v>258.45999999999998</v>
      </c>
      <c r="S1125" t="str">
        <f>"RECEITAS COM ENTREGAS (303)"</f>
        <v>RECEITAS COM ENTREGAS (303)</v>
      </c>
      <c r="T1125">
        <v>4082</v>
      </c>
      <c r="U1125">
        <v>3588</v>
      </c>
      <c r="V1125" t="s">
        <v>88</v>
      </c>
    </row>
    <row r="1126" spans="1:22">
      <c r="A1126" t="str">
        <f t="shared" si="394"/>
        <v>29/01/2026</v>
      </c>
      <c r="B1126" t="str">
        <f t="shared" si="397"/>
        <v>ENTRADA</v>
      </c>
      <c r="C1126" t="str">
        <f t="shared" si="398"/>
        <v>NFSE</v>
      </c>
      <c r="D1126" t="str">
        <f>"196"</f>
        <v>196</v>
      </c>
      <c r="E1126" t="str">
        <f t="shared" si="399"/>
        <v>1</v>
      </c>
      <c r="F1126" t="str">
        <f t="shared" si="395"/>
        <v>COM</v>
      </c>
      <c r="G1126" t="str">
        <f>"DROGARIA NIQUINHO (10257)"</f>
        <v>DROGARIA NIQUINHO (10257)</v>
      </c>
      <c r="H1126" t="s">
        <v>307</v>
      </c>
      <c r="I1126" t="str">
        <f t="shared" ref="I1126:I1134" si="401">("28/01/2026")</f>
        <v>28/01/2026</v>
      </c>
      <c r="J1126" t="str">
        <f t="shared" si="400"/>
        <v>27/01/2026</v>
      </c>
      <c r="K1126">
        <v>46051</v>
      </c>
      <c r="N1126">
        <v>303</v>
      </c>
      <c r="O1126" t="s">
        <v>26</v>
      </c>
      <c r="Q1126">
        <v>258.45999999999998</v>
      </c>
      <c r="R1126" t="str">
        <f>"DROGARIA NIQUINHO (10257)"</f>
        <v>DROGARIA NIQUINHO (10257)</v>
      </c>
      <c r="S1126" t="s">
        <v>27</v>
      </c>
      <c r="T1126">
        <v>4082</v>
      </c>
      <c r="U1126">
        <v>3588</v>
      </c>
      <c r="V1126" t="s">
        <v>88</v>
      </c>
    </row>
    <row r="1127" spans="1:22">
      <c r="A1127" t="str">
        <f t="shared" si="394"/>
        <v>29/01/2026</v>
      </c>
      <c r="B1127" t="str">
        <f t="shared" si="397"/>
        <v>ENTRADA</v>
      </c>
      <c r="C1127" t="str">
        <f t="shared" si="398"/>
        <v>NFSE</v>
      </c>
      <c r="D1127" t="str">
        <f>"199"</f>
        <v>199</v>
      </c>
      <c r="E1127" t="str">
        <f t="shared" si="399"/>
        <v>1</v>
      </c>
      <c r="F1127" t="str">
        <f t="shared" si="395"/>
        <v>COM</v>
      </c>
      <c r="G1127" t="str">
        <f>"FARMACIA ECONOMIZE (10103)"</f>
        <v>FARMACIA ECONOMIZE (10103)</v>
      </c>
      <c r="H1127" t="str">
        <f>"Serv.Prest. 19/01/2026 a 25/01/2026 - RPS: 2124 - NFSe: 199"</f>
        <v>Serv.Prest. 19/01/2026 a 25/01/2026 - RPS: 2124 - NFSe: 199</v>
      </c>
      <c r="I1127" t="str">
        <f t="shared" si="401"/>
        <v>28/01/2026</v>
      </c>
      <c r="J1127" t="str">
        <f t="shared" si="400"/>
        <v>27/01/2026</v>
      </c>
      <c r="K1127" t="str">
        <f>("29/01/2026")</f>
        <v>29/01/2026</v>
      </c>
      <c r="L1127">
        <v>24.42</v>
      </c>
      <c r="M1127">
        <v>24.42</v>
      </c>
      <c r="N1127">
        <v>303</v>
      </c>
      <c r="O1127" t="str">
        <f>"RECEITAS COM ENTREGAS"</f>
        <v>RECEITAS COM ENTREGAS</v>
      </c>
      <c r="P1127">
        <v>24.42</v>
      </c>
      <c r="S1127" t="str">
        <f>"RECEITAS COM ENTREGAS (303)"</f>
        <v>RECEITAS COM ENTREGAS (303)</v>
      </c>
      <c r="T1127">
        <v>4083</v>
      </c>
      <c r="U1127">
        <v>3591</v>
      </c>
      <c r="V1127" t="s">
        <v>88</v>
      </c>
    </row>
    <row r="1128" spans="1:22">
      <c r="A1128" t="str">
        <f t="shared" si="394"/>
        <v>29/01/2026</v>
      </c>
      <c r="B1128" t="str">
        <f t="shared" si="397"/>
        <v>ENTRADA</v>
      </c>
      <c r="C1128" t="str">
        <f t="shared" si="398"/>
        <v>NFSE</v>
      </c>
      <c r="D1128" t="str">
        <f>"199"</f>
        <v>199</v>
      </c>
      <c r="E1128" t="str">
        <f t="shared" si="399"/>
        <v>1</v>
      </c>
      <c r="F1128" t="str">
        <f t="shared" si="395"/>
        <v>COM</v>
      </c>
      <c r="G1128" t="str">
        <f>"FARMACIA ECONOMIZE (10103)"</f>
        <v>FARMACIA ECONOMIZE (10103)</v>
      </c>
      <c r="H1128" t="s">
        <v>308</v>
      </c>
      <c r="I1128" t="str">
        <f t="shared" si="401"/>
        <v>28/01/2026</v>
      </c>
      <c r="J1128" t="str">
        <f t="shared" si="400"/>
        <v>27/01/2026</v>
      </c>
      <c r="K1128">
        <v>46051</v>
      </c>
      <c r="N1128">
        <v>303</v>
      </c>
      <c r="O1128" t="s">
        <v>26</v>
      </c>
      <c r="Q1128">
        <v>24.42</v>
      </c>
      <c r="R1128" t="str">
        <f>"FARMACIA ECONOMIZE (10103)"</f>
        <v>FARMACIA ECONOMIZE (10103)</v>
      </c>
      <c r="S1128" t="s">
        <v>27</v>
      </c>
      <c r="T1128">
        <v>4083</v>
      </c>
      <c r="U1128">
        <v>3591</v>
      </c>
      <c r="V1128" t="s">
        <v>88</v>
      </c>
    </row>
    <row r="1129" spans="1:22">
      <c r="A1129" t="str">
        <f t="shared" si="394"/>
        <v>29/01/2026</v>
      </c>
      <c r="B1129" t="str">
        <f t="shared" si="397"/>
        <v>ENTRADA</v>
      </c>
      <c r="C1129" t="str">
        <f t="shared" si="398"/>
        <v>NFSE</v>
      </c>
      <c r="D1129" t="str">
        <f>"200"</f>
        <v>200</v>
      </c>
      <c r="E1129" t="str">
        <f t="shared" si="399"/>
        <v>1</v>
      </c>
      <c r="F1129" t="str">
        <f t="shared" si="395"/>
        <v>COM</v>
      </c>
      <c r="G1129" t="str">
        <f>"DELTA LOJA 2 (10123)"</f>
        <v>DELTA LOJA 2 (10123)</v>
      </c>
      <c r="H1129" t="str">
        <f>"Serv.Prest. 19/01/2026 a 25/01/2026 - RPS: 2125 - NFSe: 200"</f>
        <v>Serv.Prest. 19/01/2026 a 25/01/2026 - RPS: 2125 - NFSe: 200</v>
      </c>
      <c r="I1129" t="str">
        <f t="shared" si="401"/>
        <v>28/01/2026</v>
      </c>
      <c r="J1129" t="str">
        <f t="shared" si="400"/>
        <v>27/01/2026</v>
      </c>
      <c r="K1129" t="str">
        <f>("29/01/2026")</f>
        <v>29/01/2026</v>
      </c>
      <c r="L1129">
        <v>822.15</v>
      </c>
      <c r="M1129">
        <v>822.15</v>
      </c>
      <c r="N1129">
        <v>303</v>
      </c>
      <c r="O1129" t="str">
        <f>"RECEITAS COM ENTREGAS"</f>
        <v>RECEITAS COM ENTREGAS</v>
      </c>
      <c r="P1129">
        <v>822.15</v>
      </c>
      <c r="S1129" t="str">
        <f>"RECEITAS COM ENTREGAS (303)"</f>
        <v>RECEITAS COM ENTREGAS (303)</v>
      </c>
      <c r="T1129">
        <v>4084</v>
      </c>
      <c r="U1129">
        <v>3592</v>
      </c>
      <c r="V1129" t="s">
        <v>88</v>
      </c>
    </row>
    <row r="1130" spans="1:22">
      <c r="A1130" t="str">
        <f t="shared" si="394"/>
        <v>29/01/2026</v>
      </c>
      <c r="B1130" t="str">
        <f t="shared" si="397"/>
        <v>ENTRADA</v>
      </c>
      <c r="C1130" t="str">
        <f t="shared" si="398"/>
        <v>NFSE</v>
      </c>
      <c r="D1130" t="str">
        <f>"200"</f>
        <v>200</v>
      </c>
      <c r="E1130" t="str">
        <f t="shared" si="399"/>
        <v>1</v>
      </c>
      <c r="F1130" t="str">
        <f t="shared" si="395"/>
        <v>COM</v>
      </c>
      <c r="G1130" t="str">
        <f>"DELTA LOJA 2 (10123)"</f>
        <v>DELTA LOJA 2 (10123)</v>
      </c>
      <c r="H1130" t="s">
        <v>309</v>
      </c>
      <c r="I1130" t="str">
        <f t="shared" si="401"/>
        <v>28/01/2026</v>
      </c>
      <c r="J1130" t="str">
        <f t="shared" si="400"/>
        <v>27/01/2026</v>
      </c>
      <c r="K1130">
        <v>46051</v>
      </c>
      <c r="N1130">
        <v>303</v>
      </c>
      <c r="O1130" t="s">
        <v>26</v>
      </c>
      <c r="Q1130">
        <v>822.15</v>
      </c>
      <c r="R1130" t="str">
        <f>"DELTA LOJA 2 (10123)"</f>
        <v>DELTA LOJA 2 (10123)</v>
      </c>
      <c r="S1130" t="s">
        <v>27</v>
      </c>
      <c r="T1130">
        <v>4084</v>
      </c>
      <c r="U1130">
        <v>3592</v>
      </c>
      <c r="V1130" t="s">
        <v>88</v>
      </c>
    </row>
    <row r="1131" spans="1:22">
      <c r="A1131" t="str">
        <f t="shared" si="394"/>
        <v>29/01/2026</v>
      </c>
      <c r="B1131" t="str">
        <f t="shared" si="397"/>
        <v>ENTRADA</v>
      </c>
      <c r="C1131" t="str">
        <f t="shared" si="398"/>
        <v>NFSE</v>
      </c>
      <c r="D1131" t="str">
        <f>"201"</f>
        <v>201</v>
      </c>
      <c r="E1131" t="str">
        <f t="shared" si="399"/>
        <v>1</v>
      </c>
      <c r="F1131" t="str">
        <f t="shared" si="395"/>
        <v>COM</v>
      </c>
      <c r="G1131" t="str">
        <f>"DROGA ELIDA (10121)"</f>
        <v>DROGA ELIDA (10121)</v>
      </c>
      <c r="H1131" t="str">
        <f>"Serv.Prest. 19/01/2026 a 25/01/2026 - RPS: 2126 - NFSe: 201"</f>
        <v>Serv.Prest. 19/01/2026 a 25/01/2026 - RPS: 2126 - NFSe: 201</v>
      </c>
      <c r="I1131" t="str">
        <f t="shared" si="401"/>
        <v>28/01/2026</v>
      </c>
      <c r="J1131" t="str">
        <f t="shared" si="400"/>
        <v>27/01/2026</v>
      </c>
      <c r="K1131" t="str">
        <f>("29/01/2026")</f>
        <v>29/01/2026</v>
      </c>
      <c r="L1131">
        <v>328.5</v>
      </c>
      <c r="M1131">
        <v>328.5</v>
      </c>
      <c r="N1131">
        <v>303</v>
      </c>
      <c r="O1131" t="str">
        <f>"RECEITAS COM ENTREGAS"</f>
        <v>RECEITAS COM ENTREGAS</v>
      </c>
      <c r="P1131">
        <v>328.5</v>
      </c>
      <c r="S1131" t="str">
        <f>"RECEITAS COM ENTREGAS (303)"</f>
        <v>RECEITAS COM ENTREGAS (303)</v>
      </c>
      <c r="T1131">
        <v>4085</v>
      </c>
      <c r="U1131">
        <v>3593</v>
      </c>
      <c r="V1131" t="s">
        <v>88</v>
      </c>
    </row>
    <row r="1132" spans="1:22">
      <c r="A1132" t="str">
        <f t="shared" si="394"/>
        <v>29/01/2026</v>
      </c>
      <c r="B1132" t="str">
        <f t="shared" si="397"/>
        <v>ENTRADA</v>
      </c>
      <c r="C1132" t="str">
        <f t="shared" si="398"/>
        <v>NFSE</v>
      </c>
      <c r="D1132" t="str">
        <f>"201"</f>
        <v>201</v>
      </c>
      <c r="E1132" t="str">
        <f t="shared" si="399"/>
        <v>1</v>
      </c>
      <c r="F1132" t="str">
        <f t="shared" si="395"/>
        <v>COM</v>
      </c>
      <c r="G1132" t="str">
        <f>"DROGA ELIDA (10121)"</f>
        <v>DROGA ELIDA (10121)</v>
      </c>
      <c r="H1132" t="s">
        <v>310</v>
      </c>
      <c r="I1132" t="str">
        <f t="shared" si="401"/>
        <v>28/01/2026</v>
      </c>
      <c r="J1132" t="str">
        <f t="shared" si="400"/>
        <v>27/01/2026</v>
      </c>
      <c r="K1132">
        <v>46051</v>
      </c>
      <c r="N1132">
        <v>303</v>
      </c>
      <c r="O1132" t="s">
        <v>26</v>
      </c>
      <c r="Q1132">
        <v>328.5</v>
      </c>
      <c r="R1132" t="str">
        <f>"DROGA ELIDA (10121)"</f>
        <v>DROGA ELIDA (10121)</v>
      </c>
      <c r="S1132" t="s">
        <v>27</v>
      </c>
      <c r="T1132">
        <v>4085</v>
      </c>
      <c r="U1132">
        <v>3593</v>
      </c>
      <c r="V1132" t="s">
        <v>88</v>
      </c>
    </row>
    <row r="1133" spans="1:22">
      <c r="A1133" t="str">
        <f t="shared" si="394"/>
        <v>29/01/2026</v>
      </c>
      <c r="B1133" t="str">
        <f t="shared" si="397"/>
        <v>ENTRADA</v>
      </c>
      <c r="C1133" t="str">
        <f t="shared" si="398"/>
        <v>NFSE</v>
      </c>
      <c r="D1133" t="str">
        <f>"203"</f>
        <v>203</v>
      </c>
      <c r="E1133" t="str">
        <f t="shared" si="399"/>
        <v>1</v>
      </c>
      <c r="F1133" t="str">
        <f t="shared" si="395"/>
        <v>COM</v>
      </c>
      <c r="G1133" t="str">
        <f>"FARMALYRA (10272)"</f>
        <v>FARMALYRA (10272)</v>
      </c>
      <c r="H1133" t="str">
        <f>"Serv.Prest. 19/01/2026 a 25/01/2026 - RPS: 2128 - NFSe: 203"</f>
        <v>Serv.Prest. 19/01/2026 a 25/01/2026 - RPS: 2128 - NFSe: 203</v>
      </c>
      <c r="I1133" t="str">
        <f t="shared" si="401"/>
        <v>28/01/2026</v>
      </c>
      <c r="J1133" t="str">
        <f t="shared" si="400"/>
        <v>27/01/2026</v>
      </c>
      <c r="K1133" t="str">
        <f>("29/01/2026")</f>
        <v>29/01/2026</v>
      </c>
      <c r="L1133">
        <v>299.69</v>
      </c>
      <c r="M1133">
        <v>299.69</v>
      </c>
      <c r="N1133">
        <v>303</v>
      </c>
      <c r="O1133" t="str">
        <f>"RECEITAS COM ENTREGAS"</f>
        <v>RECEITAS COM ENTREGAS</v>
      </c>
      <c r="P1133">
        <v>299.69</v>
      </c>
      <c r="S1133" t="str">
        <f>"RECEITAS COM ENTREGAS (303)"</f>
        <v>RECEITAS COM ENTREGAS (303)</v>
      </c>
      <c r="T1133">
        <v>4086</v>
      </c>
      <c r="U1133">
        <v>3596</v>
      </c>
      <c r="V1133" t="s">
        <v>88</v>
      </c>
    </row>
    <row r="1134" spans="1:22">
      <c r="A1134" t="str">
        <f t="shared" si="394"/>
        <v>29/01/2026</v>
      </c>
      <c r="B1134" t="str">
        <f t="shared" si="397"/>
        <v>ENTRADA</v>
      </c>
      <c r="C1134" t="str">
        <f t="shared" si="398"/>
        <v>NFSE</v>
      </c>
      <c r="D1134" t="str">
        <f>"203"</f>
        <v>203</v>
      </c>
      <c r="E1134" t="str">
        <f t="shared" si="399"/>
        <v>1</v>
      </c>
      <c r="F1134" t="str">
        <f t="shared" si="395"/>
        <v>COM</v>
      </c>
      <c r="G1134" t="str">
        <f>"FARMALYRA (10272)"</f>
        <v>FARMALYRA (10272)</v>
      </c>
      <c r="H1134" t="s">
        <v>311</v>
      </c>
      <c r="I1134" t="str">
        <f t="shared" si="401"/>
        <v>28/01/2026</v>
      </c>
      <c r="J1134" t="str">
        <f t="shared" si="400"/>
        <v>27/01/2026</v>
      </c>
      <c r="K1134">
        <v>46051</v>
      </c>
      <c r="N1134">
        <v>303</v>
      </c>
      <c r="O1134" t="s">
        <v>26</v>
      </c>
      <c r="Q1134">
        <v>299.69</v>
      </c>
      <c r="R1134" t="str">
        <f>"FARMALYRA (10272)"</f>
        <v>FARMALYRA (10272)</v>
      </c>
      <c r="S1134" t="s">
        <v>27</v>
      </c>
      <c r="T1134">
        <v>4086</v>
      </c>
      <c r="U1134">
        <v>3596</v>
      </c>
      <c r="V1134" t="s">
        <v>88</v>
      </c>
    </row>
    <row r="1135" spans="1:22">
      <c r="A1135" t="str">
        <f t="shared" si="394"/>
        <v>29/01/2026</v>
      </c>
      <c r="B1135" t="str">
        <f>"SAÍDA"</f>
        <v>SAÍDA</v>
      </c>
      <c r="C1135" t="str">
        <f>""</f>
        <v/>
      </c>
      <c r="D1135" t="str">
        <f>""</f>
        <v/>
      </c>
      <c r="F1135" t="str">
        <f>"CXA"</f>
        <v>CXA</v>
      </c>
      <c r="G1135" t="str">
        <f>"PAGUE MENOS 321 (10295)"</f>
        <v>PAGUE MENOS 321 (10295)</v>
      </c>
      <c r="H1135" t="str">
        <f>"DESPESA COM VIAGEM PARA CURITIBA - SARA GABRIELLE SANTOS SILVA"</f>
        <v>DESPESA COM VIAGEM PARA CURITIBA - SARA GABRIELLE SANTOS SILVA</v>
      </c>
      <c r="I1135" t="str">
        <f>("29/01/2026")</f>
        <v>29/01/2026</v>
      </c>
      <c r="J1135" t="str">
        <f>("29/01/2026")</f>
        <v>29/01/2026</v>
      </c>
      <c r="K1135" t="str">
        <f>("29/01/2026")</f>
        <v>29/01/2026</v>
      </c>
      <c r="L1135">
        <v>1500</v>
      </c>
      <c r="M1135">
        <v>1500</v>
      </c>
      <c r="N1135">
        <v>128</v>
      </c>
      <c r="O1135" t="str">
        <f>"DESPESAS COM VIAGENS"</f>
        <v>DESPESAS COM VIAGENS</v>
      </c>
      <c r="P1135">
        <v>1500</v>
      </c>
      <c r="S1135" t="str">
        <f>"BANCO CORA (102)"</f>
        <v>BANCO CORA (102)</v>
      </c>
      <c r="T1135">
        <v>4194</v>
      </c>
      <c r="U1135">
        <v>0</v>
      </c>
      <c r="V1135" t="s">
        <v>312</v>
      </c>
    </row>
    <row r="1136" spans="1:22">
      <c r="A1136" t="str">
        <f t="shared" ref="A1136:A1145" si="402">("30/01/2026")</f>
        <v>30/01/2026</v>
      </c>
      <c r="B1136" t="str">
        <f>"ENTRADA"</f>
        <v>ENTRADA</v>
      </c>
      <c r="C1136" t="str">
        <f>"TRANSFERENCIA"</f>
        <v>TRANSFERENCIA</v>
      </c>
      <c r="D1136" t="str">
        <f>""</f>
        <v/>
      </c>
      <c r="F1136" t="str">
        <f>"TRF"</f>
        <v>TRF</v>
      </c>
      <c r="G1136" t="str">
        <f>""</f>
        <v/>
      </c>
      <c r="H1136" t="str">
        <f>"DEVOLUCAO APOIO DE CAIXA COOPERATIVA (120-&gt;102)"</f>
        <v>DEVOLUCAO APOIO DE CAIXA COOPERATIVA (120-&gt;102)</v>
      </c>
      <c r="I1136" t="str">
        <f t="shared" ref="I1136:K1137" si="403">("30/01/2026")</f>
        <v>30/01/2026</v>
      </c>
      <c r="J1136" t="str">
        <f t="shared" si="403"/>
        <v>30/01/2026</v>
      </c>
      <c r="K1136" t="str">
        <f t="shared" si="403"/>
        <v>30/01/2026</v>
      </c>
      <c r="N1136">
        <v>102</v>
      </c>
      <c r="O1136" t="str">
        <f>"BANCO CORA"</f>
        <v>BANCO CORA</v>
      </c>
      <c r="P1136">
        <v>25000</v>
      </c>
      <c r="S1136" t="str">
        <f>"BANCO CORA (102)"</f>
        <v>BANCO CORA (102)</v>
      </c>
      <c r="T1136">
        <v>4188</v>
      </c>
      <c r="U1136">
        <v>0</v>
      </c>
      <c r="V1136" t="s">
        <v>22</v>
      </c>
    </row>
    <row r="1137" spans="1:22">
      <c r="A1137" t="str">
        <f t="shared" si="402"/>
        <v>30/01/2026</v>
      </c>
      <c r="B1137" t="str">
        <f>"SAÍDA"</f>
        <v>SAÍDA</v>
      </c>
      <c r="C1137" t="str">
        <f>"TRANSFERENCIA"</f>
        <v>TRANSFERENCIA</v>
      </c>
      <c r="D1137" t="str">
        <f>""</f>
        <v/>
      </c>
      <c r="F1137" t="str">
        <f>"TRF"</f>
        <v>TRF</v>
      </c>
      <c r="G1137" t="str">
        <f>""</f>
        <v/>
      </c>
      <c r="H1137" t="str">
        <f>"DEVOLUCAO APOIO DE CAIXA COOPERATIVA (120-&gt;102)"</f>
        <v>DEVOLUCAO APOIO DE CAIXA COOPERATIVA (120-&gt;102)</v>
      </c>
      <c r="I1137" t="str">
        <f t="shared" si="403"/>
        <v>30/01/2026</v>
      </c>
      <c r="J1137" t="str">
        <f t="shared" si="403"/>
        <v>30/01/2026</v>
      </c>
      <c r="K1137" t="str">
        <f t="shared" si="403"/>
        <v>30/01/2026</v>
      </c>
      <c r="N1137">
        <v>120</v>
      </c>
      <c r="O1137" t="str">
        <f>"CAIXA - COOPERATIVA"</f>
        <v>CAIXA - COOPERATIVA</v>
      </c>
      <c r="S1137" t="str">
        <f>"CAIXA - COOPERATIVA (120)"</f>
        <v>CAIXA - COOPERATIVA (120)</v>
      </c>
      <c r="T1137">
        <v>4188</v>
      </c>
      <c r="U1137">
        <v>0</v>
      </c>
      <c r="V1137" t="s">
        <v>56</v>
      </c>
    </row>
    <row r="1138" spans="1:22">
      <c r="A1138" t="str">
        <f t="shared" si="402"/>
        <v>30/01/2026</v>
      </c>
      <c r="B1138" t="str">
        <f t="shared" ref="B1138:B1145" si="404">"ENTRADA"</f>
        <v>ENTRADA</v>
      </c>
      <c r="C1138" t="str">
        <f t="shared" ref="C1138:C1145" si="405">"NFSE"</f>
        <v>NFSE</v>
      </c>
      <c r="D1138" t="str">
        <f>"178"</f>
        <v>178</v>
      </c>
      <c r="E1138" t="str">
        <f t="shared" ref="E1138:E1145" si="406">"1"</f>
        <v>1</v>
      </c>
      <c r="F1138" t="str">
        <f t="shared" ref="F1138:F1145" si="407">"COM"</f>
        <v>COM</v>
      </c>
      <c r="G1138" t="str">
        <f>"BRASIL FARMA (10173)"</f>
        <v>BRASIL FARMA (10173)</v>
      </c>
      <c r="H1138" t="str">
        <f>"Serv.Prest. 19/01/2026 a 25/01/2026 - RPS: 2103 - NFSe: 178"</f>
        <v>Serv.Prest. 19/01/2026 a 25/01/2026 - RPS: 2103 - NFSe: 178</v>
      </c>
      <c r="I1138" t="str">
        <f>("28/01/2026")</f>
        <v>28/01/2026</v>
      </c>
      <c r="J1138" t="str">
        <f t="shared" ref="J1138:J1143" si="408">("26/01/2026")</f>
        <v>26/01/2026</v>
      </c>
      <c r="K1138" t="str">
        <f>("30/01/2026")</f>
        <v>30/01/2026</v>
      </c>
      <c r="L1138">
        <v>300.89999999999998</v>
      </c>
      <c r="M1138">
        <v>309.91000000000003</v>
      </c>
      <c r="N1138">
        <v>303</v>
      </c>
      <c r="O1138" t="str">
        <f>"RECEITAS COM ENTREGAS"</f>
        <v>RECEITAS COM ENTREGAS</v>
      </c>
      <c r="P1138">
        <v>309.91000000000003</v>
      </c>
      <c r="S1138" t="str">
        <f>"RECEITAS COM ENTREGAS (303)"</f>
        <v>RECEITAS COM ENTREGAS (303)</v>
      </c>
      <c r="T1138">
        <v>4223</v>
      </c>
      <c r="U1138">
        <v>3570</v>
      </c>
      <c r="V1138" t="s">
        <v>88</v>
      </c>
    </row>
    <row r="1139" spans="1:22">
      <c r="A1139" t="str">
        <f t="shared" si="402"/>
        <v>30/01/2026</v>
      </c>
      <c r="B1139" t="str">
        <f t="shared" si="404"/>
        <v>ENTRADA</v>
      </c>
      <c r="C1139" t="str">
        <f t="shared" si="405"/>
        <v>NFSE</v>
      </c>
      <c r="D1139" t="str">
        <f>"178"</f>
        <v>178</v>
      </c>
      <c r="E1139" t="str">
        <f t="shared" si="406"/>
        <v>1</v>
      </c>
      <c r="F1139" t="str">
        <f t="shared" si="407"/>
        <v>COM</v>
      </c>
      <c r="G1139" t="str">
        <f>"BRASIL FARMA (10173)"</f>
        <v>BRASIL FARMA (10173)</v>
      </c>
      <c r="H1139" t="s">
        <v>313</v>
      </c>
      <c r="I1139" t="str">
        <f>("28/01/2026")</f>
        <v>28/01/2026</v>
      </c>
      <c r="J1139" t="str">
        <f t="shared" si="408"/>
        <v>26/01/2026</v>
      </c>
      <c r="K1139">
        <v>46052</v>
      </c>
      <c r="N1139">
        <v>303</v>
      </c>
      <c r="O1139" t="s">
        <v>26</v>
      </c>
      <c r="Q1139">
        <v>309.91000000000003</v>
      </c>
      <c r="R1139" t="str">
        <f>"BRASIL FARMA (10173)"</f>
        <v>BRASIL FARMA (10173)</v>
      </c>
      <c r="S1139" t="s">
        <v>27</v>
      </c>
      <c r="T1139">
        <v>4223</v>
      </c>
      <c r="U1139">
        <v>3570</v>
      </c>
      <c r="V1139" t="s">
        <v>88</v>
      </c>
    </row>
    <row r="1140" spans="1:22">
      <c r="A1140" t="str">
        <f t="shared" si="402"/>
        <v>30/01/2026</v>
      </c>
      <c r="B1140" t="str">
        <f t="shared" si="404"/>
        <v>ENTRADA</v>
      </c>
      <c r="C1140" t="str">
        <f t="shared" si="405"/>
        <v>NFSE</v>
      </c>
      <c r="D1140" t="str">
        <f>"194"</f>
        <v>194</v>
      </c>
      <c r="E1140" t="str">
        <f t="shared" si="406"/>
        <v>1</v>
      </c>
      <c r="F1140" t="str">
        <f t="shared" si="407"/>
        <v>COM</v>
      </c>
      <c r="G1140" t="str">
        <f>"DROGARIA POUPA MINAS (DOIS AMIGOS) 5 (10140)"</f>
        <v>DROGARIA POUPA MINAS (DOIS AMIGOS) 5 (10140)</v>
      </c>
      <c r="H1140" t="str">
        <f>"Serv.Prest. 19/01/2026 a 25/01/2026 - RPS: 2119 - NFSe: 194"</f>
        <v>Serv.Prest. 19/01/2026 a 25/01/2026 - RPS: 2119 - NFSe: 194</v>
      </c>
      <c r="I1140" t="str">
        <f t="shared" ref="I1140:I1145" si="409">("29/01/2026")</f>
        <v>29/01/2026</v>
      </c>
      <c r="J1140" t="str">
        <f t="shared" si="408"/>
        <v>26/01/2026</v>
      </c>
      <c r="K1140" t="str">
        <f>("30/01/2026")</f>
        <v>30/01/2026</v>
      </c>
      <c r="L1140">
        <v>810.13</v>
      </c>
      <c r="M1140">
        <v>810.13</v>
      </c>
      <c r="N1140">
        <v>303</v>
      </c>
      <c r="O1140" t="str">
        <f>"RECEITAS COM ENTREGAS"</f>
        <v>RECEITAS COM ENTREGAS</v>
      </c>
      <c r="P1140">
        <v>810.13</v>
      </c>
      <c r="S1140" t="str">
        <f>"RECEITAS COM ENTREGAS (303)"</f>
        <v>RECEITAS COM ENTREGAS (303)</v>
      </c>
      <c r="T1140">
        <v>4224</v>
      </c>
      <c r="U1140">
        <v>3586</v>
      </c>
      <c r="V1140" t="s">
        <v>88</v>
      </c>
    </row>
    <row r="1141" spans="1:22">
      <c r="A1141" t="str">
        <f t="shared" si="402"/>
        <v>30/01/2026</v>
      </c>
      <c r="B1141" t="str">
        <f t="shared" si="404"/>
        <v>ENTRADA</v>
      </c>
      <c r="C1141" t="str">
        <f t="shared" si="405"/>
        <v>NFSE</v>
      </c>
      <c r="D1141" t="str">
        <f>"194"</f>
        <v>194</v>
      </c>
      <c r="E1141" t="str">
        <f t="shared" si="406"/>
        <v>1</v>
      </c>
      <c r="F1141" t="str">
        <f t="shared" si="407"/>
        <v>COM</v>
      </c>
      <c r="G1141" t="str">
        <f>"DROGARIA POUPA MINAS (DOIS AMIGOS) 5 (10140)"</f>
        <v>DROGARIA POUPA MINAS (DOIS AMIGOS) 5 (10140)</v>
      </c>
      <c r="H1141" t="s">
        <v>314</v>
      </c>
      <c r="I1141" t="str">
        <f t="shared" si="409"/>
        <v>29/01/2026</v>
      </c>
      <c r="J1141" t="str">
        <f t="shared" si="408"/>
        <v>26/01/2026</v>
      </c>
      <c r="K1141">
        <v>46052</v>
      </c>
      <c r="N1141">
        <v>303</v>
      </c>
      <c r="O1141" t="s">
        <v>26</v>
      </c>
      <c r="Q1141">
        <v>810.13</v>
      </c>
      <c r="R1141" t="str">
        <f>"DROGARIA POUPA MINAS (ULTRAMINAS) 1 (10181)"</f>
        <v>DROGARIA POUPA MINAS (ULTRAMINAS) 1 (10181)</v>
      </c>
      <c r="S1141" t="s">
        <v>27</v>
      </c>
      <c r="T1141">
        <v>4224</v>
      </c>
      <c r="U1141">
        <v>3586</v>
      </c>
      <c r="V1141" t="s">
        <v>88</v>
      </c>
    </row>
    <row r="1142" spans="1:22">
      <c r="A1142" t="str">
        <f t="shared" si="402"/>
        <v>30/01/2026</v>
      </c>
      <c r="B1142" t="str">
        <f t="shared" si="404"/>
        <v>ENTRADA</v>
      </c>
      <c r="C1142" t="str">
        <f t="shared" si="405"/>
        <v>NFSE</v>
      </c>
      <c r="D1142" t="str">
        <f>"193"</f>
        <v>193</v>
      </c>
      <c r="E1142" t="str">
        <f t="shared" si="406"/>
        <v>1</v>
      </c>
      <c r="F1142" t="str">
        <f t="shared" si="407"/>
        <v>COM</v>
      </c>
      <c r="G1142" t="str">
        <f>"DROGARIA POUPA MINAS (ULTRAMINAS) 3 (10129)"</f>
        <v>DROGARIA POUPA MINAS (ULTRAMINAS) 3 (10129)</v>
      </c>
      <c r="H1142" t="str">
        <f>"Serv.Prest. 19/01/2026 a 25/01/2026 - RPS: 2118 - NFSe: 193"</f>
        <v>Serv.Prest. 19/01/2026 a 25/01/2026 - RPS: 2118 - NFSe: 193</v>
      </c>
      <c r="I1142" t="str">
        <f t="shared" si="409"/>
        <v>29/01/2026</v>
      </c>
      <c r="J1142" t="str">
        <f t="shared" si="408"/>
        <v>26/01/2026</v>
      </c>
      <c r="K1142" t="str">
        <f>("30/01/2026")</f>
        <v>30/01/2026</v>
      </c>
      <c r="L1142">
        <v>171.6</v>
      </c>
      <c r="M1142">
        <v>171.6</v>
      </c>
      <c r="N1142">
        <v>303</v>
      </c>
      <c r="O1142" t="str">
        <f>"RECEITAS COM ENTREGAS"</f>
        <v>RECEITAS COM ENTREGAS</v>
      </c>
      <c r="P1142">
        <v>171.6</v>
      </c>
      <c r="S1142" t="str">
        <f>"RECEITAS COM ENTREGAS (303)"</f>
        <v>RECEITAS COM ENTREGAS (303)</v>
      </c>
      <c r="T1142">
        <v>4225</v>
      </c>
      <c r="U1142">
        <v>3585</v>
      </c>
      <c r="V1142" t="s">
        <v>88</v>
      </c>
    </row>
    <row r="1143" spans="1:22">
      <c r="A1143" t="str">
        <f t="shared" si="402"/>
        <v>30/01/2026</v>
      </c>
      <c r="B1143" t="str">
        <f t="shared" si="404"/>
        <v>ENTRADA</v>
      </c>
      <c r="C1143" t="str">
        <f t="shared" si="405"/>
        <v>NFSE</v>
      </c>
      <c r="D1143" t="str">
        <f>"193"</f>
        <v>193</v>
      </c>
      <c r="E1143" t="str">
        <f t="shared" si="406"/>
        <v>1</v>
      </c>
      <c r="F1143" t="str">
        <f t="shared" si="407"/>
        <v>COM</v>
      </c>
      <c r="G1143" t="str">
        <f>"DROGARIA POUPA MINAS (ULTRAMINAS) 3 (10129)"</f>
        <v>DROGARIA POUPA MINAS (ULTRAMINAS) 3 (10129)</v>
      </c>
      <c r="H1143" t="s">
        <v>315</v>
      </c>
      <c r="I1143" t="str">
        <f t="shared" si="409"/>
        <v>29/01/2026</v>
      </c>
      <c r="J1143" t="str">
        <f t="shared" si="408"/>
        <v>26/01/2026</v>
      </c>
      <c r="K1143">
        <v>46052</v>
      </c>
      <c r="N1143">
        <v>303</v>
      </c>
      <c r="O1143" t="s">
        <v>26</v>
      </c>
      <c r="Q1143">
        <v>171.6</v>
      </c>
      <c r="R1143" t="str">
        <f>"DROGARIA POUPA MINAS (ULTRAMINAS) 3 (10129)"</f>
        <v>DROGARIA POUPA MINAS (ULTRAMINAS) 3 (10129)</v>
      </c>
      <c r="S1143" t="s">
        <v>27</v>
      </c>
      <c r="T1143">
        <v>4225</v>
      </c>
      <c r="U1143">
        <v>3585</v>
      </c>
      <c r="V1143" t="s">
        <v>88</v>
      </c>
    </row>
    <row r="1144" spans="1:22">
      <c r="A1144" t="str">
        <f t="shared" si="402"/>
        <v>30/01/2026</v>
      </c>
      <c r="B1144" t="str">
        <f t="shared" si="404"/>
        <v>ENTRADA</v>
      </c>
      <c r="C1144" t="str">
        <f t="shared" si="405"/>
        <v>NFSE</v>
      </c>
      <c r="D1144" t="str">
        <f>"202"</f>
        <v>202</v>
      </c>
      <c r="E1144" t="str">
        <f t="shared" si="406"/>
        <v>1</v>
      </c>
      <c r="F1144" t="str">
        <f t="shared" si="407"/>
        <v>COM</v>
      </c>
      <c r="G1144" t="str">
        <f>"PENSE FARMA 22 (10198)"</f>
        <v>PENSE FARMA 22 (10198)</v>
      </c>
      <c r="H1144" t="str">
        <f>"Serv.Prest. 19/01/2026 a 25/01/2026 - RPS: 2127 - NFSe: 202"</f>
        <v>Serv.Prest. 19/01/2026 a 25/01/2026 - RPS: 2127 - NFSe: 202</v>
      </c>
      <c r="I1144" t="str">
        <f t="shared" si="409"/>
        <v>29/01/2026</v>
      </c>
      <c r="J1144" t="str">
        <f>("27/01/2026")</f>
        <v>27/01/2026</v>
      </c>
      <c r="K1144" t="str">
        <f>("30/01/2026")</f>
        <v>30/01/2026</v>
      </c>
      <c r="L1144">
        <v>413.11</v>
      </c>
      <c r="M1144">
        <v>413.11</v>
      </c>
      <c r="N1144">
        <v>303</v>
      </c>
      <c r="O1144" t="str">
        <f>"RECEITAS COM ENTREGAS"</f>
        <v>RECEITAS COM ENTREGAS</v>
      </c>
      <c r="P1144">
        <v>413.11</v>
      </c>
      <c r="S1144" t="str">
        <f>"RECEITAS COM ENTREGAS (303)"</f>
        <v>RECEITAS COM ENTREGAS (303)</v>
      </c>
      <c r="T1144">
        <v>4226</v>
      </c>
      <c r="U1144">
        <v>3595</v>
      </c>
      <c r="V1144" t="s">
        <v>88</v>
      </c>
    </row>
    <row r="1145" spans="1:22">
      <c r="A1145" t="str">
        <f t="shared" si="402"/>
        <v>30/01/2026</v>
      </c>
      <c r="B1145" t="str">
        <f t="shared" si="404"/>
        <v>ENTRADA</v>
      </c>
      <c r="C1145" t="str">
        <f t="shared" si="405"/>
        <v>NFSE</v>
      </c>
      <c r="D1145" t="str">
        <f>"202"</f>
        <v>202</v>
      </c>
      <c r="E1145" t="str">
        <f t="shared" si="406"/>
        <v>1</v>
      </c>
      <c r="F1145" t="str">
        <f t="shared" si="407"/>
        <v>COM</v>
      </c>
      <c r="G1145" t="str">
        <f>"PENSE FARMA 22 (10198)"</f>
        <v>PENSE FARMA 22 (10198)</v>
      </c>
      <c r="H1145" t="s">
        <v>316</v>
      </c>
      <c r="I1145" t="str">
        <f t="shared" si="409"/>
        <v>29/01/2026</v>
      </c>
      <c r="J1145" t="str">
        <f>("27/01/2026")</f>
        <v>27/01/2026</v>
      </c>
      <c r="K1145">
        <v>46052</v>
      </c>
      <c r="N1145">
        <v>303</v>
      </c>
      <c r="O1145" t="s">
        <v>26</v>
      </c>
      <c r="Q1145">
        <v>413.11</v>
      </c>
      <c r="R1145" t="str">
        <f>"PENSE FARMA 22 (10198)"</f>
        <v>PENSE FARMA 22 (10198)</v>
      </c>
      <c r="S1145" t="s">
        <v>27</v>
      </c>
      <c r="T1145">
        <v>4226</v>
      </c>
      <c r="U1145">
        <v>3595</v>
      </c>
      <c r="V1145" t="s">
        <v>88</v>
      </c>
    </row>
    <row r="1146" spans="1:22">
      <c r="A1146" t="str">
        <f>("02/02/2026")</f>
        <v>02/02/2026</v>
      </c>
      <c r="B1146" t="str">
        <f>"SAÍDA"</f>
        <v>SAÍDA</v>
      </c>
      <c r="C1146" t="str">
        <f>"JUROS"</f>
        <v>JUROS</v>
      </c>
      <c r="D1146" t="str">
        <f>""</f>
        <v/>
      </c>
      <c r="F1146" t="str">
        <f>"CXA"</f>
        <v>CXA</v>
      </c>
      <c r="G1146" t="str">
        <f>""</f>
        <v/>
      </c>
      <c r="H1146" t="str">
        <f>"TARIFA BOLETOS BANCARIOS"</f>
        <v>TARIFA BOLETOS BANCARIOS</v>
      </c>
      <c r="I1146" t="str">
        <f>("02/02/2026")</f>
        <v>02/02/2026</v>
      </c>
      <c r="J1146" t="str">
        <f>("02/02/2026")</f>
        <v>02/02/2026</v>
      </c>
      <c r="K1146" t="str">
        <f>("02/02/2026")</f>
        <v>02/02/2026</v>
      </c>
      <c r="L1146">
        <v>36.19</v>
      </c>
      <c r="M1146">
        <v>36.19</v>
      </c>
      <c r="N1146">
        <v>401</v>
      </c>
      <c r="O1146" t="str">
        <f>"IOF/JUROS/DESP.FINANCEIRA"</f>
        <v>IOF/JUROS/DESP.FINANCEIRA</v>
      </c>
      <c r="P1146">
        <v>36.19</v>
      </c>
      <c r="S1146" t="str">
        <f>"BANCO SICREDI (131)"</f>
        <v>BANCO SICREDI (131)</v>
      </c>
      <c r="T1146">
        <v>4227</v>
      </c>
      <c r="U1146">
        <v>0</v>
      </c>
      <c r="V1146" t="s">
        <v>54</v>
      </c>
    </row>
    <row r="1147" spans="1:22">
      <c r="A1147" t="str">
        <f t="shared" ref="A1147:A1170" si="410">("03/02/2026")</f>
        <v>03/02/2026</v>
      </c>
      <c r="B1147" t="str">
        <f>"SAÍDA"</f>
        <v>SAÍDA</v>
      </c>
      <c r="C1147" t="str">
        <f>"PIX"</f>
        <v>PIX</v>
      </c>
      <c r="D1147" t="str">
        <f>"03022026"</f>
        <v>03022026</v>
      </c>
      <c r="E1147" t="str">
        <f>""</f>
        <v/>
      </c>
      <c r="F1147" t="str">
        <f>"COM"</f>
        <v>COM</v>
      </c>
      <c r="G1147" t="str">
        <f>"ASA BUSINESS E COWORKING LTDA (20137)"</f>
        <v>ASA BUSINESS E COWORKING LTDA (20137)</v>
      </c>
      <c r="H1147" t="str">
        <f>"ALUGUEL ESCRITÓRIO ASA COWORKING FEVEREIVO/26 PIX: CNPJ: 53.740.292/0001-65"</f>
        <v>ALUGUEL ESCRITÓRIO ASA COWORKING FEVEREIVO/26 PIX: CNPJ: 53.740.292/0001-65</v>
      </c>
      <c r="I1147" t="str">
        <f>("03/02/2026")</f>
        <v>03/02/2026</v>
      </c>
      <c r="J1147" t="str">
        <f>("03/02/2026")</f>
        <v>03/02/2026</v>
      </c>
      <c r="K1147" t="str">
        <f>("03/02/2026")</f>
        <v>03/02/2026</v>
      </c>
      <c r="L1147">
        <v>3744</v>
      </c>
      <c r="M1147">
        <v>3744</v>
      </c>
      <c r="N1147">
        <v>105</v>
      </c>
      <c r="O1147" t="str">
        <f>"ALUGUEL"</f>
        <v>ALUGUEL</v>
      </c>
      <c r="P1147">
        <v>3744</v>
      </c>
      <c r="S1147" t="str">
        <f>"BANCO CORA (102)"</f>
        <v>BANCO CORA (102)</v>
      </c>
      <c r="T1147">
        <v>4152</v>
      </c>
      <c r="U1147">
        <v>3660</v>
      </c>
      <c r="V1147" t="s">
        <v>22</v>
      </c>
    </row>
    <row r="1148" spans="1:22">
      <c r="A1148" t="str">
        <f t="shared" si="410"/>
        <v>03/02/2026</v>
      </c>
      <c r="B1148" t="str">
        <f>"SAÍDA"</f>
        <v>SAÍDA</v>
      </c>
      <c r="C1148" t="str">
        <f>"PIX"</f>
        <v>PIX</v>
      </c>
      <c r="D1148" t="str">
        <f>"03022026"</f>
        <v>03022026</v>
      </c>
      <c r="E1148" t="str">
        <f>""</f>
        <v/>
      </c>
      <c r="F1148" t="str">
        <f>"COM"</f>
        <v>COM</v>
      </c>
      <c r="G1148" t="str">
        <f>"ASA BUSINESS E COWORKING LTDA (20137)"</f>
        <v>ASA BUSINESS E COWORKING LTDA (20137)</v>
      </c>
      <c r="H1148" t="s">
        <v>317</v>
      </c>
      <c r="I1148" t="str">
        <f t="shared" ref="I1148:J1150" si="411">("03/02/2026")</f>
        <v>03/02/2026</v>
      </c>
      <c r="J1148" t="str">
        <f t="shared" si="411"/>
        <v>03/02/2026</v>
      </c>
      <c r="K1148">
        <v>46056</v>
      </c>
      <c r="N1148">
        <v>105</v>
      </c>
      <c r="O1148" t="s">
        <v>318</v>
      </c>
      <c r="Q1148">
        <v>3744</v>
      </c>
      <c r="R1148" t="str">
        <f>"ASA BUSINESS E COWORKING LTDA (20137)"</f>
        <v>ASA BUSINESS E COWORKING LTDA (20137)</v>
      </c>
      <c r="S1148" t="s">
        <v>22</v>
      </c>
      <c r="T1148">
        <v>4152</v>
      </c>
      <c r="U1148">
        <v>3660</v>
      </c>
      <c r="V1148" t="s">
        <v>22</v>
      </c>
    </row>
    <row r="1149" spans="1:22">
      <c r="A1149" t="str">
        <f t="shared" si="410"/>
        <v>03/02/2026</v>
      </c>
      <c r="B1149" t="str">
        <f>"SAÍDA"</f>
        <v>SAÍDA</v>
      </c>
      <c r="C1149" t="str">
        <f>"TRANSFERENCIA"</f>
        <v>TRANSFERENCIA</v>
      </c>
      <c r="D1149" t="str">
        <f>""</f>
        <v/>
      </c>
      <c r="F1149" t="str">
        <f>"TRF"</f>
        <v>TRF</v>
      </c>
      <c r="G1149" t="str">
        <f>""</f>
        <v/>
      </c>
      <c r="H1149" t="str">
        <f>"TRANSFERENCIA PARA COOPERATIVA REFORÇO DE CAIXA (102-&gt;120)"</f>
        <v>TRANSFERENCIA PARA COOPERATIVA REFORÇO DE CAIXA (102-&gt;120)</v>
      </c>
      <c r="I1149" t="str">
        <f t="shared" si="411"/>
        <v>03/02/2026</v>
      </c>
      <c r="J1149" t="str">
        <f t="shared" si="411"/>
        <v>03/02/2026</v>
      </c>
      <c r="K1149" t="str">
        <f>("03/02/2026")</f>
        <v>03/02/2026</v>
      </c>
      <c r="N1149">
        <v>102</v>
      </c>
      <c r="O1149" t="str">
        <f>"BANCO CORA"</f>
        <v>BANCO CORA</v>
      </c>
      <c r="P1149">
        <v>7000</v>
      </c>
      <c r="S1149" t="str">
        <f>"BANCO CORA (102)"</f>
        <v>BANCO CORA (102)</v>
      </c>
      <c r="T1149">
        <v>4195</v>
      </c>
      <c r="U1149">
        <v>0</v>
      </c>
      <c r="V1149" t="s">
        <v>22</v>
      </c>
    </row>
    <row r="1150" spans="1:22">
      <c r="A1150" t="str">
        <f t="shared" si="410"/>
        <v>03/02/2026</v>
      </c>
      <c r="B1150" t="str">
        <f t="shared" ref="B1150:B1159" si="412">"ENTRADA"</f>
        <v>ENTRADA</v>
      </c>
      <c r="C1150" t="str">
        <f>"TRANSFERENCIA"</f>
        <v>TRANSFERENCIA</v>
      </c>
      <c r="D1150" t="str">
        <f>""</f>
        <v/>
      </c>
      <c r="F1150" t="str">
        <f>"TRF"</f>
        <v>TRF</v>
      </c>
      <c r="G1150" t="str">
        <f>""</f>
        <v/>
      </c>
      <c r="H1150" t="str">
        <f>"TRANSFERENCIA PARA COOPERATIVA REFORÇO DE CAIXA (102-&gt;120)"</f>
        <v>TRANSFERENCIA PARA COOPERATIVA REFORÇO DE CAIXA (102-&gt;120)</v>
      </c>
      <c r="I1150" t="str">
        <f t="shared" si="411"/>
        <v>03/02/2026</v>
      </c>
      <c r="J1150" t="str">
        <f t="shared" si="411"/>
        <v>03/02/2026</v>
      </c>
      <c r="K1150" t="str">
        <f>("03/02/2026")</f>
        <v>03/02/2026</v>
      </c>
      <c r="N1150">
        <v>120</v>
      </c>
      <c r="O1150" t="str">
        <f>"CAIXA - COOPERATIVA"</f>
        <v>CAIXA - COOPERATIVA</v>
      </c>
      <c r="S1150" t="str">
        <f>"CAIXA - COOPERATIVA (120)"</f>
        <v>CAIXA - COOPERATIVA (120)</v>
      </c>
      <c r="T1150">
        <v>4195</v>
      </c>
      <c r="U1150">
        <v>0</v>
      </c>
      <c r="V1150" t="s">
        <v>56</v>
      </c>
    </row>
    <row r="1151" spans="1:22">
      <c r="A1151" t="str">
        <f t="shared" si="410"/>
        <v>03/02/2026</v>
      </c>
      <c r="B1151" t="str">
        <f t="shared" si="412"/>
        <v>ENTRADA</v>
      </c>
      <c r="C1151" t="str">
        <f t="shared" ref="C1151:C1158" si="413">"NFSE"</f>
        <v>NFSE</v>
      </c>
      <c r="D1151" t="str">
        <f t="shared" ref="D1151:D1158" si="414">"149"</f>
        <v>149</v>
      </c>
      <c r="E1151" t="str">
        <f t="shared" ref="E1151:E1158" si="415">"1"</f>
        <v>1</v>
      </c>
      <c r="F1151" t="str">
        <f t="shared" ref="F1151:F1158" si="416">"COM"</f>
        <v>COM</v>
      </c>
      <c r="G1151" t="str">
        <f t="shared" ref="G1151:G1158" si="417">"PAGMENOS - LJ 608 (10135)"</f>
        <v>PAGMENOS - LJ 608 (10135)</v>
      </c>
      <c r="H1151" t="str">
        <f>"Serv.Prest. 12/01/2026 a 18/01/2026 - RPS: 2075 - NFSe: 149"</f>
        <v>Serv.Prest. 12/01/2026 a 18/01/2026 - RPS: 2075 - NFSe: 149</v>
      </c>
      <c r="I1151" t="str">
        <f t="shared" ref="I1151:I1158" si="418">("05/02/2026")</f>
        <v>05/02/2026</v>
      </c>
      <c r="J1151" t="str">
        <f t="shared" ref="J1151:J1158" si="419">("21/01/2026")</f>
        <v>21/01/2026</v>
      </c>
      <c r="K1151" t="str">
        <f>("03/02/2026")</f>
        <v>03/02/2026</v>
      </c>
      <c r="L1151">
        <v>1001.32</v>
      </c>
      <c r="M1151">
        <v>1001.32</v>
      </c>
      <c r="N1151">
        <v>303</v>
      </c>
      <c r="O1151" t="str">
        <f>"RECEITAS COM ENTREGAS"</f>
        <v>RECEITAS COM ENTREGAS</v>
      </c>
      <c r="P1151">
        <v>1001.32</v>
      </c>
      <c r="S1151" t="str">
        <f>"RECEITAS COM ENTREGAS (303)"</f>
        <v>RECEITAS COM ENTREGAS (303)</v>
      </c>
      <c r="T1151">
        <v>4196</v>
      </c>
      <c r="U1151">
        <v>3540</v>
      </c>
      <c r="V1151" t="s">
        <v>22</v>
      </c>
    </row>
    <row r="1152" spans="1:22">
      <c r="A1152" t="str">
        <f t="shared" si="410"/>
        <v>03/02/2026</v>
      </c>
      <c r="B1152" t="str">
        <f t="shared" si="412"/>
        <v>ENTRADA</v>
      </c>
      <c r="C1152" t="str">
        <f t="shared" si="413"/>
        <v>NFSE</v>
      </c>
      <c r="D1152" t="str">
        <f t="shared" si="414"/>
        <v>149</v>
      </c>
      <c r="E1152" t="str">
        <f t="shared" si="415"/>
        <v>1</v>
      </c>
      <c r="F1152" t="str">
        <f t="shared" si="416"/>
        <v>COM</v>
      </c>
      <c r="G1152" t="str">
        <f t="shared" si="417"/>
        <v>PAGMENOS - LJ 608 (10135)</v>
      </c>
      <c r="H1152" t="s">
        <v>319</v>
      </c>
      <c r="I1152" t="str">
        <f t="shared" si="418"/>
        <v>05/02/2026</v>
      </c>
      <c r="J1152" t="str">
        <f t="shared" si="419"/>
        <v>21/01/2026</v>
      </c>
      <c r="K1152">
        <v>46056</v>
      </c>
      <c r="N1152">
        <v>303</v>
      </c>
      <c r="O1152" t="s">
        <v>26</v>
      </c>
      <c r="Q1152">
        <v>220.28</v>
      </c>
      <c r="R1152" t="str">
        <f>"PAGMENOS - LJ 608 (10135)"</f>
        <v>PAGMENOS - LJ 608 (10135)</v>
      </c>
      <c r="S1152" t="s">
        <v>27</v>
      </c>
      <c r="T1152">
        <v>4196</v>
      </c>
      <c r="U1152">
        <v>3540</v>
      </c>
      <c r="V1152" t="s">
        <v>22</v>
      </c>
    </row>
    <row r="1153" spans="1:22">
      <c r="A1153" t="str">
        <f t="shared" si="410"/>
        <v>03/02/2026</v>
      </c>
      <c r="B1153" t="str">
        <f t="shared" si="412"/>
        <v>ENTRADA</v>
      </c>
      <c r="C1153" t="str">
        <f t="shared" si="413"/>
        <v>NFSE</v>
      </c>
      <c r="D1153" t="str">
        <f t="shared" si="414"/>
        <v>149</v>
      </c>
      <c r="E1153" t="str">
        <f t="shared" si="415"/>
        <v>1</v>
      </c>
      <c r="F1153" t="str">
        <f t="shared" si="416"/>
        <v>COM</v>
      </c>
      <c r="G1153" t="str">
        <f t="shared" si="417"/>
        <v>PAGMENOS - LJ 608 (10135)</v>
      </c>
      <c r="H1153" t="s">
        <v>319</v>
      </c>
      <c r="I1153" t="str">
        <f t="shared" si="418"/>
        <v>05/02/2026</v>
      </c>
      <c r="J1153" t="str">
        <f t="shared" si="419"/>
        <v>21/01/2026</v>
      </c>
      <c r="K1153">
        <v>46056</v>
      </c>
      <c r="N1153">
        <v>303</v>
      </c>
      <c r="O1153" t="s">
        <v>26</v>
      </c>
      <c r="Q1153">
        <v>330.34</v>
      </c>
      <c r="R1153" t="str">
        <f>"PAGMENOS - LJ 657 (10136)"</f>
        <v>PAGMENOS - LJ 657 (10136)</v>
      </c>
      <c r="S1153" t="s">
        <v>27</v>
      </c>
      <c r="T1153">
        <v>4196</v>
      </c>
      <c r="U1153">
        <v>3540</v>
      </c>
      <c r="V1153" t="s">
        <v>22</v>
      </c>
    </row>
    <row r="1154" spans="1:22">
      <c r="A1154" t="str">
        <f t="shared" si="410"/>
        <v>03/02/2026</v>
      </c>
      <c r="B1154" t="str">
        <f t="shared" si="412"/>
        <v>ENTRADA</v>
      </c>
      <c r="C1154" t="str">
        <f t="shared" si="413"/>
        <v>NFSE</v>
      </c>
      <c r="D1154" t="str">
        <f t="shared" si="414"/>
        <v>149</v>
      </c>
      <c r="E1154" t="str">
        <f t="shared" si="415"/>
        <v>1</v>
      </c>
      <c r="F1154" t="str">
        <f t="shared" si="416"/>
        <v>COM</v>
      </c>
      <c r="G1154" t="str">
        <f t="shared" si="417"/>
        <v>PAGMENOS - LJ 608 (10135)</v>
      </c>
      <c r="H1154" t="s">
        <v>319</v>
      </c>
      <c r="I1154" t="str">
        <f t="shared" si="418"/>
        <v>05/02/2026</v>
      </c>
      <c r="J1154" t="str">
        <f t="shared" si="419"/>
        <v>21/01/2026</v>
      </c>
      <c r="K1154">
        <v>46056</v>
      </c>
      <c r="N1154">
        <v>303</v>
      </c>
      <c r="O1154" t="s">
        <v>26</v>
      </c>
      <c r="Q1154">
        <v>28.94</v>
      </c>
      <c r="R1154" t="str">
        <f>"PAGMENOS - LJ 326 (10264)"</f>
        <v>PAGMENOS - LJ 326 (10264)</v>
      </c>
      <c r="S1154" t="s">
        <v>27</v>
      </c>
      <c r="T1154">
        <v>4196</v>
      </c>
      <c r="U1154">
        <v>3540</v>
      </c>
      <c r="V1154" t="s">
        <v>22</v>
      </c>
    </row>
    <row r="1155" spans="1:22">
      <c r="A1155" t="str">
        <f t="shared" si="410"/>
        <v>03/02/2026</v>
      </c>
      <c r="B1155" t="str">
        <f t="shared" si="412"/>
        <v>ENTRADA</v>
      </c>
      <c r="C1155" t="str">
        <f t="shared" si="413"/>
        <v>NFSE</v>
      </c>
      <c r="D1155" t="str">
        <f t="shared" si="414"/>
        <v>149</v>
      </c>
      <c r="E1155" t="str">
        <f t="shared" si="415"/>
        <v>1</v>
      </c>
      <c r="F1155" t="str">
        <f t="shared" si="416"/>
        <v>COM</v>
      </c>
      <c r="G1155" t="str">
        <f t="shared" si="417"/>
        <v>PAGMENOS - LJ 608 (10135)</v>
      </c>
      <c r="H1155" t="s">
        <v>319</v>
      </c>
      <c r="I1155" t="str">
        <f t="shared" si="418"/>
        <v>05/02/2026</v>
      </c>
      <c r="J1155" t="str">
        <f t="shared" si="419"/>
        <v>21/01/2026</v>
      </c>
      <c r="K1155">
        <v>46056</v>
      </c>
      <c r="N1155">
        <v>303</v>
      </c>
      <c r="O1155" t="s">
        <v>26</v>
      </c>
      <c r="Q1155">
        <v>156.71</v>
      </c>
      <c r="R1155" t="str">
        <f>"PAGMENOS - LJ 431 (10265)"</f>
        <v>PAGMENOS - LJ 431 (10265)</v>
      </c>
      <c r="S1155" t="s">
        <v>27</v>
      </c>
      <c r="T1155">
        <v>4196</v>
      </c>
      <c r="U1155">
        <v>3540</v>
      </c>
      <c r="V1155" t="s">
        <v>22</v>
      </c>
    </row>
    <row r="1156" spans="1:22">
      <c r="A1156" t="str">
        <f t="shared" si="410"/>
        <v>03/02/2026</v>
      </c>
      <c r="B1156" t="str">
        <f t="shared" si="412"/>
        <v>ENTRADA</v>
      </c>
      <c r="C1156" t="str">
        <f t="shared" si="413"/>
        <v>NFSE</v>
      </c>
      <c r="D1156" t="str">
        <f t="shared" si="414"/>
        <v>149</v>
      </c>
      <c r="E1156" t="str">
        <f t="shared" si="415"/>
        <v>1</v>
      </c>
      <c r="F1156" t="str">
        <f t="shared" si="416"/>
        <v>COM</v>
      </c>
      <c r="G1156" t="str">
        <f t="shared" si="417"/>
        <v>PAGMENOS - LJ 608 (10135)</v>
      </c>
      <c r="H1156" t="s">
        <v>319</v>
      </c>
      <c r="I1156" t="str">
        <f t="shared" si="418"/>
        <v>05/02/2026</v>
      </c>
      <c r="J1156" t="str">
        <f t="shared" si="419"/>
        <v>21/01/2026</v>
      </c>
      <c r="K1156">
        <v>46056</v>
      </c>
      <c r="N1156">
        <v>303</v>
      </c>
      <c r="O1156" t="s">
        <v>26</v>
      </c>
      <c r="Q1156">
        <v>229.4</v>
      </c>
      <c r="R1156" t="str">
        <f>"PAGMENOS - LJ 768 (10266)"</f>
        <v>PAGMENOS - LJ 768 (10266)</v>
      </c>
      <c r="S1156" t="s">
        <v>27</v>
      </c>
      <c r="T1156">
        <v>4196</v>
      </c>
      <c r="U1156">
        <v>3540</v>
      </c>
      <c r="V1156" t="s">
        <v>22</v>
      </c>
    </row>
    <row r="1157" spans="1:22">
      <c r="A1157" t="str">
        <f t="shared" si="410"/>
        <v>03/02/2026</v>
      </c>
      <c r="B1157" t="str">
        <f t="shared" si="412"/>
        <v>ENTRADA</v>
      </c>
      <c r="C1157" t="str">
        <f t="shared" si="413"/>
        <v>NFSE</v>
      </c>
      <c r="D1157" t="str">
        <f t="shared" si="414"/>
        <v>149</v>
      </c>
      <c r="E1157" t="str">
        <f t="shared" si="415"/>
        <v>1</v>
      </c>
      <c r="F1157" t="str">
        <f t="shared" si="416"/>
        <v>COM</v>
      </c>
      <c r="G1157" t="str">
        <f t="shared" si="417"/>
        <v>PAGMENOS - LJ 608 (10135)</v>
      </c>
      <c r="H1157" t="s">
        <v>319</v>
      </c>
      <c r="I1157" t="str">
        <f t="shared" si="418"/>
        <v>05/02/2026</v>
      </c>
      <c r="J1157" t="str">
        <f t="shared" si="419"/>
        <v>21/01/2026</v>
      </c>
      <c r="K1157">
        <v>46056</v>
      </c>
      <c r="N1157">
        <v>303</v>
      </c>
      <c r="O1157" t="s">
        <v>26</v>
      </c>
      <c r="Q1157">
        <v>31.34</v>
      </c>
      <c r="R1157" t="str">
        <f>"PAGUE MENOS 356 (10291)"</f>
        <v>PAGUE MENOS 356 (10291)</v>
      </c>
      <c r="S1157" t="s">
        <v>27</v>
      </c>
      <c r="T1157">
        <v>4196</v>
      </c>
      <c r="U1157">
        <v>3540</v>
      </c>
      <c r="V1157" t="s">
        <v>22</v>
      </c>
    </row>
    <row r="1158" spans="1:22">
      <c r="A1158" t="str">
        <f t="shared" si="410"/>
        <v>03/02/2026</v>
      </c>
      <c r="B1158" t="str">
        <f t="shared" si="412"/>
        <v>ENTRADA</v>
      </c>
      <c r="C1158" t="str">
        <f t="shared" si="413"/>
        <v>NFSE</v>
      </c>
      <c r="D1158" t="str">
        <f t="shared" si="414"/>
        <v>149</v>
      </c>
      <c r="E1158" t="str">
        <f t="shared" si="415"/>
        <v>1</v>
      </c>
      <c r="F1158" t="str">
        <f t="shared" si="416"/>
        <v>COM</v>
      </c>
      <c r="G1158" t="str">
        <f t="shared" si="417"/>
        <v>PAGMENOS - LJ 608 (10135)</v>
      </c>
      <c r="H1158" t="s">
        <v>319</v>
      </c>
      <c r="I1158" t="str">
        <f t="shared" si="418"/>
        <v>05/02/2026</v>
      </c>
      <c r="J1158" t="str">
        <f t="shared" si="419"/>
        <v>21/01/2026</v>
      </c>
      <c r="K1158">
        <v>46056</v>
      </c>
      <c r="N1158">
        <v>303</v>
      </c>
      <c r="O1158" t="s">
        <v>26</v>
      </c>
      <c r="Q1158">
        <v>4.3099999999999996</v>
      </c>
      <c r="R1158" t="str">
        <f>"PAGUE MENOS 540 (10293)"</f>
        <v>PAGUE MENOS 540 (10293)</v>
      </c>
      <c r="S1158" t="s">
        <v>27</v>
      </c>
      <c r="T1158">
        <v>4196</v>
      </c>
      <c r="U1158">
        <v>3540</v>
      </c>
      <c r="V1158" t="s">
        <v>22</v>
      </c>
    </row>
    <row r="1159" spans="1:22">
      <c r="A1159" t="str">
        <f t="shared" si="410"/>
        <v>03/02/2026</v>
      </c>
      <c r="B1159" t="str">
        <f t="shared" si="412"/>
        <v>ENTRADA</v>
      </c>
      <c r="C1159" t="str">
        <f>""</f>
        <v/>
      </c>
      <c r="D1159" t="str">
        <f>""</f>
        <v/>
      </c>
      <c r="F1159" t="str">
        <f>"CXA"</f>
        <v>CXA</v>
      </c>
      <c r="G1159" t="str">
        <f>""</f>
        <v/>
      </c>
      <c r="H1159" t="str">
        <f>"DEVOLUCAO DE ADIANTAMENTO DE VIAGEM - SARA GABRIELLE SANTOS"</f>
        <v>DEVOLUCAO DE ADIANTAMENTO DE VIAGEM - SARA GABRIELLE SANTOS</v>
      </c>
      <c r="I1159" t="str">
        <f t="shared" ref="I1159:K1162" si="420">("03/02/2026")</f>
        <v>03/02/2026</v>
      </c>
      <c r="J1159" t="str">
        <f t="shared" si="420"/>
        <v>03/02/2026</v>
      </c>
      <c r="K1159" t="str">
        <f t="shared" si="420"/>
        <v>03/02/2026</v>
      </c>
      <c r="L1159">
        <v>951.5</v>
      </c>
      <c r="M1159">
        <v>951.5</v>
      </c>
      <c r="N1159">
        <v>119</v>
      </c>
      <c r="O1159" t="str">
        <f>"RECEITAS COM REEMBOLSOS"</f>
        <v>RECEITAS COM REEMBOLSOS</v>
      </c>
      <c r="P1159">
        <v>951.5</v>
      </c>
      <c r="S1159" t="str">
        <f>"RECEITAS COM REEMBOLSOS (119)"</f>
        <v>RECEITAS COM REEMBOLSOS (119)</v>
      </c>
      <c r="T1159">
        <v>4197</v>
      </c>
      <c r="U1159">
        <v>0</v>
      </c>
      <c r="V1159" t="s">
        <v>77</v>
      </c>
    </row>
    <row r="1160" spans="1:22">
      <c r="A1160" t="str">
        <f t="shared" si="410"/>
        <v>03/02/2026</v>
      </c>
      <c r="B1160" t="str">
        <f>"SAÍDA"</f>
        <v>SAÍDA</v>
      </c>
      <c r="C1160" t="str">
        <f>"JUROS"</f>
        <v>JUROS</v>
      </c>
      <c r="D1160" t="str">
        <f>""</f>
        <v/>
      </c>
      <c r="F1160" t="str">
        <f>"CXA"</f>
        <v>CXA</v>
      </c>
      <c r="G1160" t="str">
        <f>""</f>
        <v/>
      </c>
      <c r="H1160" t="str">
        <f>"TARIFA BOLETOS BANCARIOS"</f>
        <v>TARIFA BOLETOS BANCARIOS</v>
      </c>
      <c r="I1160" t="str">
        <f t="shared" si="420"/>
        <v>03/02/2026</v>
      </c>
      <c r="J1160" t="str">
        <f t="shared" si="420"/>
        <v>03/02/2026</v>
      </c>
      <c r="K1160" t="str">
        <f t="shared" si="420"/>
        <v>03/02/2026</v>
      </c>
      <c r="L1160">
        <v>25.02</v>
      </c>
      <c r="M1160">
        <v>25.02</v>
      </c>
      <c r="N1160">
        <v>401</v>
      </c>
      <c r="O1160" t="str">
        <f>"IOF/JUROS/DESP.FINANCEIRA"</f>
        <v>IOF/JUROS/DESP.FINANCEIRA</v>
      </c>
      <c r="P1160">
        <v>25.02</v>
      </c>
      <c r="S1160" t="str">
        <f>"BANCO SICREDI (131)"</f>
        <v>BANCO SICREDI (131)</v>
      </c>
      <c r="T1160">
        <v>4228</v>
      </c>
      <c r="U1160">
        <v>0</v>
      </c>
      <c r="V1160" t="s">
        <v>54</v>
      </c>
    </row>
    <row r="1161" spans="1:22">
      <c r="A1161" t="str">
        <f t="shared" si="410"/>
        <v>03/02/2026</v>
      </c>
      <c r="B1161" t="str">
        <f>"SAÍDA"</f>
        <v>SAÍDA</v>
      </c>
      <c r="C1161" t="str">
        <f>"JUROS"</f>
        <v>JUROS</v>
      </c>
      <c r="D1161" t="str">
        <f>""</f>
        <v/>
      </c>
      <c r="F1161" t="str">
        <f>"CXA"</f>
        <v>CXA</v>
      </c>
      <c r="G1161" t="str">
        <f>""</f>
        <v/>
      </c>
      <c r="H1161" t="str">
        <f>"TARIFA BOLETOS BANCARIOS"</f>
        <v>TARIFA BOLETOS BANCARIOS</v>
      </c>
      <c r="I1161" t="str">
        <f t="shared" si="420"/>
        <v>03/02/2026</v>
      </c>
      <c r="J1161" t="str">
        <f t="shared" si="420"/>
        <v>03/02/2026</v>
      </c>
      <c r="K1161" t="str">
        <f t="shared" si="420"/>
        <v>03/02/2026</v>
      </c>
      <c r="L1161">
        <v>9.73</v>
      </c>
      <c r="M1161">
        <v>9.73</v>
      </c>
      <c r="N1161">
        <v>401</v>
      </c>
      <c r="O1161" t="str">
        <f>"IOF/JUROS/DESP.FINANCEIRA"</f>
        <v>IOF/JUROS/DESP.FINANCEIRA</v>
      </c>
      <c r="P1161">
        <v>9.73</v>
      </c>
      <c r="S1161" t="str">
        <f>"BANCO SICREDI (131)"</f>
        <v>BANCO SICREDI (131)</v>
      </c>
      <c r="T1161">
        <v>4229</v>
      </c>
      <c r="U1161">
        <v>0</v>
      </c>
      <c r="V1161" t="s">
        <v>54</v>
      </c>
    </row>
    <row r="1162" spans="1:22">
      <c r="A1162" t="str">
        <f t="shared" si="410"/>
        <v>03/02/2026</v>
      </c>
      <c r="B1162" t="str">
        <f>"SAÍDA"</f>
        <v>SAÍDA</v>
      </c>
      <c r="C1162" t="str">
        <f>"JUROS"</f>
        <v>JUROS</v>
      </c>
      <c r="D1162" t="str">
        <f>""</f>
        <v/>
      </c>
      <c r="F1162" t="str">
        <f>"CXA"</f>
        <v>CXA</v>
      </c>
      <c r="G1162" t="str">
        <f>""</f>
        <v/>
      </c>
      <c r="H1162" t="str">
        <f>"TARIFA BOLETOS BANCARIOS"</f>
        <v>TARIFA BOLETOS BANCARIOS</v>
      </c>
      <c r="I1162" t="str">
        <f t="shared" si="420"/>
        <v>03/02/2026</v>
      </c>
      <c r="J1162" t="str">
        <f t="shared" si="420"/>
        <v>03/02/2026</v>
      </c>
      <c r="K1162" t="str">
        <f t="shared" si="420"/>
        <v>03/02/2026</v>
      </c>
      <c r="L1162">
        <v>1.39</v>
      </c>
      <c r="M1162">
        <v>1.39</v>
      </c>
      <c r="N1162">
        <v>401</v>
      </c>
      <c r="O1162" t="str">
        <f>"IOF/JUROS/DESP.FINANCEIRA"</f>
        <v>IOF/JUROS/DESP.FINANCEIRA</v>
      </c>
      <c r="P1162">
        <v>1.39</v>
      </c>
      <c r="S1162" t="str">
        <f>"BANCO SICREDI (131)"</f>
        <v>BANCO SICREDI (131)</v>
      </c>
      <c r="T1162">
        <v>4230</v>
      </c>
      <c r="U1162">
        <v>0</v>
      </c>
      <c r="V1162" t="s">
        <v>54</v>
      </c>
    </row>
    <row r="1163" spans="1:22">
      <c r="A1163" t="str">
        <f t="shared" si="410"/>
        <v>03/02/2026</v>
      </c>
      <c r="B1163" t="str">
        <f t="shared" ref="B1163:B1170" si="421">"ENTRADA"</f>
        <v>ENTRADA</v>
      </c>
      <c r="C1163" t="str">
        <f t="shared" ref="C1163:C1170" si="422">"NFSE"</f>
        <v>NFSE</v>
      </c>
      <c r="D1163" t="str">
        <f>"217"</f>
        <v>217</v>
      </c>
      <c r="E1163" t="str">
        <f t="shared" ref="E1163:E1170" si="423">"1"</f>
        <v>1</v>
      </c>
      <c r="F1163" t="str">
        <f t="shared" ref="F1163:F1194" si="424">"COM"</f>
        <v>COM</v>
      </c>
      <c r="G1163" t="str">
        <f>"DROGARIA MORENO LTDA (10171)"</f>
        <v>DROGARIA MORENO LTDA (10171)</v>
      </c>
      <c r="H1163" t="str">
        <f>"Serv.Prest. 26/01/2026 a 01/02/2026 - RPS: 2141 - NFSe: 217"</f>
        <v>Serv.Prest. 26/01/2026 a 01/02/2026 - RPS: 2141 - NFSe: 217</v>
      </c>
      <c r="I1163" t="str">
        <f>("04/02/2026")</f>
        <v>04/02/2026</v>
      </c>
      <c r="J1163" t="str">
        <f>("02/02/2026")</f>
        <v>02/02/2026</v>
      </c>
      <c r="K1163" t="str">
        <f>("03/02/2026")</f>
        <v>03/02/2026</v>
      </c>
      <c r="L1163">
        <v>394.2</v>
      </c>
      <c r="M1163">
        <v>394.2</v>
      </c>
      <c r="N1163">
        <v>303</v>
      </c>
      <c r="O1163" t="str">
        <f>"RECEITAS COM ENTREGAS"</f>
        <v>RECEITAS COM ENTREGAS</v>
      </c>
      <c r="P1163">
        <v>394.2</v>
      </c>
      <c r="S1163" t="str">
        <f>"RECEITAS COM ENTREGAS (303)"</f>
        <v>RECEITAS COM ENTREGAS (303)</v>
      </c>
      <c r="T1163">
        <v>4239</v>
      </c>
      <c r="U1163">
        <v>3621</v>
      </c>
      <c r="V1163" t="s">
        <v>88</v>
      </c>
    </row>
    <row r="1164" spans="1:22">
      <c r="A1164" t="str">
        <f t="shared" si="410"/>
        <v>03/02/2026</v>
      </c>
      <c r="B1164" t="str">
        <f t="shared" si="421"/>
        <v>ENTRADA</v>
      </c>
      <c r="C1164" t="str">
        <f t="shared" si="422"/>
        <v>NFSE</v>
      </c>
      <c r="D1164" t="str">
        <f>"217"</f>
        <v>217</v>
      </c>
      <c r="E1164" t="str">
        <f t="shared" si="423"/>
        <v>1</v>
      </c>
      <c r="F1164" t="str">
        <f t="shared" si="424"/>
        <v>COM</v>
      </c>
      <c r="G1164" t="str">
        <f>"DROGARIA MORENO LTDA (10171)"</f>
        <v>DROGARIA MORENO LTDA (10171)</v>
      </c>
      <c r="H1164" t="s">
        <v>320</v>
      </c>
      <c r="I1164" t="str">
        <f>("04/02/2026")</f>
        <v>04/02/2026</v>
      </c>
      <c r="J1164" t="str">
        <f>("02/02/2026")</f>
        <v>02/02/2026</v>
      </c>
      <c r="K1164">
        <v>46056</v>
      </c>
      <c r="N1164">
        <v>303</v>
      </c>
      <c r="O1164" t="s">
        <v>26</v>
      </c>
      <c r="Q1164">
        <v>394.2</v>
      </c>
      <c r="R1164" t="str">
        <f>"DROGARIA MORENO LTDA (10171)"</f>
        <v>DROGARIA MORENO LTDA (10171)</v>
      </c>
      <c r="S1164" t="s">
        <v>27</v>
      </c>
      <c r="T1164">
        <v>4239</v>
      </c>
      <c r="U1164">
        <v>3621</v>
      </c>
      <c r="V1164" t="s">
        <v>88</v>
      </c>
    </row>
    <row r="1165" spans="1:22">
      <c r="A1165" t="str">
        <f t="shared" si="410"/>
        <v>03/02/2026</v>
      </c>
      <c r="B1165" t="str">
        <f t="shared" si="421"/>
        <v>ENTRADA</v>
      </c>
      <c r="C1165" t="str">
        <f t="shared" si="422"/>
        <v>NFSE</v>
      </c>
      <c r="D1165" t="str">
        <f t="shared" ref="D1165:D1170" si="425">"204"</f>
        <v>204</v>
      </c>
      <c r="E1165" t="str">
        <f t="shared" si="423"/>
        <v>1</v>
      </c>
      <c r="F1165" t="str">
        <f t="shared" si="424"/>
        <v>COM</v>
      </c>
      <c r="G1165" t="str">
        <f t="shared" ref="G1165:G1170" si="426">"BEM TE FAZ 01 (10283)"</f>
        <v>BEM TE FAZ 01 (10283)</v>
      </c>
      <c r="H1165" t="str">
        <f>"Serv.Prest. 19/01/2026 a 25/01/2026 - RPS: 2129 - NFSe: 204"</f>
        <v>Serv.Prest. 19/01/2026 a 25/01/2026 - RPS: 2129 - NFSe: 204</v>
      </c>
      <c r="I1165" t="str">
        <f t="shared" ref="I1165:I1170" si="427">("03/02/2026")</f>
        <v>03/02/2026</v>
      </c>
      <c r="J1165" t="str">
        <f t="shared" ref="J1165:J1170" si="428">("27/01/2026")</f>
        <v>27/01/2026</v>
      </c>
      <c r="K1165" t="str">
        <f>("03/02/2026")</f>
        <v>03/02/2026</v>
      </c>
      <c r="L1165">
        <v>1660.02</v>
      </c>
      <c r="M1165">
        <v>1660.02</v>
      </c>
      <c r="N1165">
        <v>303</v>
      </c>
      <c r="O1165" t="str">
        <f>"RECEITAS COM ENTREGAS"</f>
        <v>RECEITAS COM ENTREGAS</v>
      </c>
      <c r="P1165">
        <v>1660.02</v>
      </c>
      <c r="S1165" t="str">
        <f>"RECEITAS COM ENTREGAS (303)"</f>
        <v>RECEITAS COM ENTREGAS (303)</v>
      </c>
      <c r="T1165">
        <v>4240</v>
      </c>
      <c r="U1165">
        <v>3597</v>
      </c>
      <c r="V1165" t="s">
        <v>88</v>
      </c>
    </row>
    <row r="1166" spans="1:22">
      <c r="A1166" t="str">
        <f t="shared" si="410"/>
        <v>03/02/2026</v>
      </c>
      <c r="B1166" t="str">
        <f t="shared" si="421"/>
        <v>ENTRADA</v>
      </c>
      <c r="C1166" t="str">
        <f t="shared" si="422"/>
        <v>NFSE</v>
      </c>
      <c r="D1166" t="str">
        <f t="shared" si="425"/>
        <v>204</v>
      </c>
      <c r="E1166" t="str">
        <f t="shared" si="423"/>
        <v>1</v>
      </c>
      <c r="F1166" t="str">
        <f t="shared" si="424"/>
        <v>COM</v>
      </c>
      <c r="G1166" t="str">
        <f t="shared" si="426"/>
        <v>BEM TE FAZ 01 (10283)</v>
      </c>
      <c r="H1166" t="s">
        <v>321</v>
      </c>
      <c r="I1166" t="str">
        <f t="shared" si="427"/>
        <v>03/02/2026</v>
      </c>
      <c r="J1166" t="str">
        <f t="shared" si="428"/>
        <v>27/01/2026</v>
      </c>
      <c r="K1166">
        <v>46056</v>
      </c>
      <c r="N1166">
        <v>303</v>
      </c>
      <c r="O1166" t="s">
        <v>26</v>
      </c>
      <c r="Q1166">
        <v>263.94</v>
      </c>
      <c r="R1166" t="str">
        <f>"BEM TE FAZ 01 (10283)"</f>
        <v>BEM TE FAZ 01 (10283)</v>
      </c>
      <c r="S1166" t="s">
        <v>27</v>
      </c>
      <c r="T1166">
        <v>4240</v>
      </c>
      <c r="U1166">
        <v>3597</v>
      </c>
      <c r="V1166" t="s">
        <v>88</v>
      </c>
    </row>
    <row r="1167" spans="1:22">
      <c r="A1167" t="str">
        <f t="shared" si="410"/>
        <v>03/02/2026</v>
      </c>
      <c r="B1167" t="str">
        <f t="shared" si="421"/>
        <v>ENTRADA</v>
      </c>
      <c r="C1167" t="str">
        <f t="shared" si="422"/>
        <v>NFSE</v>
      </c>
      <c r="D1167" t="str">
        <f t="shared" si="425"/>
        <v>204</v>
      </c>
      <c r="E1167" t="str">
        <f t="shared" si="423"/>
        <v>1</v>
      </c>
      <c r="F1167" t="str">
        <f t="shared" si="424"/>
        <v>COM</v>
      </c>
      <c r="G1167" t="str">
        <f t="shared" si="426"/>
        <v>BEM TE FAZ 01 (10283)</v>
      </c>
      <c r="H1167" t="s">
        <v>321</v>
      </c>
      <c r="I1167" t="str">
        <f t="shared" si="427"/>
        <v>03/02/2026</v>
      </c>
      <c r="J1167" t="str">
        <f t="shared" si="428"/>
        <v>27/01/2026</v>
      </c>
      <c r="K1167">
        <v>46056</v>
      </c>
      <c r="N1167">
        <v>303</v>
      </c>
      <c r="O1167" t="s">
        <v>26</v>
      </c>
      <c r="Q1167">
        <v>438.41</v>
      </c>
      <c r="R1167" t="str">
        <f>"BEM TE FAZ LOJA 6 (10284)"</f>
        <v>BEM TE FAZ LOJA 6 (10284)</v>
      </c>
      <c r="S1167" t="s">
        <v>27</v>
      </c>
      <c r="T1167">
        <v>4240</v>
      </c>
      <c r="U1167">
        <v>3597</v>
      </c>
      <c r="V1167" t="s">
        <v>88</v>
      </c>
    </row>
    <row r="1168" spans="1:22">
      <c r="A1168" t="str">
        <f t="shared" si="410"/>
        <v>03/02/2026</v>
      </c>
      <c r="B1168" t="str">
        <f t="shared" si="421"/>
        <v>ENTRADA</v>
      </c>
      <c r="C1168" t="str">
        <f t="shared" si="422"/>
        <v>NFSE</v>
      </c>
      <c r="D1168" t="str">
        <f t="shared" si="425"/>
        <v>204</v>
      </c>
      <c r="E1168" t="str">
        <f t="shared" si="423"/>
        <v>1</v>
      </c>
      <c r="F1168" t="str">
        <f t="shared" si="424"/>
        <v>COM</v>
      </c>
      <c r="G1168" t="str">
        <f t="shared" si="426"/>
        <v>BEM TE FAZ 01 (10283)</v>
      </c>
      <c r="H1168" t="s">
        <v>321</v>
      </c>
      <c r="I1168" t="str">
        <f t="shared" si="427"/>
        <v>03/02/2026</v>
      </c>
      <c r="J1168" t="str">
        <f t="shared" si="428"/>
        <v>27/01/2026</v>
      </c>
      <c r="K1168">
        <v>46056</v>
      </c>
      <c r="N1168">
        <v>303</v>
      </c>
      <c r="O1168" t="s">
        <v>26</v>
      </c>
      <c r="Q1168">
        <v>257.64</v>
      </c>
      <c r="R1168" t="str">
        <f>"BEM TE FAZ LOJA 7 (10285)"</f>
        <v>BEM TE FAZ LOJA 7 (10285)</v>
      </c>
      <c r="S1168" t="s">
        <v>27</v>
      </c>
      <c r="T1168">
        <v>4240</v>
      </c>
      <c r="U1168">
        <v>3597</v>
      </c>
      <c r="V1168" t="s">
        <v>88</v>
      </c>
    </row>
    <row r="1169" spans="1:22">
      <c r="A1169" t="str">
        <f t="shared" si="410"/>
        <v>03/02/2026</v>
      </c>
      <c r="B1169" t="str">
        <f t="shared" si="421"/>
        <v>ENTRADA</v>
      </c>
      <c r="C1169" t="str">
        <f t="shared" si="422"/>
        <v>NFSE</v>
      </c>
      <c r="D1169" t="str">
        <f t="shared" si="425"/>
        <v>204</v>
      </c>
      <c r="E1169" t="str">
        <f t="shared" si="423"/>
        <v>1</v>
      </c>
      <c r="F1169" t="str">
        <f t="shared" si="424"/>
        <v>COM</v>
      </c>
      <c r="G1169" t="str">
        <f t="shared" si="426"/>
        <v>BEM TE FAZ 01 (10283)</v>
      </c>
      <c r="H1169" t="s">
        <v>321</v>
      </c>
      <c r="I1169" t="str">
        <f t="shared" si="427"/>
        <v>03/02/2026</v>
      </c>
      <c r="J1169" t="str">
        <f t="shared" si="428"/>
        <v>27/01/2026</v>
      </c>
      <c r="K1169">
        <v>46056</v>
      </c>
      <c r="N1169">
        <v>303</v>
      </c>
      <c r="O1169" t="s">
        <v>26</v>
      </c>
      <c r="Q1169">
        <v>12.78</v>
      </c>
      <c r="R1169" t="str">
        <f>"BEM TE FAZ LOJA 9 (10286)"</f>
        <v>BEM TE FAZ LOJA 9 (10286)</v>
      </c>
      <c r="S1169" t="s">
        <v>27</v>
      </c>
      <c r="T1169">
        <v>4240</v>
      </c>
      <c r="U1169">
        <v>3597</v>
      </c>
      <c r="V1169" t="s">
        <v>88</v>
      </c>
    </row>
    <row r="1170" spans="1:22">
      <c r="A1170" t="str">
        <f t="shared" si="410"/>
        <v>03/02/2026</v>
      </c>
      <c r="B1170" t="str">
        <f t="shared" si="421"/>
        <v>ENTRADA</v>
      </c>
      <c r="C1170" t="str">
        <f t="shared" si="422"/>
        <v>NFSE</v>
      </c>
      <c r="D1170" t="str">
        <f t="shared" si="425"/>
        <v>204</v>
      </c>
      <c r="E1170" t="str">
        <f t="shared" si="423"/>
        <v>1</v>
      </c>
      <c r="F1170" t="str">
        <f t="shared" si="424"/>
        <v>COM</v>
      </c>
      <c r="G1170" t="str">
        <f t="shared" si="426"/>
        <v>BEM TE FAZ 01 (10283)</v>
      </c>
      <c r="H1170" t="s">
        <v>321</v>
      </c>
      <c r="I1170" t="str">
        <f t="shared" si="427"/>
        <v>03/02/2026</v>
      </c>
      <c r="J1170" t="str">
        <f t="shared" si="428"/>
        <v>27/01/2026</v>
      </c>
      <c r="K1170">
        <v>46056</v>
      </c>
      <c r="N1170">
        <v>303</v>
      </c>
      <c r="O1170" t="s">
        <v>26</v>
      </c>
      <c r="Q1170">
        <v>687.25</v>
      </c>
      <c r="R1170" t="str">
        <f>"BEM TE FAZ LOJA 3 (10287)"</f>
        <v>BEM TE FAZ LOJA 3 (10287)</v>
      </c>
      <c r="S1170" t="s">
        <v>27</v>
      </c>
      <c r="T1170">
        <v>4240</v>
      </c>
      <c r="U1170">
        <v>3597</v>
      </c>
      <c r="V1170" t="s">
        <v>88</v>
      </c>
    </row>
    <row r="1171" spans="1:22">
      <c r="A1171" t="str">
        <f t="shared" ref="A1171:A1202" si="429">("04/02/2026")</f>
        <v>04/02/2026</v>
      </c>
      <c r="B1171" t="str">
        <f>"SAÍDA"</f>
        <v>SAÍDA</v>
      </c>
      <c r="C1171" t="str">
        <f>"BOLETO"</f>
        <v>BOLETO</v>
      </c>
      <c r="D1171" t="str">
        <f>"19983"</f>
        <v>19983</v>
      </c>
      <c r="E1171" t="str">
        <f>"11"</f>
        <v>11</v>
      </c>
      <c r="F1171" t="str">
        <f t="shared" si="424"/>
        <v>COM</v>
      </c>
      <c r="G1171" t="str">
        <f>"SUL AMERICA COMPANHIA DE SEGURO SAUDE (20080)"</f>
        <v>SUL AMERICA COMPANHIA DE SEGURO SAUDE (20080)</v>
      </c>
      <c r="H1171" t="str">
        <f>"CONVENIO MEDICO SOCIOS E DEPENDENTES"</f>
        <v>CONVENIO MEDICO SOCIOS E DEPENDENTES</v>
      </c>
      <c r="I1171" t="str">
        <f>("01/02/2026")</f>
        <v>01/02/2026</v>
      </c>
      <c r="J1171" t="str">
        <f>("01/10/2025")</f>
        <v>01/10/2025</v>
      </c>
      <c r="K1171" t="str">
        <f>("04/02/2026")</f>
        <v>04/02/2026</v>
      </c>
      <c r="L1171">
        <v>3134.57</v>
      </c>
      <c r="M1171">
        <v>3134.57</v>
      </c>
      <c r="N1171">
        <v>192</v>
      </c>
      <c r="O1171" t="str">
        <f>"PLANOS E SEGUROS"</f>
        <v>PLANOS E SEGUROS</v>
      </c>
      <c r="P1171">
        <v>3134.57</v>
      </c>
      <c r="S1171" t="str">
        <f>"BANCO CORA (102)"</f>
        <v>BANCO CORA (102)</v>
      </c>
      <c r="T1171">
        <v>4151</v>
      </c>
      <c r="U1171">
        <v>2214</v>
      </c>
      <c r="V1171" t="s">
        <v>22</v>
      </c>
    </row>
    <row r="1172" spans="1:22">
      <c r="A1172" t="str">
        <f t="shared" si="429"/>
        <v>04/02/2026</v>
      </c>
      <c r="B1172" t="str">
        <f>"SAÍDA"</f>
        <v>SAÍDA</v>
      </c>
      <c r="C1172" t="str">
        <f>"BOLETO"</f>
        <v>BOLETO</v>
      </c>
      <c r="D1172" t="str">
        <f>"19983"</f>
        <v>19983</v>
      </c>
      <c r="E1172" t="str">
        <f>"11"</f>
        <v>11</v>
      </c>
      <c r="F1172" t="str">
        <f t="shared" si="424"/>
        <v>COM</v>
      </c>
      <c r="G1172" t="str">
        <f>"SUL AMERICA COMPANHIA DE SEGURO SAUDE (20080)"</f>
        <v>SUL AMERICA COMPANHIA DE SEGURO SAUDE (20080)</v>
      </c>
      <c r="H1172" t="s">
        <v>23</v>
      </c>
      <c r="I1172" t="str">
        <f>("01/02/2026")</f>
        <v>01/02/2026</v>
      </c>
      <c r="J1172" t="str">
        <f>("01/10/2025")</f>
        <v>01/10/2025</v>
      </c>
      <c r="K1172">
        <v>46057</v>
      </c>
      <c r="N1172">
        <v>192</v>
      </c>
      <c r="O1172" t="s">
        <v>24</v>
      </c>
      <c r="Q1172">
        <v>3134.57</v>
      </c>
      <c r="R1172" t="str">
        <f>"SUL AMERICA COMPANHIA DE SEGURO SAUDE (20080)"</f>
        <v>SUL AMERICA COMPANHIA DE SEGURO SAUDE (20080)</v>
      </c>
      <c r="S1172" t="s">
        <v>22</v>
      </c>
      <c r="T1172">
        <v>4151</v>
      </c>
      <c r="U1172">
        <v>2214</v>
      </c>
      <c r="V1172" t="s">
        <v>22</v>
      </c>
    </row>
    <row r="1173" spans="1:22">
      <c r="A1173" t="str">
        <f t="shared" si="429"/>
        <v>04/02/2026</v>
      </c>
      <c r="B1173" t="str">
        <f>"SAÍDA"</f>
        <v>SAÍDA</v>
      </c>
      <c r="C1173" t="str">
        <f>"PIX"</f>
        <v>PIX</v>
      </c>
      <c r="D1173" t="str">
        <f>"27012026"</f>
        <v>27012026</v>
      </c>
      <c r="E1173" t="str">
        <f>""</f>
        <v/>
      </c>
      <c r="F1173" t="str">
        <f t="shared" si="424"/>
        <v>COM</v>
      </c>
      <c r="G1173" t="str">
        <f>"LOCALIZA RENT A CAR SA (20068)"</f>
        <v>LOCALIZA RENT A CAR SA (20068)</v>
      </c>
      <c r="H1173" t="str">
        <f>"DESPESAS COM VIAGEM LIMEIRA E RIO CLARO/SP"</f>
        <v>DESPESAS COM VIAGEM LIMEIRA E RIO CLARO/SP</v>
      </c>
      <c r="I1173" t="str">
        <f>("27/01/2026")</f>
        <v>27/01/2026</v>
      </c>
      <c r="J1173" t="str">
        <f>("27/01/2026")</f>
        <v>27/01/2026</v>
      </c>
      <c r="K1173" t="str">
        <f>("04/02/2026")</f>
        <v>04/02/2026</v>
      </c>
      <c r="L1173">
        <v>993.59</v>
      </c>
      <c r="M1173">
        <v>993.59</v>
      </c>
      <c r="N1173">
        <v>128</v>
      </c>
      <c r="O1173" t="str">
        <f>"DESPESAS COM VIAGENS"</f>
        <v>DESPESAS COM VIAGENS</v>
      </c>
      <c r="P1173">
        <v>993.59</v>
      </c>
      <c r="S1173" t="str">
        <f>"BANCO CORA (102)"</f>
        <v>BANCO CORA (102)</v>
      </c>
      <c r="T1173">
        <v>4179</v>
      </c>
      <c r="U1173">
        <v>3594</v>
      </c>
      <c r="V1173" t="s">
        <v>22</v>
      </c>
    </row>
    <row r="1174" spans="1:22">
      <c r="A1174" t="str">
        <f t="shared" si="429"/>
        <v>04/02/2026</v>
      </c>
      <c r="B1174" t="str">
        <f>"SAÍDA"</f>
        <v>SAÍDA</v>
      </c>
      <c r="C1174" t="str">
        <f>"PIX"</f>
        <v>PIX</v>
      </c>
      <c r="D1174" t="str">
        <f>"27012026"</f>
        <v>27012026</v>
      </c>
      <c r="E1174" t="str">
        <f>""</f>
        <v/>
      </c>
      <c r="F1174" t="str">
        <f t="shared" si="424"/>
        <v>COM</v>
      </c>
      <c r="G1174" t="str">
        <f>"LOCALIZA RENT A CAR SA (20068)"</f>
        <v>LOCALIZA RENT A CAR SA (20068)</v>
      </c>
      <c r="H1174" t="s">
        <v>322</v>
      </c>
      <c r="I1174" t="str">
        <f>("27/01/2026")</f>
        <v>27/01/2026</v>
      </c>
      <c r="J1174" t="str">
        <f>("27/01/2026")</f>
        <v>27/01/2026</v>
      </c>
      <c r="K1174">
        <v>46057</v>
      </c>
      <c r="N1174">
        <v>128</v>
      </c>
      <c r="O1174" t="s">
        <v>60</v>
      </c>
      <c r="Q1174">
        <v>993.59</v>
      </c>
      <c r="R1174" t="str">
        <f>"LOCALIZA RENT A CAR SA (20068)"</f>
        <v>LOCALIZA RENT A CAR SA (20068)</v>
      </c>
      <c r="S1174" t="s">
        <v>22</v>
      </c>
      <c r="T1174">
        <v>4179</v>
      </c>
      <c r="U1174">
        <v>3594</v>
      </c>
      <c r="V1174" t="s">
        <v>22</v>
      </c>
    </row>
    <row r="1175" spans="1:22">
      <c r="A1175" t="str">
        <f t="shared" si="429"/>
        <v>04/02/2026</v>
      </c>
      <c r="B1175" t="str">
        <f t="shared" ref="B1175:B1206" si="430">"ENTRADA"</f>
        <v>ENTRADA</v>
      </c>
      <c r="C1175" t="str">
        <f t="shared" ref="C1175:C1206" si="431">"NFSE"</f>
        <v>NFSE</v>
      </c>
      <c r="D1175" t="str">
        <f t="shared" ref="D1175:D1186" si="432">"158"</f>
        <v>158</v>
      </c>
      <c r="E1175" t="str">
        <f t="shared" ref="E1175:E1206" si="433">"1"</f>
        <v>1</v>
      </c>
      <c r="F1175" t="str">
        <f t="shared" si="424"/>
        <v>COM</v>
      </c>
      <c r="G1175" t="str">
        <f t="shared" ref="G1175:G1186" si="434">"FARMÁCIA INDIANA LJ 85 (10128)"</f>
        <v>FARMÁCIA INDIANA LJ 85 (10128)</v>
      </c>
      <c r="H1175" t="str">
        <f>"Serv.Prest. 19/01/2026 a 25/01/2026 - RPS: 2084 - NFSe: 158"</f>
        <v>Serv.Prest. 19/01/2026 a 25/01/2026 - RPS: 2084 - NFSe: 158</v>
      </c>
      <c r="I1175" t="str">
        <f t="shared" ref="I1175:I1206" si="435">("04/02/2026")</f>
        <v>04/02/2026</v>
      </c>
      <c r="J1175" t="str">
        <f t="shared" ref="J1175:J1206" si="436">("26/01/2026")</f>
        <v>26/01/2026</v>
      </c>
      <c r="K1175" t="str">
        <f>("04/02/2026")</f>
        <v>04/02/2026</v>
      </c>
      <c r="L1175">
        <v>1054.02</v>
      </c>
      <c r="M1175">
        <v>1054.02</v>
      </c>
      <c r="N1175">
        <v>303</v>
      </c>
      <c r="O1175" t="str">
        <f>"RECEITAS COM ENTREGAS"</f>
        <v>RECEITAS COM ENTREGAS</v>
      </c>
      <c r="P1175">
        <v>1054.02</v>
      </c>
      <c r="S1175" t="str">
        <f>"RECEITAS COM ENTREGAS (303)"</f>
        <v>RECEITAS COM ENTREGAS (303)</v>
      </c>
      <c r="T1175">
        <v>4198</v>
      </c>
      <c r="U1175">
        <v>3551</v>
      </c>
      <c r="V1175" t="s">
        <v>22</v>
      </c>
    </row>
    <row r="1176" spans="1:22">
      <c r="A1176" t="str">
        <f t="shared" si="429"/>
        <v>04/02/2026</v>
      </c>
      <c r="B1176" t="str">
        <f t="shared" si="430"/>
        <v>ENTRADA</v>
      </c>
      <c r="C1176" t="str">
        <f t="shared" si="431"/>
        <v>NFSE</v>
      </c>
      <c r="D1176" t="str">
        <f t="shared" si="432"/>
        <v>158</v>
      </c>
      <c r="E1176" t="str">
        <f t="shared" si="433"/>
        <v>1</v>
      </c>
      <c r="F1176" t="str">
        <f t="shared" si="424"/>
        <v>COM</v>
      </c>
      <c r="G1176" t="str">
        <f t="shared" si="434"/>
        <v>FARMÁCIA INDIANA LJ 85 (10128)</v>
      </c>
      <c r="H1176" t="s">
        <v>323</v>
      </c>
      <c r="I1176" t="str">
        <f t="shared" si="435"/>
        <v>04/02/2026</v>
      </c>
      <c r="J1176" t="str">
        <f t="shared" si="436"/>
        <v>26/01/2026</v>
      </c>
      <c r="K1176">
        <v>46057</v>
      </c>
      <c r="N1176">
        <v>303</v>
      </c>
      <c r="O1176" t="s">
        <v>26</v>
      </c>
      <c r="Q1176">
        <v>108.03</v>
      </c>
      <c r="R1176" t="str">
        <f>"FARMÁCIA INDIANA LJ 119 (10053)"</f>
        <v>FARMÁCIA INDIANA LJ 119 (10053)</v>
      </c>
      <c r="S1176" t="s">
        <v>27</v>
      </c>
      <c r="T1176">
        <v>4198</v>
      </c>
      <c r="U1176">
        <v>3551</v>
      </c>
      <c r="V1176" t="s">
        <v>22</v>
      </c>
    </row>
    <row r="1177" spans="1:22">
      <c r="A1177" t="str">
        <f t="shared" si="429"/>
        <v>04/02/2026</v>
      </c>
      <c r="B1177" t="str">
        <f t="shared" si="430"/>
        <v>ENTRADA</v>
      </c>
      <c r="C1177" t="str">
        <f t="shared" si="431"/>
        <v>NFSE</v>
      </c>
      <c r="D1177" t="str">
        <f t="shared" si="432"/>
        <v>158</v>
      </c>
      <c r="E1177" t="str">
        <f t="shared" si="433"/>
        <v>1</v>
      </c>
      <c r="F1177" t="str">
        <f t="shared" si="424"/>
        <v>COM</v>
      </c>
      <c r="G1177" t="str">
        <f t="shared" si="434"/>
        <v>FARMÁCIA INDIANA LJ 85 (10128)</v>
      </c>
      <c r="H1177" t="s">
        <v>323</v>
      </c>
      <c r="I1177" t="str">
        <f t="shared" si="435"/>
        <v>04/02/2026</v>
      </c>
      <c r="J1177" t="str">
        <f t="shared" si="436"/>
        <v>26/01/2026</v>
      </c>
      <c r="K1177">
        <v>46057</v>
      </c>
      <c r="N1177">
        <v>303</v>
      </c>
      <c r="O1177" t="s">
        <v>26</v>
      </c>
      <c r="Q1177">
        <v>99.18</v>
      </c>
      <c r="R1177" t="str">
        <f>"FARMÁCIA INDIANA LJ 163 (10072)"</f>
        <v>FARMÁCIA INDIANA LJ 163 (10072)</v>
      </c>
      <c r="S1177" t="s">
        <v>27</v>
      </c>
      <c r="T1177">
        <v>4198</v>
      </c>
      <c r="U1177">
        <v>3551</v>
      </c>
      <c r="V1177" t="s">
        <v>22</v>
      </c>
    </row>
    <row r="1178" spans="1:22">
      <c r="A1178" t="str">
        <f t="shared" si="429"/>
        <v>04/02/2026</v>
      </c>
      <c r="B1178" t="str">
        <f t="shared" si="430"/>
        <v>ENTRADA</v>
      </c>
      <c r="C1178" t="str">
        <f t="shared" si="431"/>
        <v>NFSE</v>
      </c>
      <c r="D1178" t="str">
        <f t="shared" si="432"/>
        <v>158</v>
      </c>
      <c r="E1178" t="str">
        <f t="shared" si="433"/>
        <v>1</v>
      </c>
      <c r="F1178" t="str">
        <f t="shared" si="424"/>
        <v>COM</v>
      </c>
      <c r="G1178" t="str">
        <f t="shared" si="434"/>
        <v>FARMÁCIA INDIANA LJ 85 (10128)</v>
      </c>
      <c r="H1178" t="s">
        <v>323</v>
      </c>
      <c r="I1178" t="str">
        <f t="shared" si="435"/>
        <v>04/02/2026</v>
      </c>
      <c r="J1178" t="str">
        <f t="shared" si="436"/>
        <v>26/01/2026</v>
      </c>
      <c r="K1178">
        <v>46057</v>
      </c>
      <c r="N1178">
        <v>303</v>
      </c>
      <c r="O1178" t="s">
        <v>26</v>
      </c>
      <c r="Q1178">
        <v>181.19</v>
      </c>
      <c r="R1178" t="str">
        <f>"FARMÁCIA INDIANA LJ 181 (10078)"</f>
        <v>FARMÁCIA INDIANA LJ 181 (10078)</v>
      </c>
      <c r="S1178" t="s">
        <v>27</v>
      </c>
      <c r="T1178">
        <v>4198</v>
      </c>
      <c r="U1178">
        <v>3551</v>
      </c>
      <c r="V1178" t="s">
        <v>22</v>
      </c>
    </row>
    <row r="1179" spans="1:22">
      <c r="A1179" t="str">
        <f t="shared" si="429"/>
        <v>04/02/2026</v>
      </c>
      <c r="B1179" t="str">
        <f t="shared" si="430"/>
        <v>ENTRADA</v>
      </c>
      <c r="C1179" t="str">
        <f t="shared" si="431"/>
        <v>NFSE</v>
      </c>
      <c r="D1179" t="str">
        <f t="shared" si="432"/>
        <v>158</v>
      </c>
      <c r="E1179" t="str">
        <f t="shared" si="433"/>
        <v>1</v>
      </c>
      <c r="F1179" t="str">
        <f t="shared" si="424"/>
        <v>COM</v>
      </c>
      <c r="G1179" t="str">
        <f t="shared" si="434"/>
        <v>FARMÁCIA INDIANA LJ 85 (10128)</v>
      </c>
      <c r="H1179" t="s">
        <v>323</v>
      </c>
      <c r="I1179" t="str">
        <f t="shared" si="435"/>
        <v>04/02/2026</v>
      </c>
      <c r="J1179" t="str">
        <f t="shared" si="436"/>
        <v>26/01/2026</v>
      </c>
      <c r="K1179">
        <v>46057</v>
      </c>
      <c r="N1179">
        <v>303</v>
      </c>
      <c r="O1179" t="s">
        <v>26</v>
      </c>
      <c r="Q1179">
        <v>107.83</v>
      </c>
      <c r="R1179" t="str">
        <f>"FARMÁCIA INDIANA LJ 221 (10093)"</f>
        <v>FARMÁCIA INDIANA LJ 221 (10093)</v>
      </c>
      <c r="S1179" t="s">
        <v>27</v>
      </c>
      <c r="T1179">
        <v>4198</v>
      </c>
      <c r="U1179">
        <v>3551</v>
      </c>
      <c r="V1179" t="s">
        <v>22</v>
      </c>
    </row>
    <row r="1180" spans="1:22">
      <c r="A1180" t="str">
        <f t="shared" si="429"/>
        <v>04/02/2026</v>
      </c>
      <c r="B1180" t="str">
        <f t="shared" si="430"/>
        <v>ENTRADA</v>
      </c>
      <c r="C1180" t="str">
        <f t="shared" si="431"/>
        <v>NFSE</v>
      </c>
      <c r="D1180" t="str">
        <f t="shared" si="432"/>
        <v>158</v>
      </c>
      <c r="E1180" t="str">
        <f t="shared" si="433"/>
        <v>1</v>
      </c>
      <c r="F1180" t="str">
        <f t="shared" si="424"/>
        <v>COM</v>
      </c>
      <c r="G1180" t="str">
        <f t="shared" si="434"/>
        <v>FARMÁCIA INDIANA LJ 85 (10128)</v>
      </c>
      <c r="H1180" t="s">
        <v>323</v>
      </c>
      <c r="I1180" t="str">
        <f t="shared" si="435"/>
        <v>04/02/2026</v>
      </c>
      <c r="J1180" t="str">
        <f t="shared" si="436"/>
        <v>26/01/2026</v>
      </c>
      <c r="K1180">
        <v>46057</v>
      </c>
      <c r="N1180">
        <v>303</v>
      </c>
      <c r="O1180" t="s">
        <v>26</v>
      </c>
      <c r="Q1180">
        <v>118.58</v>
      </c>
      <c r="R1180" t="str">
        <f>"FARMÁCIA INDIANA LJ 243 (10142)"</f>
        <v>FARMÁCIA INDIANA LJ 243 (10142)</v>
      </c>
      <c r="S1180" t="s">
        <v>27</v>
      </c>
      <c r="T1180">
        <v>4198</v>
      </c>
      <c r="U1180">
        <v>3551</v>
      </c>
      <c r="V1180" t="s">
        <v>22</v>
      </c>
    </row>
    <row r="1181" spans="1:22">
      <c r="A1181" t="str">
        <f t="shared" si="429"/>
        <v>04/02/2026</v>
      </c>
      <c r="B1181" t="str">
        <f t="shared" si="430"/>
        <v>ENTRADA</v>
      </c>
      <c r="C1181" t="str">
        <f t="shared" si="431"/>
        <v>NFSE</v>
      </c>
      <c r="D1181" t="str">
        <f t="shared" si="432"/>
        <v>158</v>
      </c>
      <c r="E1181" t="str">
        <f t="shared" si="433"/>
        <v>1</v>
      </c>
      <c r="F1181" t="str">
        <f t="shared" si="424"/>
        <v>COM</v>
      </c>
      <c r="G1181" t="str">
        <f t="shared" si="434"/>
        <v>FARMÁCIA INDIANA LJ 85 (10128)</v>
      </c>
      <c r="H1181" t="s">
        <v>323</v>
      </c>
      <c r="I1181" t="str">
        <f t="shared" si="435"/>
        <v>04/02/2026</v>
      </c>
      <c r="J1181" t="str">
        <f t="shared" si="436"/>
        <v>26/01/2026</v>
      </c>
      <c r="K1181">
        <v>46057</v>
      </c>
      <c r="N1181">
        <v>303</v>
      </c>
      <c r="O1181" t="s">
        <v>26</v>
      </c>
      <c r="Q1181">
        <v>58.29</v>
      </c>
      <c r="R1181" t="str">
        <f>"FARMÁCIA INDIANA LJ 211 (10168)"</f>
        <v>FARMÁCIA INDIANA LJ 211 (10168)</v>
      </c>
      <c r="S1181" t="s">
        <v>27</v>
      </c>
      <c r="T1181">
        <v>4198</v>
      </c>
      <c r="U1181">
        <v>3551</v>
      </c>
      <c r="V1181" t="s">
        <v>22</v>
      </c>
    </row>
    <row r="1182" spans="1:22">
      <c r="A1182" t="str">
        <f t="shared" si="429"/>
        <v>04/02/2026</v>
      </c>
      <c r="B1182" t="str">
        <f t="shared" si="430"/>
        <v>ENTRADA</v>
      </c>
      <c r="C1182" t="str">
        <f t="shared" si="431"/>
        <v>NFSE</v>
      </c>
      <c r="D1182" t="str">
        <f t="shared" si="432"/>
        <v>158</v>
      </c>
      <c r="E1182" t="str">
        <f t="shared" si="433"/>
        <v>1</v>
      </c>
      <c r="F1182" t="str">
        <f t="shared" si="424"/>
        <v>COM</v>
      </c>
      <c r="G1182" t="str">
        <f t="shared" si="434"/>
        <v>FARMÁCIA INDIANA LJ 85 (10128)</v>
      </c>
      <c r="H1182" t="s">
        <v>323</v>
      </c>
      <c r="I1182" t="str">
        <f t="shared" si="435"/>
        <v>04/02/2026</v>
      </c>
      <c r="J1182" t="str">
        <f t="shared" si="436"/>
        <v>26/01/2026</v>
      </c>
      <c r="K1182">
        <v>46057</v>
      </c>
      <c r="N1182">
        <v>303</v>
      </c>
      <c r="O1182" t="s">
        <v>26</v>
      </c>
      <c r="Q1182">
        <v>56.6</v>
      </c>
      <c r="R1182" t="str">
        <f>"FARMÁCIA INDIANA LJ 236 (10169)"</f>
        <v>FARMÁCIA INDIANA LJ 236 (10169)</v>
      </c>
      <c r="S1182" t="s">
        <v>27</v>
      </c>
      <c r="T1182">
        <v>4198</v>
      </c>
      <c r="U1182">
        <v>3551</v>
      </c>
      <c r="V1182" t="s">
        <v>22</v>
      </c>
    </row>
    <row r="1183" spans="1:22">
      <c r="A1183" t="str">
        <f t="shared" si="429"/>
        <v>04/02/2026</v>
      </c>
      <c r="B1183" t="str">
        <f t="shared" si="430"/>
        <v>ENTRADA</v>
      </c>
      <c r="C1183" t="str">
        <f t="shared" si="431"/>
        <v>NFSE</v>
      </c>
      <c r="D1183" t="str">
        <f t="shared" si="432"/>
        <v>158</v>
      </c>
      <c r="E1183" t="str">
        <f t="shared" si="433"/>
        <v>1</v>
      </c>
      <c r="F1183" t="str">
        <f t="shared" si="424"/>
        <v>COM</v>
      </c>
      <c r="G1183" t="str">
        <f t="shared" si="434"/>
        <v>FARMÁCIA INDIANA LJ 85 (10128)</v>
      </c>
      <c r="H1183" t="s">
        <v>323</v>
      </c>
      <c r="I1183" t="str">
        <f t="shared" si="435"/>
        <v>04/02/2026</v>
      </c>
      <c r="J1183" t="str">
        <f t="shared" si="436"/>
        <v>26/01/2026</v>
      </c>
      <c r="K1183">
        <v>46057</v>
      </c>
      <c r="N1183">
        <v>303</v>
      </c>
      <c r="O1183" t="s">
        <v>26</v>
      </c>
      <c r="Q1183">
        <v>114.89</v>
      </c>
      <c r="R1183" t="str">
        <f>"FARMÁCIA INDIANA LJ 188 (10176)"</f>
        <v>FARMÁCIA INDIANA LJ 188 (10176)</v>
      </c>
      <c r="S1183" t="s">
        <v>27</v>
      </c>
      <c r="T1183">
        <v>4198</v>
      </c>
      <c r="U1183">
        <v>3551</v>
      </c>
      <c r="V1183" t="s">
        <v>22</v>
      </c>
    </row>
    <row r="1184" spans="1:22">
      <c r="A1184" t="str">
        <f t="shared" si="429"/>
        <v>04/02/2026</v>
      </c>
      <c r="B1184" t="str">
        <f t="shared" si="430"/>
        <v>ENTRADA</v>
      </c>
      <c r="C1184" t="str">
        <f t="shared" si="431"/>
        <v>NFSE</v>
      </c>
      <c r="D1184" t="str">
        <f t="shared" si="432"/>
        <v>158</v>
      </c>
      <c r="E1184" t="str">
        <f t="shared" si="433"/>
        <v>1</v>
      </c>
      <c r="F1184" t="str">
        <f t="shared" si="424"/>
        <v>COM</v>
      </c>
      <c r="G1184" t="str">
        <f t="shared" si="434"/>
        <v>FARMÁCIA INDIANA LJ 85 (10128)</v>
      </c>
      <c r="H1184" t="s">
        <v>323</v>
      </c>
      <c r="I1184" t="str">
        <f t="shared" si="435"/>
        <v>04/02/2026</v>
      </c>
      <c r="J1184" t="str">
        <f t="shared" si="436"/>
        <v>26/01/2026</v>
      </c>
      <c r="K1184">
        <v>46057</v>
      </c>
      <c r="N1184">
        <v>303</v>
      </c>
      <c r="O1184" t="s">
        <v>26</v>
      </c>
      <c r="Q1184">
        <v>135.02000000000001</v>
      </c>
      <c r="R1184" t="str">
        <f>"FARMÁCIA INDIANA LJ 273 (10188)"</f>
        <v>FARMÁCIA INDIANA LJ 273 (10188)</v>
      </c>
      <c r="S1184" t="s">
        <v>27</v>
      </c>
      <c r="T1184">
        <v>4198</v>
      </c>
      <c r="U1184">
        <v>3551</v>
      </c>
      <c r="V1184" t="s">
        <v>22</v>
      </c>
    </row>
    <row r="1185" spans="1:22">
      <c r="A1185" t="str">
        <f t="shared" si="429"/>
        <v>04/02/2026</v>
      </c>
      <c r="B1185" t="str">
        <f t="shared" si="430"/>
        <v>ENTRADA</v>
      </c>
      <c r="C1185" t="str">
        <f t="shared" si="431"/>
        <v>NFSE</v>
      </c>
      <c r="D1185" t="str">
        <f t="shared" si="432"/>
        <v>158</v>
      </c>
      <c r="E1185" t="str">
        <f t="shared" si="433"/>
        <v>1</v>
      </c>
      <c r="F1185" t="str">
        <f t="shared" si="424"/>
        <v>COM</v>
      </c>
      <c r="G1185" t="str">
        <f t="shared" si="434"/>
        <v>FARMÁCIA INDIANA LJ 85 (10128)</v>
      </c>
      <c r="H1185" t="s">
        <v>323</v>
      </c>
      <c r="I1185" t="str">
        <f t="shared" si="435"/>
        <v>04/02/2026</v>
      </c>
      <c r="J1185" t="str">
        <f t="shared" si="436"/>
        <v>26/01/2026</v>
      </c>
      <c r="K1185">
        <v>46057</v>
      </c>
      <c r="N1185">
        <v>303</v>
      </c>
      <c r="O1185" t="s">
        <v>26</v>
      </c>
      <c r="Q1185">
        <v>18.02</v>
      </c>
      <c r="R1185" t="str">
        <f>"FARMÁCIA INDIANA LJ 235 (10190)"</f>
        <v>FARMÁCIA INDIANA LJ 235 (10190)</v>
      </c>
      <c r="S1185" t="s">
        <v>27</v>
      </c>
      <c r="T1185">
        <v>4198</v>
      </c>
      <c r="U1185">
        <v>3551</v>
      </c>
      <c r="V1185" t="s">
        <v>22</v>
      </c>
    </row>
    <row r="1186" spans="1:22">
      <c r="A1186" t="str">
        <f t="shared" si="429"/>
        <v>04/02/2026</v>
      </c>
      <c r="B1186" t="str">
        <f t="shared" si="430"/>
        <v>ENTRADA</v>
      </c>
      <c r="C1186" t="str">
        <f t="shared" si="431"/>
        <v>NFSE</v>
      </c>
      <c r="D1186" t="str">
        <f t="shared" si="432"/>
        <v>158</v>
      </c>
      <c r="E1186" t="str">
        <f t="shared" si="433"/>
        <v>1</v>
      </c>
      <c r="F1186" t="str">
        <f t="shared" si="424"/>
        <v>COM</v>
      </c>
      <c r="G1186" t="str">
        <f t="shared" si="434"/>
        <v>FARMÁCIA INDIANA LJ 85 (10128)</v>
      </c>
      <c r="H1186" t="s">
        <v>323</v>
      </c>
      <c r="I1186" t="str">
        <f t="shared" si="435"/>
        <v>04/02/2026</v>
      </c>
      <c r="J1186" t="str">
        <f t="shared" si="436"/>
        <v>26/01/2026</v>
      </c>
      <c r="K1186">
        <v>46057</v>
      </c>
      <c r="N1186">
        <v>303</v>
      </c>
      <c r="O1186" t="s">
        <v>26</v>
      </c>
      <c r="Q1186">
        <v>56.39</v>
      </c>
      <c r="R1186" t="str">
        <f>"FARMÁCIA INDIANA LJ 292 (10282)"</f>
        <v>FARMÁCIA INDIANA LJ 292 (10282)</v>
      </c>
      <c r="S1186" t="s">
        <v>27</v>
      </c>
      <c r="T1186">
        <v>4198</v>
      </c>
      <c r="U1186">
        <v>3551</v>
      </c>
      <c r="V1186" t="s">
        <v>22</v>
      </c>
    </row>
    <row r="1187" spans="1:22">
      <c r="A1187" t="str">
        <f t="shared" si="429"/>
        <v>04/02/2026</v>
      </c>
      <c r="B1187" t="str">
        <f t="shared" si="430"/>
        <v>ENTRADA</v>
      </c>
      <c r="C1187" t="str">
        <f t="shared" si="431"/>
        <v>NFSE</v>
      </c>
      <c r="D1187" t="str">
        <f t="shared" ref="D1187:D1204" si="437">"159"</f>
        <v>159</v>
      </c>
      <c r="E1187" t="str">
        <f t="shared" si="433"/>
        <v>1</v>
      </c>
      <c r="F1187" t="str">
        <f t="shared" si="424"/>
        <v>COM</v>
      </c>
      <c r="G1187" t="str">
        <f t="shared" ref="G1187:G1204" si="438">"FARMÁCIA INDIANA LJ 30 (10127)"</f>
        <v>FARMÁCIA INDIANA LJ 30 (10127)</v>
      </c>
      <c r="H1187" t="str">
        <f>"Serv.Prest. 19/01/2026 a 25/01/2026 - RPS: 2085 - NFSe: 159"</f>
        <v>Serv.Prest. 19/01/2026 a 25/01/2026 - RPS: 2085 - NFSe: 159</v>
      </c>
      <c r="I1187" t="str">
        <f t="shared" si="435"/>
        <v>04/02/2026</v>
      </c>
      <c r="J1187" t="str">
        <f t="shared" si="436"/>
        <v>26/01/2026</v>
      </c>
      <c r="K1187" t="str">
        <f>("04/02/2026")</f>
        <v>04/02/2026</v>
      </c>
      <c r="L1187">
        <v>3178</v>
      </c>
      <c r="M1187">
        <v>3178</v>
      </c>
      <c r="N1187">
        <v>303</v>
      </c>
      <c r="O1187" t="str">
        <f>"RECEITAS COM ENTREGAS"</f>
        <v>RECEITAS COM ENTREGAS</v>
      </c>
      <c r="P1187">
        <v>3178</v>
      </c>
      <c r="S1187" t="str">
        <f>"RECEITAS COM ENTREGAS (303)"</f>
        <v>RECEITAS COM ENTREGAS (303)</v>
      </c>
      <c r="T1187">
        <v>4199</v>
      </c>
      <c r="U1187">
        <v>3552</v>
      </c>
      <c r="V1187" t="s">
        <v>22</v>
      </c>
    </row>
    <row r="1188" spans="1:22">
      <c r="A1188" t="str">
        <f t="shared" si="429"/>
        <v>04/02/2026</v>
      </c>
      <c r="B1188" t="str">
        <f t="shared" si="430"/>
        <v>ENTRADA</v>
      </c>
      <c r="C1188" t="str">
        <f t="shared" si="431"/>
        <v>NFSE</v>
      </c>
      <c r="D1188" t="str">
        <f t="shared" si="437"/>
        <v>159</v>
      </c>
      <c r="E1188" t="str">
        <f t="shared" si="433"/>
        <v>1</v>
      </c>
      <c r="F1188" t="str">
        <f t="shared" si="424"/>
        <v>COM</v>
      </c>
      <c r="G1188" t="str">
        <f t="shared" si="438"/>
        <v>FARMÁCIA INDIANA LJ 30 (10127)</v>
      </c>
      <c r="H1188" t="s">
        <v>324</v>
      </c>
      <c r="I1188" t="str">
        <f t="shared" si="435"/>
        <v>04/02/2026</v>
      </c>
      <c r="J1188" t="str">
        <f t="shared" si="436"/>
        <v>26/01/2026</v>
      </c>
      <c r="K1188">
        <v>46057</v>
      </c>
      <c r="N1188">
        <v>303</v>
      </c>
      <c r="O1188" t="s">
        <v>26</v>
      </c>
      <c r="Q1188">
        <v>343.54</v>
      </c>
      <c r="R1188" t="str">
        <f>"FARMÁCIA INDIANA LJ 34 (10014)"</f>
        <v>FARMÁCIA INDIANA LJ 34 (10014)</v>
      </c>
      <c r="S1188" t="s">
        <v>27</v>
      </c>
      <c r="T1188">
        <v>4199</v>
      </c>
      <c r="U1188">
        <v>3552</v>
      </c>
      <c r="V1188" t="s">
        <v>22</v>
      </c>
    </row>
    <row r="1189" spans="1:22">
      <c r="A1189" t="str">
        <f t="shared" si="429"/>
        <v>04/02/2026</v>
      </c>
      <c r="B1189" t="str">
        <f t="shared" si="430"/>
        <v>ENTRADA</v>
      </c>
      <c r="C1189" t="str">
        <f t="shared" si="431"/>
        <v>NFSE</v>
      </c>
      <c r="D1189" t="str">
        <f t="shared" si="437"/>
        <v>159</v>
      </c>
      <c r="E1189" t="str">
        <f t="shared" si="433"/>
        <v>1</v>
      </c>
      <c r="F1189" t="str">
        <f t="shared" si="424"/>
        <v>COM</v>
      </c>
      <c r="G1189" t="str">
        <f t="shared" si="438"/>
        <v>FARMÁCIA INDIANA LJ 30 (10127)</v>
      </c>
      <c r="H1189" t="s">
        <v>324</v>
      </c>
      <c r="I1189" t="str">
        <f t="shared" si="435"/>
        <v>04/02/2026</v>
      </c>
      <c r="J1189" t="str">
        <f t="shared" si="436"/>
        <v>26/01/2026</v>
      </c>
      <c r="K1189">
        <v>46057</v>
      </c>
      <c r="N1189">
        <v>303</v>
      </c>
      <c r="O1189" t="s">
        <v>26</v>
      </c>
      <c r="Q1189">
        <v>168.12</v>
      </c>
      <c r="R1189" t="str">
        <f>"FARMÁCIA INDIANA LJ 35 (10015)"</f>
        <v>FARMÁCIA INDIANA LJ 35 (10015)</v>
      </c>
      <c r="S1189" t="s">
        <v>27</v>
      </c>
      <c r="T1189">
        <v>4199</v>
      </c>
      <c r="U1189">
        <v>3552</v>
      </c>
      <c r="V1189" t="s">
        <v>22</v>
      </c>
    </row>
    <row r="1190" spans="1:22">
      <c r="A1190" t="str">
        <f t="shared" si="429"/>
        <v>04/02/2026</v>
      </c>
      <c r="B1190" t="str">
        <f t="shared" si="430"/>
        <v>ENTRADA</v>
      </c>
      <c r="C1190" t="str">
        <f t="shared" si="431"/>
        <v>NFSE</v>
      </c>
      <c r="D1190" t="str">
        <f t="shared" si="437"/>
        <v>159</v>
      </c>
      <c r="E1190" t="str">
        <f t="shared" si="433"/>
        <v>1</v>
      </c>
      <c r="F1190" t="str">
        <f t="shared" si="424"/>
        <v>COM</v>
      </c>
      <c r="G1190" t="str">
        <f t="shared" si="438"/>
        <v>FARMÁCIA INDIANA LJ 30 (10127)</v>
      </c>
      <c r="H1190" t="s">
        <v>324</v>
      </c>
      <c r="I1190" t="str">
        <f t="shared" si="435"/>
        <v>04/02/2026</v>
      </c>
      <c r="J1190" t="str">
        <f t="shared" si="436"/>
        <v>26/01/2026</v>
      </c>
      <c r="K1190">
        <v>46057</v>
      </c>
      <c r="N1190">
        <v>303</v>
      </c>
      <c r="O1190" t="s">
        <v>26</v>
      </c>
      <c r="Q1190">
        <v>252.33</v>
      </c>
      <c r="R1190" t="str">
        <f>"FARMÁCIA INDIANA LJ 48 (10018)"</f>
        <v>FARMÁCIA INDIANA LJ 48 (10018)</v>
      </c>
      <c r="S1190" t="s">
        <v>27</v>
      </c>
      <c r="T1190">
        <v>4199</v>
      </c>
      <c r="U1190">
        <v>3552</v>
      </c>
      <c r="V1190" t="s">
        <v>22</v>
      </c>
    </row>
    <row r="1191" spans="1:22">
      <c r="A1191" t="str">
        <f t="shared" si="429"/>
        <v>04/02/2026</v>
      </c>
      <c r="B1191" t="str">
        <f t="shared" si="430"/>
        <v>ENTRADA</v>
      </c>
      <c r="C1191" t="str">
        <f t="shared" si="431"/>
        <v>NFSE</v>
      </c>
      <c r="D1191" t="str">
        <f t="shared" si="437"/>
        <v>159</v>
      </c>
      <c r="E1191" t="str">
        <f t="shared" si="433"/>
        <v>1</v>
      </c>
      <c r="F1191" t="str">
        <f t="shared" si="424"/>
        <v>COM</v>
      </c>
      <c r="G1191" t="str">
        <f t="shared" si="438"/>
        <v>FARMÁCIA INDIANA LJ 30 (10127)</v>
      </c>
      <c r="H1191" t="s">
        <v>324</v>
      </c>
      <c r="I1191" t="str">
        <f t="shared" si="435"/>
        <v>04/02/2026</v>
      </c>
      <c r="J1191" t="str">
        <f t="shared" si="436"/>
        <v>26/01/2026</v>
      </c>
      <c r="K1191">
        <v>46057</v>
      </c>
      <c r="N1191">
        <v>303</v>
      </c>
      <c r="O1191" t="s">
        <v>26</v>
      </c>
      <c r="Q1191">
        <v>348.94</v>
      </c>
      <c r="R1191" t="str">
        <f>"FARMÁCIA INDIANA LJ 65 (10030)"</f>
        <v>FARMÁCIA INDIANA LJ 65 (10030)</v>
      </c>
      <c r="S1191" t="s">
        <v>27</v>
      </c>
      <c r="T1191">
        <v>4199</v>
      </c>
      <c r="U1191">
        <v>3552</v>
      </c>
      <c r="V1191" t="s">
        <v>22</v>
      </c>
    </row>
    <row r="1192" spans="1:22">
      <c r="A1192" t="str">
        <f t="shared" si="429"/>
        <v>04/02/2026</v>
      </c>
      <c r="B1192" t="str">
        <f t="shared" si="430"/>
        <v>ENTRADA</v>
      </c>
      <c r="C1192" t="str">
        <f t="shared" si="431"/>
        <v>NFSE</v>
      </c>
      <c r="D1192" t="str">
        <f t="shared" si="437"/>
        <v>159</v>
      </c>
      <c r="E1192" t="str">
        <f t="shared" si="433"/>
        <v>1</v>
      </c>
      <c r="F1192" t="str">
        <f t="shared" si="424"/>
        <v>COM</v>
      </c>
      <c r="G1192" t="str">
        <f t="shared" si="438"/>
        <v>FARMÁCIA INDIANA LJ 30 (10127)</v>
      </c>
      <c r="H1192" t="s">
        <v>324</v>
      </c>
      <c r="I1192" t="str">
        <f t="shared" si="435"/>
        <v>04/02/2026</v>
      </c>
      <c r="J1192" t="str">
        <f t="shared" si="436"/>
        <v>26/01/2026</v>
      </c>
      <c r="K1192">
        <v>46057</v>
      </c>
      <c r="N1192">
        <v>303</v>
      </c>
      <c r="O1192" t="s">
        <v>26</v>
      </c>
      <c r="Q1192">
        <v>85.81</v>
      </c>
      <c r="R1192" t="str">
        <f>"FARMÁCIA INDIANA LJ 77 (10034)"</f>
        <v>FARMÁCIA INDIANA LJ 77 (10034)</v>
      </c>
      <c r="S1192" t="s">
        <v>27</v>
      </c>
      <c r="T1192">
        <v>4199</v>
      </c>
      <c r="U1192">
        <v>3552</v>
      </c>
      <c r="V1192" t="s">
        <v>22</v>
      </c>
    </row>
    <row r="1193" spans="1:22">
      <c r="A1193" t="str">
        <f t="shared" si="429"/>
        <v>04/02/2026</v>
      </c>
      <c r="B1193" t="str">
        <f t="shared" si="430"/>
        <v>ENTRADA</v>
      </c>
      <c r="C1193" t="str">
        <f t="shared" si="431"/>
        <v>NFSE</v>
      </c>
      <c r="D1193" t="str">
        <f t="shared" si="437"/>
        <v>159</v>
      </c>
      <c r="E1193" t="str">
        <f t="shared" si="433"/>
        <v>1</v>
      </c>
      <c r="F1193" t="str">
        <f t="shared" si="424"/>
        <v>COM</v>
      </c>
      <c r="G1193" t="str">
        <f t="shared" si="438"/>
        <v>FARMÁCIA INDIANA LJ 30 (10127)</v>
      </c>
      <c r="H1193" t="s">
        <v>324</v>
      </c>
      <c r="I1193" t="str">
        <f t="shared" si="435"/>
        <v>04/02/2026</v>
      </c>
      <c r="J1193" t="str">
        <f t="shared" si="436"/>
        <v>26/01/2026</v>
      </c>
      <c r="K1193">
        <v>46057</v>
      </c>
      <c r="N1193">
        <v>303</v>
      </c>
      <c r="O1193" t="s">
        <v>26</v>
      </c>
      <c r="Q1193">
        <v>629.55999999999995</v>
      </c>
      <c r="R1193" t="str">
        <f>"FARMÁCIA INDIANA LJ 91 (10037)"</f>
        <v>FARMÁCIA INDIANA LJ 91 (10037)</v>
      </c>
      <c r="S1193" t="s">
        <v>27</v>
      </c>
      <c r="T1193">
        <v>4199</v>
      </c>
      <c r="U1193">
        <v>3552</v>
      </c>
      <c r="V1193" t="s">
        <v>22</v>
      </c>
    </row>
    <row r="1194" spans="1:22">
      <c r="A1194" t="str">
        <f t="shared" si="429"/>
        <v>04/02/2026</v>
      </c>
      <c r="B1194" t="str">
        <f t="shared" si="430"/>
        <v>ENTRADA</v>
      </c>
      <c r="C1194" t="str">
        <f t="shared" si="431"/>
        <v>NFSE</v>
      </c>
      <c r="D1194" t="str">
        <f t="shared" si="437"/>
        <v>159</v>
      </c>
      <c r="E1194" t="str">
        <f t="shared" si="433"/>
        <v>1</v>
      </c>
      <c r="F1194" t="str">
        <f t="shared" si="424"/>
        <v>COM</v>
      </c>
      <c r="G1194" t="str">
        <f t="shared" si="438"/>
        <v>FARMÁCIA INDIANA LJ 30 (10127)</v>
      </c>
      <c r="H1194" t="s">
        <v>324</v>
      </c>
      <c r="I1194" t="str">
        <f t="shared" si="435"/>
        <v>04/02/2026</v>
      </c>
      <c r="J1194" t="str">
        <f t="shared" si="436"/>
        <v>26/01/2026</v>
      </c>
      <c r="K1194">
        <v>46057</v>
      </c>
      <c r="N1194">
        <v>303</v>
      </c>
      <c r="O1194" t="s">
        <v>26</v>
      </c>
      <c r="Q1194">
        <v>168.12</v>
      </c>
      <c r="R1194" t="str">
        <f>"FARMÁCIA INDIANA LJ 95 (10039)"</f>
        <v>FARMÁCIA INDIANA LJ 95 (10039)</v>
      </c>
      <c r="S1194" t="s">
        <v>27</v>
      </c>
      <c r="T1194">
        <v>4199</v>
      </c>
      <c r="U1194">
        <v>3552</v>
      </c>
      <c r="V1194" t="s">
        <v>22</v>
      </c>
    </row>
    <row r="1195" spans="1:22">
      <c r="A1195" t="str">
        <f t="shared" si="429"/>
        <v>04/02/2026</v>
      </c>
      <c r="B1195" t="str">
        <f t="shared" si="430"/>
        <v>ENTRADA</v>
      </c>
      <c r="C1195" t="str">
        <f t="shared" si="431"/>
        <v>NFSE</v>
      </c>
      <c r="D1195" t="str">
        <f t="shared" si="437"/>
        <v>159</v>
      </c>
      <c r="E1195" t="str">
        <f t="shared" si="433"/>
        <v>1</v>
      </c>
      <c r="F1195" t="str">
        <f t="shared" ref="F1195:F1226" si="439">"COM"</f>
        <v>COM</v>
      </c>
      <c r="G1195" t="str">
        <f t="shared" si="438"/>
        <v>FARMÁCIA INDIANA LJ 30 (10127)</v>
      </c>
      <c r="H1195" t="s">
        <v>324</v>
      </c>
      <c r="I1195" t="str">
        <f t="shared" si="435"/>
        <v>04/02/2026</v>
      </c>
      <c r="J1195" t="str">
        <f t="shared" si="436"/>
        <v>26/01/2026</v>
      </c>
      <c r="K1195">
        <v>46057</v>
      </c>
      <c r="N1195">
        <v>303</v>
      </c>
      <c r="O1195" t="s">
        <v>26</v>
      </c>
      <c r="Q1195">
        <v>141.74</v>
      </c>
      <c r="R1195" t="str">
        <f>"FARMÁCIA INDIANA LJ 145 (10068)"</f>
        <v>FARMÁCIA INDIANA LJ 145 (10068)</v>
      </c>
      <c r="S1195" t="s">
        <v>27</v>
      </c>
      <c r="T1195">
        <v>4199</v>
      </c>
      <c r="U1195">
        <v>3552</v>
      </c>
      <c r="V1195" t="s">
        <v>22</v>
      </c>
    </row>
    <row r="1196" spans="1:22">
      <c r="A1196" t="str">
        <f t="shared" si="429"/>
        <v>04/02/2026</v>
      </c>
      <c r="B1196" t="str">
        <f t="shared" si="430"/>
        <v>ENTRADA</v>
      </c>
      <c r="C1196" t="str">
        <f t="shared" si="431"/>
        <v>NFSE</v>
      </c>
      <c r="D1196" t="str">
        <f t="shared" si="437"/>
        <v>159</v>
      </c>
      <c r="E1196" t="str">
        <f t="shared" si="433"/>
        <v>1</v>
      </c>
      <c r="F1196" t="str">
        <f t="shared" si="439"/>
        <v>COM</v>
      </c>
      <c r="G1196" t="str">
        <f t="shared" si="438"/>
        <v>FARMÁCIA INDIANA LJ 30 (10127)</v>
      </c>
      <c r="H1196" t="s">
        <v>324</v>
      </c>
      <c r="I1196" t="str">
        <f t="shared" si="435"/>
        <v>04/02/2026</v>
      </c>
      <c r="J1196" t="str">
        <f t="shared" si="436"/>
        <v>26/01/2026</v>
      </c>
      <c r="K1196">
        <v>46057</v>
      </c>
      <c r="N1196">
        <v>303</v>
      </c>
      <c r="O1196" t="s">
        <v>26</v>
      </c>
      <c r="Q1196">
        <v>121.4</v>
      </c>
      <c r="R1196" t="str">
        <f>"FARMÁCIA INDIANA LJ 169 (10073)"</f>
        <v>FARMÁCIA INDIANA LJ 169 (10073)</v>
      </c>
      <c r="S1196" t="s">
        <v>27</v>
      </c>
      <c r="T1196">
        <v>4199</v>
      </c>
      <c r="U1196">
        <v>3552</v>
      </c>
      <c r="V1196" t="s">
        <v>22</v>
      </c>
    </row>
    <row r="1197" spans="1:22">
      <c r="A1197" t="str">
        <f t="shared" si="429"/>
        <v>04/02/2026</v>
      </c>
      <c r="B1197" t="str">
        <f t="shared" si="430"/>
        <v>ENTRADA</v>
      </c>
      <c r="C1197" t="str">
        <f t="shared" si="431"/>
        <v>NFSE</v>
      </c>
      <c r="D1197" t="str">
        <f t="shared" si="437"/>
        <v>159</v>
      </c>
      <c r="E1197" t="str">
        <f t="shared" si="433"/>
        <v>1</v>
      </c>
      <c r="F1197" t="str">
        <f t="shared" si="439"/>
        <v>COM</v>
      </c>
      <c r="G1197" t="str">
        <f t="shared" si="438"/>
        <v>FARMÁCIA INDIANA LJ 30 (10127)</v>
      </c>
      <c r="H1197" t="s">
        <v>324</v>
      </c>
      <c r="I1197" t="str">
        <f t="shared" si="435"/>
        <v>04/02/2026</v>
      </c>
      <c r="J1197" t="str">
        <f t="shared" si="436"/>
        <v>26/01/2026</v>
      </c>
      <c r="K1197">
        <v>46057</v>
      </c>
      <c r="N1197">
        <v>303</v>
      </c>
      <c r="O1197" t="s">
        <v>26</v>
      </c>
      <c r="Q1197">
        <v>174.47</v>
      </c>
      <c r="R1197" t="str">
        <f>"FARMÁCIA INDIANA LJ 173 (10075)"</f>
        <v>FARMÁCIA INDIANA LJ 173 (10075)</v>
      </c>
      <c r="S1197" t="s">
        <v>27</v>
      </c>
      <c r="T1197">
        <v>4199</v>
      </c>
      <c r="U1197">
        <v>3552</v>
      </c>
      <c r="V1197" t="s">
        <v>22</v>
      </c>
    </row>
    <row r="1198" spans="1:22">
      <c r="A1198" t="str">
        <f t="shared" si="429"/>
        <v>04/02/2026</v>
      </c>
      <c r="B1198" t="str">
        <f t="shared" si="430"/>
        <v>ENTRADA</v>
      </c>
      <c r="C1198" t="str">
        <f t="shared" si="431"/>
        <v>NFSE</v>
      </c>
      <c r="D1198" t="str">
        <f t="shared" si="437"/>
        <v>159</v>
      </c>
      <c r="E1198" t="str">
        <f t="shared" si="433"/>
        <v>1</v>
      </c>
      <c r="F1198" t="str">
        <f t="shared" si="439"/>
        <v>COM</v>
      </c>
      <c r="G1198" t="str">
        <f t="shared" si="438"/>
        <v>FARMÁCIA INDIANA LJ 30 (10127)</v>
      </c>
      <c r="H1198" t="s">
        <v>324</v>
      </c>
      <c r="I1198" t="str">
        <f t="shared" si="435"/>
        <v>04/02/2026</v>
      </c>
      <c r="J1198" t="str">
        <f t="shared" si="436"/>
        <v>26/01/2026</v>
      </c>
      <c r="K1198">
        <v>46057</v>
      </c>
      <c r="N1198">
        <v>303</v>
      </c>
      <c r="O1198" t="s">
        <v>26</v>
      </c>
      <c r="Q1198">
        <v>100.11</v>
      </c>
      <c r="R1198" t="str">
        <f>"FARMÁCIA INDIANA LJ 213 (10090)"</f>
        <v>FARMÁCIA INDIANA LJ 213 (10090)</v>
      </c>
      <c r="S1198" t="s">
        <v>27</v>
      </c>
      <c r="T1198">
        <v>4199</v>
      </c>
      <c r="U1198">
        <v>3552</v>
      </c>
      <c r="V1198" t="s">
        <v>22</v>
      </c>
    </row>
    <row r="1199" spans="1:22">
      <c r="A1199" t="str">
        <f t="shared" si="429"/>
        <v>04/02/2026</v>
      </c>
      <c r="B1199" t="str">
        <f t="shared" si="430"/>
        <v>ENTRADA</v>
      </c>
      <c r="C1199" t="str">
        <f t="shared" si="431"/>
        <v>NFSE</v>
      </c>
      <c r="D1199" t="str">
        <f t="shared" si="437"/>
        <v>159</v>
      </c>
      <c r="E1199" t="str">
        <f t="shared" si="433"/>
        <v>1</v>
      </c>
      <c r="F1199" t="str">
        <f t="shared" si="439"/>
        <v>COM</v>
      </c>
      <c r="G1199" t="str">
        <f t="shared" si="438"/>
        <v>FARMÁCIA INDIANA LJ 30 (10127)</v>
      </c>
      <c r="H1199" t="s">
        <v>324</v>
      </c>
      <c r="I1199" t="str">
        <f t="shared" si="435"/>
        <v>04/02/2026</v>
      </c>
      <c r="J1199" t="str">
        <f t="shared" si="436"/>
        <v>26/01/2026</v>
      </c>
      <c r="K1199">
        <v>46057</v>
      </c>
      <c r="N1199">
        <v>303</v>
      </c>
      <c r="O1199" t="s">
        <v>26</v>
      </c>
      <c r="Q1199">
        <v>135.69999999999999</v>
      </c>
      <c r="R1199" t="str">
        <f>"FARMÁCIA INDIANA LJ 200 (10155)"</f>
        <v>FARMÁCIA INDIANA LJ 200 (10155)</v>
      </c>
      <c r="S1199" t="s">
        <v>27</v>
      </c>
      <c r="T1199">
        <v>4199</v>
      </c>
      <c r="U1199">
        <v>3552</v>
      </c>
      <c r="V1199" t="s">
        <v>22</v>
      </c>
    </row>
    <row r="1200" spans="1:22">
      <c r="A1200" t="str">
        <f t="shared" si="429"/>
        <v>04/02/2026</v>
      </c>
      <c r="B1200" t="str">
        <f t="shared" si="430"/>
        <v>ENTRADA</v>
      </c>
      <c r="C1200" t="str">
        <f t="shared" si="431"/>
        <v>NFSE</v>
      </c>
      <c r="D1200" t="str">
        <f t="shared" si="437"/>
        <v>159</v>
      </c>
      <c r="E1200" t="str">
        <f t="shared" si="433"/>
        <v>1</v>
      </c>
      <c r="F1200" t="str">
        <f t="shared" si="439"/>
        <v>COM</v>
      </c>
      <c r="G1200" t="str">
        <f t="shared" si="438"/>
        <v>FARMÁCIA INDIANA LJ 30 (10127)</v>
      </c>
      <c r="H1200" t="s">
        <v>324</v>
      </c>
      <c r="I1200" t="str">
        <f t="shared" si="435"/>
        <v>04/02/2026</v>
      </c>
      <c r="J1200" t="str">
        <f t="shared" si="436"/>
        <v>26/01/2026</v>
      </c>
      <c r="K1200">
        <v>46057</v>
      </c>
      <c r="N1200">
        <v>303</v>
      </c>
      <c r="O1200" t="s">
        <v>26</v>
      </c>
      <c r="Q1200">
        <v>123.94</v>
      </c>
      <c r="R1200" t="str">
        <f>"FARMÁCIA INDIANA LJ 33 (10187)"</f>
        <v>FARMÁCIA INDIANA LJ 33 (10187)</v>
      </c>
      <c r="S1200" t="s">
        <v>27</v>
      </c>
      <c r="T1200">
        <v>4199</v>
      </c>
      <c r="U1200">
        <v>3552</v>
      </c>
      <c r="V1200" t="s">
        <v>22</v>
      </c>
    </row>
    <row r="1201" spans="1:22">
      <c r="A1201" t="str">
        <f t="shared" si="429"/>
        <v>04/02/2026</v>
      </c>
      <c r="B1201" t="str">
        <f t="shared" si="430"/>
        <v>ENTRADA</v>
      </c>
      <c r="C1201" t="str">
        <f t="shared" si="431"/>
        <v>NFSE</v>
      </c>
      <c r="D1201" t="str">
        <f t="shared" si="437"/>
        <v>159</v>
      </c>
      <c r="E1201" t="str">
        <f t="shared" si="433"/>
        <v>1</v>
      </c>
      <c r="F1201" t="str">
        <f t="shared" si="439"/>
        <v>COM</v>
      </c>
      <c r="G1201" t="str">
        <f t="shared" si="438"/>
        <v>FARMÁCIA INDIANA LJ 30 (10127)</v>
      </c>
      <c r="H1201" t="s">
        <v>324</v>
      </c>
      <c r="I1201" t="str">
        <f t="shared" si="435"/>
        <v>04/02/2026</v>
      </c>
      <c r="J1201" t="str">
        <f t="shared" si="436"/>
        <v>26/01/2026</v>
      </c>
      <c r="K1201">
        <v>46057</v>
      </c>
      <c r="N1201">
        <v>303</v>
      </c>
      <c r="O1201" t="s">
        <v>26</v>
      </c>
      <c r="Q1201">
        <v>99.79</v>
      </c>
      <c r="R1201" t="str">
        <f>"FARMÁCIA INDIANA LJ 283 (10268)"</f>
        <v>FARMÁCIA INDIANA LJ 283 (10268)</v>
      </c>
      <c r="S1201" t="s">
        <v>27</v>
      </c>
      <c r="T1201">
        <v>4199</v>
      </c>
      <c r="U1201">
        <v>3552</v>
      </c>
      <c r="V1201" t="s">
        <v>22</v>
      </c>
    </row>
    <row r="1202" spans="1:22">
      <c r="A1202" t="str">
        <f t="shared" si="429"/>
        <v>04/02/2026</v>
      </c>
      <c r="B1202" t="str">
        <f t="shared" si="430"/>
        <v>ENTRADA</v>
      </c>
      <c r="C1202" t="str">
        <f t="shared" si="431"/>
        <v>NFSE</v>
      </c>
      <c r="D1202" t="str">
        <f t="shared" si="437"/>
        <v>159</v>
      </c>
      <c r="E1202" t="str">
        <f t="shared" si="433"/>
        <v>1</v>
      </c>
      <c r="F1202" t="str">
        <f t="shared" si="439"/>
        <v>COM</v>
      </c>
      <c r="G1202" t="str">
        <f t="shared" si="438"/>
        <v>FARMÁCIA INDIANA LJ 30 (10127)</v>
      </c>
      <c r="H1202" t="s">
        <v>324</v>
      </c>
      <c r="I1202" t="str">
        <f t="shared" si="435"/>
        <v>04/02/2026</v>
      </c>
      <c r="J1202" t="str">
        <f t="shared" si="436"/>
        <v>26/01/2026</v>
      </c>
      <c r="K1202">
        <v>46057</v>
      </c>
      <c r="N1202">
        <v>303</v>
      </c>
      <c r="O1202" t="s">
        <v>26</v>
      </c>
      <c r="Q1202">
        <v>47.35</v>
      </c>
      <c r="R1202" t="str">
        <f>"FARMÁCIA INDIANA LJ 155 (10273)"</f>
        <v>FARMÁCIA INDIANA LJ 155 (10273)</v>
      </c>
      <c r="S1202" t="s">
        <v>27</v>
      </c>
      <c r="T1202">
        <v>4199</v>
      </c>
      <c r="U1202">
        <v>3552</v>
      </c>
      <c r="V1202" t="s">
        <v>22</v>
      </c>
    </row>
    <row r="1203" spans="1:22">
      <c r="A1203" t="str">
        <f t="shared" ref="A1203:A1234" si="440">("04/02/2026")</f>
        <v>04/02/2026</v>
      </c>
      <c r="B1203" t="str">
        <f t="shared" si="430"/>
        <v>ENTRADA</v>
      </c>
      <c r="C1203" t="str">
        <f t="shared" si="431"/>
        <v>NFSE</v>
      </c>
      <c r="D1203" t="str">
        <f t="shared" si="437"/>
        <v>159</v>
      </c>
      <c r="E1203" t="str">
        <f t="shared" si="433"/>
        <v>1</v>
      </c>
      <c r="F1203" t="str">
        <f t="shared" si="439"/>
        <v>COM</v>
      </c>
      <c r="G1203" t="str">
        <f t="shared" si="438"/>
        <v>FARMÁCIA INDIANA LJ 30 (10127)</v>
      </c>
      <c r="H1203" t="s">
        <v>324</v>
      </c>
      <c r="I1203" t="str">
        <f t="shared" si="435"/>
        <v>04/02/2026</v>
      </c>
      <c r="J1203" t="str">
        <f t="shared" si="436"/>
        <v>26/01/2026</v>
      </c>
      <c r="K1203">
        <v>46057</v>
      </c>
      <c r="N1203">
        <v>303</v>
      </c>
      <c r="O1203" t="s">
        <v>26</v>
      </c>
      <c r="Q1203">
        <v>113.77</v>
      </c>
      <c r="R1203" t="str">
        <f>"FARMÁCIA INDIANA LJ 158 (10275)"</f>
        <v>FARMÁCIA INDIANA LJ 158 (10275)</v>
      </c>
      <c r="S1203" t="s">
        <v>27</v>
      </c>
      <c r="T1203">
        <v>4199</v>
      </c>
      <c r="U1203">
        <v>3552</v>
      </c>
      <c r="V1203" t="s">
        <v>22</v>
      </c>
    </row>
    <row r="1204" spans="1:22">
      <c r="A1204" t="str">
        <f t="shared" si="440"/>
        <v>04/02/2026</v>
      </c>
      <c r="B1204" t="str">
        <f t="shared" si="430"/>
        <v>ENTRADA</v>
      </c>
      <c r="C1204" t="str">
        <f t="shared" si="431"/>
        <v>NFSE</v>
      </c>
      <c r="D1204" t="str">
        <f t="shared" si="437"/>
        <v>159</v>
      </c>
      <c r="E1204" t="str">
        <f t="shared" si="433"/>
        <v>1</v>
      </c>
      <c r="F1204" t="str">
        <f t="shared" si="439"/>
        <v>COM</v>
      </c>
      <c r="G1204" t="str">
        <f t="shared" si="438"/>
        <v>FARMÁCIA INDIANA LJ 30 (10127)</v>
      </c>
      <c r="H1204" t="s">
        <v>324</v>
      </c>
      <c r="I1204" t="str">
        <f t="shared" si="435"/>
        <v>04/02/2026</v>
      </c>
      <c r="J1204" t="str">
        <f t="shared" si="436"/>
        <v>26/01/2026</v>
      </c>
      <c r="K1204">
        <v>46057</v>
      </c>
      <c r="N1204">
        <v>303</v>
      </c>
      <c r="O1204" t="s">
        <v>26</v>
      </c>
      <c r="Q1204">
        <v>123.31</v>
      </c>
      <c r="R1204" t="str">
        <f>"FARMÁCIA INDIANA LJ 92 (10281)"</f>
        <v>FARMÁCIA INDIANA LJ 92 (10281)</v>
      </c>
      <c r="S1204" t="s">
        <v>27</v>
      </c>
      <c r="T1204">
        <v>4199</v>
      </c>
      <c r="U1204">
        <v>3552</v>
      </c>
      <c r="V1204" t="s">
        <v>22</v>
      </c>
    </row>
    <row r="1205" spans="1:22">
      <c r="A1205" t="str">
        <f t="shared" si="440"/>
        <v>04/02/2026</v>
      </c>
      <c r="B1205" t="str">
        <f t="shared" si="430"/>
        <v>ENTRADA</v>
      </c>
      <c r="C1205" t="str">
        <f t="shared" si="431"/>
        <v>NFSE</v>
      </c>
      <c r="D1205" t="str">
        <f t="shared" ref="D1205:D1236" si="441">"160"</f>
        <v>160</v>
      </c>
      <c r="E1205" t="str">
        <f t="shared" si="433"/>
        <v>1</v>
      </c>
      <c r="F1205" t="str">
        <f t="shared" si="439"/>
        <v>COM</v>
      </c>
      <c r="G1205" t="str">
        <f t="shared" ref="G1205:G1236" si="442">"FARMÁCIA INDIANA LJ 1 (10126)"</f>
        <v>FARMÁCIA INDIANA LJ 1 (10126)</v>
      </c>
      <c r="H1205" t="str">
        <f>"Serv.Prest. 19/01/2026 a 25/01/2026 - RPS: 2086 - NFSe: 160"</f>
        <v>Serv.Prest. 19/01/2026 a 25/01/2026 - RPS: 2086 - NFSe: 160</v>
      </c>
      <c r="I1205" t="str">
        <f t="shared" si="435"/>
        <v>04/02/2026</v>
      </c>
      <c r="J1205" t="str">
        <f t="shared" si="436"/>
        <v>26/01/2026</v>
      </c>
      <c r="K1205" t="str">
        <f>("04/02/2026")</f>
        <v>04/02/2026</v>
      </c>
      <c r="L1205">
        <v>13267.48</v>
      </c>
      <c r="M1205">
        <v>13267.48</v>
      </c>
      <c r="N1205">
        <v>303</v>
      </c>
      <c r="O1205" t="str">
        <f>"RECEITAS COM ENTREGAS"</f>
        <v>RECEITAS COM ENTREGAS</v>
      </c>
      <c r="P1205">
        <v>13267.48</v>
      </c>
      <c r="S1205" t="str">
        <f>"RECEITAS COM ENTREGAS (303)"</f>
        <v>RECEITAS COM ENTREGAS (303)</v>
      </c>
      <c r="T1205">
        <v>4200</v>
      </c>
      <c r="U1205">
        <v>3553</v>
      </c>
      <c r="V1205" t="s">
        <v>22</v>
      </c>
    </row>
    <row r="1206" spans="1:22">
      <c r="A1206" t="str">
        <f t="shared" si="440"/>
        <v>04/02/2026</v>
      </c>
      <c r="B1206" t="str">
        <f t="shared" si="430"/>
        <v>ENTRADA</v>
      </c>
      <c r="C1206" t="str">
        <f t="shared" si="431"/>
        <v>NFSE</v>
      </c>
      <c r="D1206" t="str">
        <f t="shared" si="441"/>
        <v>160</v>
      </c>
      <c r="E1206" t="str">
        <f t="shared" si="433"/>
        <v>1</v>
      </c>
      <c r="F1206" t="str">
        <f t="shared" si="439"/>
        <v>COM</v>
      </c>
      <c r="G1206" t="str">
        <f t="shared" si="442"/>
        <v>FARMÁCIA INDIANA LJ 1 (10126)</v>
      </c>
      <c r="H1206" t="s">
        <v>325</v>
      </c>
      <c r="I1206" t="str">
        <f t="shared" si="435"/>
        <v>04/02/2026</v>
      </c>
      <c r="J1206" t="str">
        <f t="shared" si="436"/>
        <v>26/01/2026</v>
      </c>
      <c r="K1206">
        <v>46057</v>
      </c>
      <c r="N1206">
        <v>303</v>
      </c>
      <c r="O1206" t="s">
        <v>26</v>
      </c>
      <c r="Q1206">
        <v>1986.16</v>
      </c>
      <c r="R1206" t="str">
        <f>"FARMÁCIA INDIANA LJ 06 (10006)"</f>
        <v>FARMÁCIA INDIANA LJ 06 (10006)</v>
      </c>
      <c r="S1206" t="s">
        <v>27</v>
      </c>
      <c r="T1206">
        <v>4200</v>
      </c>
      <c r="U1206">
        <v>3553</v>
      </c>
      <c r="V1206" t="s">
        <v>22</v>
      </c>
    </row>
    <row r="1207" spans="1:22">
      <c r="A1207" t="str">
        <f t="shared" si="440"/>
        <v>04/02/2026</v>
      </c>
      <c r="B1207" t="str">
        <f t="shared" ref="B1207:B1238" si="443">"ENTRADA"</f>
        <v>ENTRADA</v>
      </c>
      <c r="C1207" t="str">
        <f t="shared" ref="C1207:C1238" si="444">"NFSE"</f>
        <v>NFSE</v>
      </c>
      <c r="D1207" t="str">
        <f t="shared" si="441"/>
        <v>160</v>
      </c>
      <c r="E1207" t="str">
        <f t="shared" ref="E1207:E1238" si="445">"1"</f>
        <v>1</v>
      </c>
      <c r="F1207" t="str">
        <f t="shared" si="439"/>
        <v>COM</v>
      </c>
      <c r="G1207" t="str">
        <f t="shared" si="442"/>
        <v>FARMÁCIA INDIANA LJ 1 (10126)</v>
      </c>
      <c r="H1207" t="s">
        <v>325</v>
      </c>
      <c r="I1207" t="str">
        <f t="shared" ref="I1207:I1238" si="446">("04/02/2026")</f>
        <v>04/02/2026</v>
      </c>
      <c r="J1207" t="str">
        <f t="shared" ref="J1207:J1238" si="447">("26/01/2026")</f>
        <v>26/01/2026</v>
      </c>
      <c r="K1207">
        <v>46057</v>
      </c>
      <c r="N1207">
        <v>303</v>
      </c>
      <c r="O1207" t="s">
        <v>26</v>
      </c>
      <c r="Q1207">
        <v>1332.05</v>
      </c>
      <c r="R1207" t="str">
        <f>"FARMÁCIA INDIANA LJ 07 (10007)"</f>
        <v>FARMÁCIA INDIANA LJ 07 (10007)</v>
      </c>
      <c r="S1207" t="s">
        <v>27</v>
      </c>
      <c r="T1207">
        <v>4200</v>
      </c>
      <c r="U1207">
        <v>3553</v>
      </c>
      <c r="V1207" t="s">
        <v>22</v>
      </c>
    </row>
    <row r="1208" spans="1:22">
      <c r="A1208" t="str">
        <f t="shared" si="440"/>
        <v>04/02/2026</v>
      </c>
      <c r="B1208" t="str">
        <f t="shared" si="443"/>
        <v>ENTRADA</v>
      </c>
      <c r="C1208" t="str">
        <f t="shared" si="444"/>
        <v>NFSE</v>
      </c>
      <c r="D1208" t="str">
        <f t="shared" si="441"/>
        <v>160</v>
      </c>
      <c r="E1208" t="str">
        <f t="shared" si="445"/>
        <v>1</v>
      </c>
      <c r="F1208" t="str">
        <f t="shared" si="439"/>
        <v>COM</v>
      </c>
      <c r="G1208" t="str">
        <f t="shared" si="442"/>
        <v>FARMÁCIA INDIANA LJ 1 (10126)</v>
      </c>
      <c r="H1208" t="s">
        <v>325</v>
      </c>
      <c r="I1208" t="str">
        <f t="shared" si="446"/>
        <v>04/02/2026</v>
      </c>
      <c r="J1208" t="str">
        <f t="shared" si="447"/>
        <v>26/01/2026</v>
      </c>
      <c r="K1208">
        <v>46057</v>
      </c>
      <c r="N1208">
        <v>303</v>
      </c>
      <c r="O1208" t="s">
        <v>26</v>
      </c>
      <c r="Q1208">
        <v>949.95</v>
      </c>
      <c r="R1208" t="str">
        <f>"FARMÁCIA INDIANA LJ 11 (10008)"</f>
        <v>FARMÁCIA INDIANA LJ 11 (10008)</v>
      </c>
      <c r="S1208" t="s">
        <v>27</v>
      </c>
      <c r="T1208">
        <v>4200</v>
      </c>
      <c r="U1208">
        <v>3553</v>
      </c>
      <c r="V1208" t="s">
        <v>22</v>
      </c>
    </row>
    <row r="1209" spans="1:22">
      <c r="A1209" t="str">
        <f t="shared" si="440"/>
        <v>04/02/2026</v>
      </c>
      <c r="B1209" t="str">
        <f t="shared" si="443"/>
        <v>ENTRADA</v>
      </c>
      <c r="C1209" t="str">
        <f t="shared" si="444"/>
        <v>NFSE</v>
      </c>
      <c r="D1209" t="str">
        <f t="shared" si="441"/>
        <v>160</v>
      </c>
      <c r="E1209" t="str">
        <f t="shared" si="445"/>
        <v>1</v>
      </c>
      <c r="F1209" t="str">
        <f t="shared" si="439"/>
        <v>COM</v>
      </c>
      <c r="G1209" t="str">
        <f t="shared" si="442"/>
        <v>FARMÁCIA INDIANA LJ 1 (10126)</v>
      </c>
      <c r="H1209" t="s">
        <v>325</v>
      </c>
      <c r="I1209" t="str">
        <f t="shared" si="446"/>
        <v>04/02/2026</v>
      </c>
      <c r="J1209" t="str">
        <f t="shared" si="447"/>
        <v>26/01/2026</v>
      </c>
      <c r="K1209">
        <v>46057</v>
      </c>
      <c r="N1209">
        <v>303</v>
      </c>
      <c r="O1209" t="s">
        <v>26</v>
      </c>
      <c r="Q1209">
        <v>484.26</v>
      </c>
      <c r="R1209" t="str">
        <f>"FARMÁCIA INDIANA LJ 14 (10009)"</f>
        <v>FARMÁCIA INDIANA LJ 14 (10009)</v>
      </c>
      <c r="S1209" t="s">
        <v>27</v>
      </c>
      <c r="T1209">
        <v>4200</v>
      </c>
      <c r="U1209">
        <v>3553</v>
      </c>
      <c r="V1209" t="s">
        <v>22</v>
      </c>
    </row>
    <row r="1210" spans="1:22">
      <c r="A1210" t="str">
        <f t="shared" si="440"/>
        <v>04/02/2026</v>
      </c>
      <c r="B1210" t="str">
        <f t="shared" si="443"/>
        <v>ENTRADA</v>
      </c>
      <c r="C1210" t="str">
        <f t="shared" si="444"/>
        <v>NFSE</v>
      </c>
      <c r="D1210" t="str">
        <f t="shared" si="441"/>
        <v>160</v>
      </c>
      <c r="E1210" t="str">
        <f t="shared" si="445"/>
        <v>1</v>
      </c>
      <c r="F1210" t="str">
        <f t="shared" si="439"/>
        <v>COM</v>
      </c>
      <c r="G1210" t="str">
        <f t="shared" si="442"/>
        <v>FARMÁCIA INDIANA LJ 1 (10126)</v>
      </c>
      <c r="H1210" t="s">
        <v>325</v>
      </c>
      <c r="I1210" t="str">
        <f t="shared" si="446"/>
        <v>04/02/2026</v>
      </c>
      <c r="J1210" t="str">
        <f t="shared" si="447"/>
        <v>26/01/2026</v>
      </c>
      <c r="K1210">
        <v>46057</v>
      </c>
      <c r="N1210">
        <v>303</v>
      </c>
      <c r="O1210" t="s">
        <v>26</v>
      </c>
      <c r="Q1210">
        <v>342.3</v>
      </c>
      <c r="R1210" t="str">
        <f>"FARMÁCIA INDIANA LJ 18 (10011)"</f>
        <v>FARMÁCIA INDIANA LJ 18 (10011)</v>
      </c>
      <c r="S1210" t="s">
        <v>27</v>
      </c>
      <c r="T1210">
        <v>4200</v>
      </c>
      <c r="U1210">
        <v>3553</v>
      </c>
      <c r="V1210" t="s">
        <v>22</v>
      </c>
    </row>
    <row r="1211" spans="1:22">
      <c r="A1211" t="str">
        <f t="shared" si="440"/>
        <v>04/02/2026</v>
      </c>
      <c r="B1211" t="str">
        <f t="shared" si="443"/>
        <v>ENTRADA</v>
      </c>
      <c r="C1211" t="str">
        <f t="shared" si="444"/>
        <v>NFSE</v>
      </c>
      <c r="D1211" t="str">
        <f t="shared" si="441"/>
        <v>160</v>
      </c>
      <c r="E1211" t="str">
        <f t="shared" si="445"/>
        <v>1</v>
      </c>
      <c r="F1211" t="str">
        <f t="shared" si="439"/>
        <v>COM</v>
      </c>
      <c r="G1211" t="str">
        <f t="shared" si="442"/>
        <v>FARMÁCIA INDIANA LJ 1 (10126)</v>
      </c>
      <c r="H1211" t="s">
        <v>325</v>
      </c>
      <c r="I1211" t="str">
        <f t="shared" si="446"/>
        <v>04/02/2026</v>
      </c>
      <c r="J1211" t="str">
        <f t="shared" si="447"/>
        <v>26/01/2026</v>
      </c>
      <c r="K1211">
        <v>46057</v>
      </c>
      <c r="N1211">
        <v>303</v>
      </c>
      <c r="O1211" t="s">
        <v>26</v>
      </c>
      <c r="Q1211">
        <v>329.03</v>
      </c>
      <c r="R1211" t="str">
        <f>"FARMÁCIA INDIANA LJ 19 (10012)"</f>
        <v>FARMÁCIA INDIANA LJ 19 (10012)</v>
      </c>
      <c r="S1211" t="s">
        <v>27</v>
      </c>
      <c r="T1211">
        <v>4200</v>
      </c>
      <c r="U1211">
        <v>3553</v>
      </c>
      <c r="V1211" t="s">
        <v>22</v>
      </c>
    </row>
    <row r="1212" spans="1:22">
      <c r="A1212" t="str">
        <f t="shared" si="440"/>
        <v>04/02/2026</v>
      </c>
      <c r="B1212" t="str">
        <f t="shared" si="443"/>
        <v>ENTRADA</v>
      </c>
      <c r="C1212" t="str">
        <f t="shared" si="444"/>
        <v>NFSE</v>
      </c>
      <c r="D1212" t="str">
        <f t="shared" si="441"/>
        <v>160</v>
      </c>
      <c r="E1212" t="str">
        <f t="shared" si="445"/>
        <v>1</v>
      </c>
      <c r="F1212" t="str">
        <f t="shared" si="439"/>
        <v>COM</v>
      </c>
      <c r="G1212" t="str">
        <f t="shared" si="442"/>
        <v>FARMÁCIA INDIANA LJ 1 (10126)</v>
      </c>
      <c r="H1212" t="s">
        <v>325</v>
      </c>
      <c r="I1212" t="str">
        <f t="shared" si="446"/>
        <v>04/02/2026</v>
      </c>
      <c r="J1212" t="str">
        <f t="shared" si="447"/>
        <v>26/01/2026</v>
      </c>
      <c r="K1212">
        <v>46057</v>
      </c>
      <c r="N1212">
        <v>303</v>
      </c>
      <c r="O1212" t="s">
        <v>26</v>
      </c>
      <c r="Q1212">
        <v>493.55</v>
      </c>
      <c r="R1212" t="str">
        <f>"FARMÁCIA INDIANA LJ 40 (10016)"</f>
        <v>FARMÁCIA INDIANA LJ 40 (10016)</v>
      </c>
      <c r="S1212" t="s">
        <v>27</v>
      </c>
      <c r="T1212">
        <v>4200</v>
      </c>
      <c r="U1212">
        <v>3553</v>
      </c>
      <c r="V1212" t="s">
        <v>22</v>
      </c>
    </row>
    <row r="1213" spans="1:22">
      <c r="A1213" t="str">
        <f t="shared" si="440"/>
        <v>04/02/2026</v>
      </c>
      <c r="B1213" t="str">
        <f t="shared" si="443"/>
        <v>ENTRADA</v>
      </c>
      <c r="C1213" t="str">
        <f t="shared" si="444"/>
        <v>NFSE</v>
      </c>
      <c r="D1213" t="str">
        <f t="shared" si="441"/>
        <v>160</v>
      </c>
      <c r="E1213" t="str">
        <f t="shared" si="445"/>
        <v>1</v>
      </c>
      <c r="F1213" t="str">
        <f t="shared" si="439"/>
        <v>COM</v>
      </c>
      <c r="G1213" t="str">
        <f t="shared" si="442"/>
        <v>FARMÁCIA INDIANA LJ 1 (10126)</v>
      </c>
      <c r="H1213" t="s">
        <v>325</v>
      </c>
      <c r="I1213" t="str">
        <f t="shared" si="446"/>
        <v>04/02/2026</v>
      </c>
      <c r="J1213" t="str">
        <f t="shared" si="447"/>
        <v>26/01/2026</v>
      </c>
      <c r="K1213">
        <v>46057</v>
      </c>
      <c r="N1213">
        <v>303</v>
      </c>
      <c r="O1213" t="s">
        <v>26</v>
      </c>
      <c r="Q1213">
        <v>232.18</v>
      </c>
      <c r="R1213" t="str">
        <f>"FARMÁCIA INDIANA LJ 59 (10026)"</f>
        <v>FARMÁCIA INDIANA LJ 59 (10026)</v>
      </c>
      <c r="S1213" t="s">
        <v>27</v>
      </c>
      <c r="T1213">
        <v>4200</v>
      </c>
      <c r="U1213">
        <v>3553</v>
      </c>
      <c r="V1213" t="s">
        <v>22</v>
      </c>
    </row>
    <row r="1214" spans="1:22">
      <c r="A1214" t="str">
        <f t="shared" si="440"/>
        <v>04/02/2026</v>
      </c>
      <c r="B1214" t="str">
        <f t="shared" si="443"/>
        <v>ENTRADA</v>
      </c>
      <c r="C1214" t="str">
        <f t="shared" si="444"/>
        <v>NFSE</v>
      </c>
      <c r="D1214" t="str">
        <f t="shared" si="441"/>
        <v>160</v>
      </c>
      <c r="E1214" t="str">
        <f t="shared" si="445"/>
        <v>1</v>
      </c>
      <c r="F1214" t="str">
        <f t="shared" si="439"/>
        <v>COM</v>
      </c>
      <c r="G1214" t="str">
        <f t="shared" si="442"/>
        <v>FARMÁCIA INDIANA LJ 1 (10126)</v>
      </c>
      <c r="H1214" t="s">
        <v>325</v>
      </c>
      <c r="I1214" t="str">
        <f t="shared" si="446"/>
        <v>04/02/2026</v>
      </c>
      <c r="J1214" t="str">
        <f t="shared" si="447"/>
        <v>26/01/2026</v>
      </c>
      <c r="K1214">
        <v>46057</v>
      </c>
      <c r="N1214">
        <v>303</v>
      </c>
      <c r="O1214" t="s">
        <v>26</v>
      </c>
      <c r="Q1214">
        <v>474.98</v>
      </c>
      <c r="R1214" t="str">
        <f>"FARMÁCIA INDIANA LJ 61 (10027)"</f>
        <v>FARMÁCIA INDIANA LJ 61 (10027)</v>
      </c>
      <c r="S1214" t="s">
        <v>27</v>
      </c>
      <c r="T1214">
        <v>4200</v>
      </c>
      <c r="U1214">
        <v>3553</v>
      </c>
      <c r="V1214" t="s">
        <v>22</v>
      </c>
    </row>
    <row r="1215" spans="1:22">
      <c r="A1215" t="str">
        <f t="shared" si="440"/>
        <v>04/02/2026</v>
      </c>
      <c r="B1215" t="str">
        <f t="shared" si="443"/>
        <v>ENTRADA</v>
      </c>
      <c r="C1215" t="str">
        <f t="shared" si="444"/>
        <v>NFSE</v>
      </c>
      <c r="D1215" t="str">
        <f t="shared" si="441"/>
        <v>160</v>
      </c>
      <c r="E1215" t="str">
        <f t="shared" si="445"/>
        <v>1</v>
      </c>
      <c r="F1215" t="str">
        <f t="shared" si="439"/>
        <v>COM</v>
      </c>
      <c r="G1215" t="str">
        <f t="shared" si="442"/>
        <v>FARMÁCIA INDIANA LJ 1 (10126)</v>
      </c>
      <c r="H1215" t="s">
        <v>325</v>
      </c>
      <c r="I1215" t="str">
        <f t="shared" si="446"/>
        <v>04/02/2026</v>
      </c>
      <c r="J1215" t="str">
        <f t="shared" si="447"/>
        <v>26/01/2026</v>
      </c>
      <c r="K1215">
        <v>46057</v>
      </c>
      <c r="N1215">
        <v>303</v>
      </c>
      <c r="O1215" t="s">
        <v>26</v>
      </c>
      <c r="Q1215">
        <v>217.59</v>
      </c>
      <c r="R1215" t="str">
        <f>"FARMÁCIA INDIANA LJ 62 (10028)"</f>
        <v>FARMÁCIA INDIANA LJ 62 (10028)</v>
      </c>
      <c r="S1215" t="s">
        <v>27</v>
      </c>
      <c r="T1215">
        <v>4200</v>
      </c>
      <c r="U1215">
        <v>3553</v>
      </c>
      <c r="V1215" t="s">
        <v>22</v>
      </c>
    </row>
    <row r="1216" spans="1:22">
      <c r="A1216" t="str">
        <f t="shared" si="440"/>
        <v>04/02/2026</v>
      </c>
      <c r="B1216" t="str">
        <f t="shared" si="443"/>
        <v>ENTRADA</v>
      </c>
      <c r="C1216" t="str">
        <f t="shared" si="444"/>
        <v>NFSE</v>
      </c>
      <c r="D1216" t="str">
        <f t="shared" si="441"/>
        <v>160</v>
      </c>
      <c r="E1216" t="str">
        <f t="shared" si="445"/>
        <v>1</v>
      </c>
      <c r="F1216" t="str">
        <f t="shared" si="439"/>
        <v>COM</v>
      </c>
      <c r="G1216" t="str">
        <f t="shared" si="442"/>
        <v>FARMÁCIA INDIANA LJ 1 (10126)</v>
      </c>
      <c r="H1216" t="s">
        <v>325</v>
      </c>
      <c r="I1216" t="str">
        <f t="shared" si="446"/>
        <v>04/02/2026</v>
      </c>
      <c r="J1216" t="str">
        <f t="shared" si="447"/>
        <v>26/01/2026</v>
      </c>
      <c r="K1216">
        <v>46057</v>
      </c>
      <c r="N1216">
        <v>303</v>
      </c>
      <c r="O1216" t="s">
        <v>26</v>
      </c>
      <c r="Q1216">
        <v>86.24</v>
      </c>
      <c r="R1216" t="str">
        <f>"FARMÁCIA INDIANA LJ 64 (10029)"</f>
        <v>FARMÁCIA INDIANA LJ 64 (10029)</v>
      </c>
      <c r="S1216" t="s">
        <v>27</v>
      </c>
      <c r="T1216">
        <v>4200</v>
      </c>
      <c r="U1216">
        <v>3553</v>
      </c>
      <c r="V1216" t="s">
        <v>22</v>
      </c>
    </row>
    <row r="1217" spans="1:22">
      <c r="A1217" t="str">
        <f t="shared" si="440"/>
        <v>04/02/2026</v>
      </c>
      <c r="B1217" t="str">
        <f t="shared" si="443"/>
        <v>ENTRADA</v>
      </c>
      <c r="C1217" t="str">
        <f t="shared" si="444"/>
        <v>NFSE</v>
      </c>
      <c r="D1217" t="str">
        <f t="shared" si="441"/>
        <v>160</v>
      </c>
      <c r="E1217" t="str">
        <f t="shared" si="445"/>
        <v>1</v>
      </c>
      <c r="F1217" t="str">
        <f t="shared" si="439"/>
        <v>COM</v>
      </c>
      <c r="G1217" t="str">
        <f t="shared" si="442"/>
        <v>FARMÁCIA INDIANA LJ 1 (10126)</v>
      </c>
      <c r="H1217" t="s">
        <v>325</v>
      </c>
      <c r="I1217" t="str">
        <f t="shared" si="446"/>
        <v>04/02/2026</v>
      </c>
      <c r="J1217" t="str">
        <f t="shared" si="447"/>
        <v>26/01/2026</v>
      </c>
      <c r="K1217">
        <v>46057</v>
      </c>
      <c r="N1217">
        <v>303</v>
      </c>
      <c r="O1217" t="s">
        <v>26</v>
      </c>
      <c r="Q1217">
        <v>67.66</v>
      </c>
      <c r="R1217" t="str">
        <f>"FARMÁCIA INDIANA LJ 97 (10040)"</f>
        <v>FARMÁCIA INDIANA LJ 97 (10040)</v>
      </c>
      <c r="S1217" t="s">
        <v>27</v>
      </c>
      <c r="T1217">
        <v>4200</v>
      </c>
      <c r="U1217">
        <v>3553</v>
      </c>
      <c r="V1217" t="s">
        <v>22</v>
      </c>
    </row>
    <row r="1218" spans="1:22">
      <c r="A1218" t="str">
        <f t="shared" si="440"/>
        <v>04/02/2026</v>
      </c>
      <c r="B1218" t="str">
        <f t="shared" si="443"/>
        <v>ENTRADA</v>
      </c>
      <c r="C1218" t="str">
        <f t="shared" si="444"/>
        <v>NFSE</v>
      </c>
      <c r="D1218" t="str">
        <f t="shared" si="441"/>
        <v>160</v>
      </c>
      <c r="E1218" t="str">
        <f t="shared" si="445"/>
        <v>1</v>
      </c>
      <c r="F1218" t="str">
        <f t="shared" si="439"/>
        <v>COM</v>
      </c>
      <c r="G1218" t="str">
        <f t="shared" si="442"/>
        <v>FARMÁCIA INDIANA LJ 1 (10126)</v>
      </c>
      <c r="H1218" t="s">
        <v>325</v>
      </c>
      <c r="I1218" t="str">
        <f t="shared" si="446"/>
        <v>04/02/2026</v>
      </c>
      <c r="J1218" t="str">
        <f t="shared" si="447"/>
        <v>26/01/2026</v>
      </c>
      <c r="K1218">
        <v>46057</v>
      </c>
      <c r="N1218">
        <v>303</v>
      </c>
      <c r="O1218" t="s">
        <v>26</v>
      </c>
      <c r="Q1218">
        <v>200.34</v>
      </c>
      <c r="R1218" t="str">
        <f>"FARMÁCIA INDIANA LJ 100 (10042)"</f>
        <v>FARMÁCIA INDIANA LJ 100 (10042)</v>
      </c>
      <c r="S1218" t="s">
        <v>27</v>
      </c>
      <c r="T1218">
        <v>4200</v>
      </c>
      <c r="U1218">
        <v>3553</v>
      </c>
      <c r="V1218" t="s">
        <v>22</v>
      </c>
    </row>
    <row r="1219" spans="1:22">
      <c r="A1219" t="str">
        <f t="shared" si="440"/>
        <v>04/02/2026</v>
      </c>
      <c r="B1219" t="str">
        <f t="shared" si="443"/>
        <v>ENTRADA</v>
      </c>
      <c r="C1219" t="str">
        <f t="shared" si="444"/>
        <v>NFSE</v>
      </c>
      <c r="D1219" t="str">
        <f t="shared" si="441"/>
        <v>160</v>
      </c>
      <c r="E1219" t="str">
        <f t="shared" si="445"/>
        <v>1</v>
      </c>
      <c r="F1219" t="str">
        <f t="shared" si="439"/>
        <v>COM</v>
      </c>
      <c r="G1219" t="str">
        <f t="shared" si="442"/>
        <v>FARMÁCIA INDIANA LJ 1 (10126)</v>
      </c>
      <c r="H1219" t="s">
        <v>325</v>
      </c>
      <c r="I1219" t="str">
        <f t="shared" si="446"/>
        <v>04/02/2026</v>
      </c>
      <c r="J1219" t="str">
        <f t="shared" si="447"/>
        <v>26/01/2026</v>
      </c>
      <c r="K1219">
        <v>46057</v>
      </c>
      <c r="N1219">
        <v>303</v>
      </c>
      <c r="O1219" t="s">
        <v>26</v>
      </c>
      <c r="Q1219">
        <v>680.62</v>
      </c>
      <c r="R1219" t="str">
        <f>"FARMÁCIA INDIANA LJ 101 (10043)"</f>
        <v>FARMÁCIA INDIANA LJ 101 (10043)</v>
      </c>
      <c r="S1219" t="s">
        <v>27</v>
      </c>
      <c r="T1219">
        <v>4200</v>
      </c>
      <c r="U1219">
        <v>3553</v>
      </c>
      <c r="V1219" t="s">
        <v>22</v>
      </c>
    </row>
    <row r="1220" spans="1:22">
      <c r="A1220" t="str">
        <f t="shared" si="440"/>
        <v>04/02/2026</v>
      </c>
      <c r="B1220" t="str">
        <f t="shared" si="443"/>
        <v>ENTRADA</v>
      </c>
      <c r="C1220" t="str">
        <f t="shared" si="444"/>
        <v>NFSE</v>
      </c>
      <c r="D1220" t="str">
        <f t="shared" si="441"/>
        <v>160</v>
      </c>
      <c r="E1220" t="str">
        <f t="shared" si="445"/>
        <v>1</v>
      </c>
      <c r="F1220" t="str">
        <f t="shared" si="439"/>
        <v>COM</v>
      </c>
      <c r="G1220" t="str">
        <f t="shared" si="442"/>
        <v>FARMÁCIA INDIANA LJ 1 (10126)</v>
      </c>
      <c r="H1220" t="s">
        <v>325</v>
      </c>
      <c r="I1220" t="str">
        <f t="shared" si="446"/>
        <v>04/02/2026</v>
      </c>
      <c r="J1220" t="str">
        <f t="shared" si="447"/>
        <v>26/01/2026</v>
      </c>
      <c r="K1220">
        <v>46057</v>
      </c>
      <c r="N1220">
        <v>303</v>
      </c>
      <c r="O1220" t="s">
        <v>26</v>
      </c>
      <c r="Q1220">
        <v>47.76</v>
      </c>
      <c r="R1220" t="str">
        <f>"FARMÁCIA INDIANA LJ 103 (10044)"</f>
        <v>FARMÁCIA INDIANA LJ 103 (10044)</v>
      </c>
      <c r="S1220" t="s">
        <v>27</v>
      </c>
      <c r="T1220">
        <v>4200</v>
      </c>
      <c r="U1220">
        <v>3553</v>
      </c>
      <c r="V1220" t="s">
        <v>22</v>
      </c>
    </row>
    <row r="1221" spans="1:22">
      <c r="A1221" t="str">
        <f t="shared" si="440"/>
        <v>04/02/2026</v>
      </c>
      <c r="B1221" t="str">
        <f t="shared" si="443"/>
        <v>ENTRADA</v>
      </c>
      <c r="C1221" t="str">
        <f t="shared" si="444"/>
        <v>NFSE</v>
      </c>
      <c r="D1221" t="str">
        <f t="shared" si="441"/>
        <v>160</v>
      </c>
      <c r="E1221" t="str">
        <f t="shared" si="445"/>
        <v>1</v>
      </c>
      <c r="F1221" t="str">
        <f t="shared" si="439"/>
        <v>COM</v>
      </c>
      <c r="G1221" t="str">
        <f t="shared" si="442"/>
        <v>FARMÁCIA INDIANA LJ 1 (10126)</v>
      </c>
      <c r="H1221" t="s">
        <v>325</v>
      </c>
      <c r="I1221" t="str">
        <f t="shared" si="446"/>
        <v>04/02/2026</v>
      </c>
      <c r="J1221" t="str">
        <f t="shared" si="447"/>
        <v>26/01/2026</v>
      </c>
      <c r="K1221">
        <v>46057</v>
      </c>
      <c r="N1221">
        <v>303</v>
      </c>
      <c r="O1221" t="s">
        <v>26</v>
      </c>
      <c r="Q1221">
        <v>234.83</v>
      </c>
      <c r="R1221" t="str">
        <f>"FARMÁCIA INDIANA LJ 109 (10047)"</f>
        <v>FARMÁCIA INDIANA LJ 109 (10047)</v>
      </c>
      <c r="S1221" t="s">
        <v>27</v>
      </c>
      <c r="T1221">
        <v>4200</v>
      </c>
      <c r="U1221">
        <v>3553</v>
      </c>
      <c r="V1221" t="s">
        <v>22</v>
      </c>
    </row>
    <row r="1222" spans="1:22">
      <c r="A1222" t="str">
        <f t="shared" si="440"/>
        <v>04/02/2026</v>
      </c>
      <c r="B1222" t="str">
        <f t="shared" si="443"/>
        <v>ENTRADA</v>
      </c>
      <c r="C1222" t="str">
        <f t="shared" si="444"/>
        <v>NFSE</v>
      </c>
      <c r="D1222" t="str">
        <f t="shared" si="441"/>
        <v>160</v>
      </c>
      <c r="E1222" t="str">
        <f t="shared" si="445"/>
        <v>1</v>
      </c>
      <c r="F1222" t="str">
        <f t="shared" si="439"/>
        <v>COM</v>
      </c>
      <c r="G1222" t="str">
        <f t="shared" si="442"/>
        <v>FARMÁCIA INDIANA LJ 1 (10126)</v>
      </c>
      <c r="H1222" t="s">
        <v>325</v>
      </c>
      <c r="I1222" t="str">
        <f t="shared" si="446"/>
        <v>04/02/2026</v>
      </c>
      <c r="J1222" t="str">
        <f t="shared" si="447"/>
        <v>26/01/2026</v>
      </c>
      <c r="K1222">
        <v>46057</v>
      </c>
      <c r="N1222">
        <v>303</v>
      </c>
      <c r="O1222" t="s">
        <v>26</v>
      </c>
      <c r="Q1222">
        <v>364.86</v>
      </c>
      <c r="R1222" t="str">
        <f>"FARMÁCIA INDIANA LJ 110 (10048)"</f>
        <v>FARMÁCIA INDIANA LJ 110 (10048)</v>
      </c>
      <c r="S1222" t="s">
        <v>27</v>
      </c>
      <c r="T1222">
        <v>4200</v>
      </c>
      <c r="U1222">
        <v>3553</v>
      </c>
      <c r="V1222" t="s">
        <v>22</v>
      </c>
    </row>
    <row r="1223" spans="1:22">
      <c r="A1223" t="str">
        <f t="shared" si="440"/>
        <v>04/02/2026</v>
      </c>
      <c r="B1223" t="str">
        <f t="shared" si="443"/>
        <v>ENTRADA</v>
      </c>
      <c r="C1223" t="str">
        <f t="shared" si="444"/>
        <v>NFSE</v>
      </c>
      <c r="D1223" t="str">
        <f t="shared" si="441"/>
        <v>160</v>
      </c>
      <c r="E1223" t="str">
        <f t="shared" si="445"/>
        <v>1</v>
      </c>
      <c r="F1223" t="str">
        <f t="shared" si="439"/>
        <v>COM</v>
      </c>
      <c r="G1223" t="str">
        <f t="shared" si="442"/>
        <v>FARMÁCIA INDIANA LJ 1 (10126)</v>
      </c>
      <c r="H1223" t="s">
        <v>325</v>
      </c>
      <c r="I1223" t="str">
        <f t="shared" si="446"/>
        <v>04/02/2026</v>
      </c>
      <c r="J1223" t="str">
        <f t="shared" si="447"/>
        <v>26/01/2026</v>
      </c>
      <c r="K1223">
        <v>46057</v>
      </c>
      <c r="N1223">
        <v>303</v>
      </c>
      <c r="O1223" t="s">
        <v>26</v>
      </c>
      <c r="Q1223">
        <v>65.010000000000005</v>
      </c>
      <c r="R1223" t="str">
        <f>"FARMÁCIA INDIANA LJ 111 (10049)"</f>
        <v>FARMÁCIA INDIANA LJ 111 (10049)</v>
      </c>
      <c r="S1223" t="s">
        <v>27</v>
      </c>
      <c r="T1223">
        <v>4200</v>
      </c>
      <c r="U1223">
        <v>3553</v>
      </c>
      <c r="V1223" t="s">
        <v>22</v>
      </c>
    </row>
    <row r="1224" spans="1:22">
      <c r="A1224" t="str">
        <f t="shared" si="440"/>
        <v>04/02/2026</v>
      </c>
      <c r="B1224" t="str">
        <f t="shared" si="443"/>
        <v>ENTRADA</v>
      </c>
      <c r="C1224" t="str">
        <f t="shared" si="444"/>
        <v>NFSE</v>
      </c>
      <c r="D1224" t="str">
        <f t="shared" si="441"/>
        <v>160</v>
      </c>
      <c r="E1224" t="str">
        <f t="shared" si="445"/>
        <v>1</v>
      </c>
      <c r="F1224" t="str">
        <f t="shared" si="439"/>
        <v>COM</v>
      </c>
      <c r="G1224" t="str">
        <f t="shared" si="442"/>
        <v>FARMÁCIA INDIANA LJ 1 (10126)</v>
      </c>
      <c r="H1224" t="s">
        <v>325</v>
      </c>
      <c r="I1224" t="str">
        <f t="shared" si="446"/>
        <v>04/02/2026</v>
      </c>
      <c r="J1224" t="str">
        <f t="shared" si="447"/>
        <v>26/01/2026</v>
      </c>
      <c r="K1224">
        <v>46057</v>
      </c>
      <c r="N1224">
        <v>303</v>
      </c>
      <c r="O1224" t="s">
        <v>26</v>
      </c>
      <c r="Q1224">
        <v>99.51</v>
      </c>
      <c r="R1224" t="str">
        <f>"FARMÁCIA INDIANA LJ 112 (10050)"</f>
        <v>FARMÁCIA INDIANA LJ 112 (10050)</v>
      </c>
      <c r="S1224" t="s">
        <v>27</v>
      </c>
      <c r="T1224">
        <v>4200</v>
      </c>
      <c r="U1224">
        <v>3553</v>
      </c>
      <c r="V1224" t="s">
        <v>22</v>
      </c>
    </row>
    <row r="1225" spans="1:22">
      <c r="A1225" t="str">
        <f t="shared" si="440"/>
        <v>04/02/2026</v>
      </c>
      <c r="B1225" t="str">
        <f t="shared" si="443"/>
        <v>ENTRADA</v>
      </c>
      <c r="C1225" t="str">
        <f t="shared" si="444"/>
        <v>NFSE</v>
      </c>
      <c r="D1225" t="str">
        <f t="shared" si="441"/>
        <v>160</v>
      </c>
      <c r="E1225" t="str">
        <f t="shared" si="445"/>
        <v>1</v>
      </c>
      <c r="F1225" t="str">
        <f t="shared" si="439"/>
        <v>COM</v>
      </c>
      <c r="G1225" t="str">
        <f t="shared" si="442"/>
        <v>FARMÁCIA INDIANA LJ 1 (10126)</v>
      </c>
      <c r="H1225" t="s">
        <v>325</v>
      </c>
      <c r="I1225" t="str">
        <f t="shared" si="446"/>
        <v>04/02/2026</v>
      </c>
      <c r="J1225" t="str">
        <f t="shared" si="447"/>
        <v>26/01/2026</v>
      </c>
      <c r="K1225">
        <v>46057</v>
      </c>
      <c r="N1225">
        <v>303</v>
      </c>
      <c r="O1225" t="s">
        <v>26</v>
      </c>
      <c r="Q1225">
        <v>99.51</v>
      </c>
      <c r="R1225" t="str">
        <f>"FARMÁCIA INDIANA LJ 116 (10051)"</f>
        <v>FARMÁCIA INDIANA LJ 116 (10051)</v>
      </c>
      <c r="S1225" t="s">
        <v>27</v>
      </c>
      <c r="T1225">
        <v>4200</v>
      </c>
      <c r="U1225">
        <v>3553</v>
      </c>
      <c r="V1225" t="s">
        <v>22</v>
      </c>
    </row>
    <row r="1226" spans="1:22">
      <c r="A1226" t="str">
        <f t="shared" si="440"/>
        <v>04/02/2026</v>
      </c>
      <c r="B1226" t="str">
        <f t="shared" si="443"/>
        <v>ENTRADA</v>
      </c>
      <c r="C1226" t="str">
        <f t="shared" si="444"/>
        <v>NFSE</v>
      </c>
      <c r="D1226" t="str">
        <f t="shared" si="441"/>
        <v>160</v>
      </c>
      <c r="E1226" t="str">
        <f t="shared" si="445"/>
        <v>1</v>
      </c>
      <c r="F1226" t="str">
        <f t="shared" si="439"/>
        <v>COM</v>
      </c>
      <c r="G1226" t="str">
        <f t="shared" si="442"/>
        <v>FARMÁCIA INDIANA LJ 1 (10126)</v>
      </c>
      <c r="H1226" t="s">
        <v>325</v>
      </c>
      <c r="I1226" t="str">
        <f t="shared" si="446"/>
        <v>04/02/2026</v>
      </c>
      <c r="J1226" t="str">
        <f t="shared" si="447"/>
        <v>26/01/2026</v>
      </c>
      <c r="K1226">
        <v>46057</v>
      </c>
      <c r="N1226">
        <v>303</v>
      </c>
      <c r="O1226" t="s">
        <v>26</v>
      </c>
      <c r="Q1226">
        <v>90.22</v>
      </c>
      <c r="R1226" t="str">
        <f>"FARMÁCIA INDIANA LJ 118 (10052)"</f>
        <v>FARMÁCIA INDIANA LJ 118 (10052)</v>
      </c>
      <c r="S1226" t="s">
        <v>27</v>
      </c>
      <c r="T1226">
        <v>4200</v>
      </c>
      <c r="U1226">
        <v>3553</v>
      </c>
      <c r="V1226" t="s">
        <v>22</v>
      </c>
    </row>
    <row r="1227" spans="1:22">
      <c r="A1227" t="str">
        <f t="shared" si="440"/>
        <v>04/02/2026</v>
      </c>
      <c r="B1227" t="str">
        <f t="shared" si="443"/>
        <v>ENTRADA</v>
      </c>
      <c r="C1227" t="str">
        <f t="shared" si="444"/>
        <v>NFSE</v>
      </c>
      <c r="D1227" t="str">
        <f t="shared" si="441"/>
        <v>160</v>
      </c>
      <c r="E1227" t="str">
        <f t="shared" si="445"/>
        <v>1</v>
      </c>
      <c r="F1227" t="str">
        <f t="shared" ref="F1227:F1261" si="448">"COM"</f>
        <v>COM</v>
      </c>
      <c r="G1227" t="str">
        <f t="shared" si="442"/>
        <v>FARMÁCIA INDIANA LJ 1 (10126)</v>
      </c>
      <c r="H1227" t="s">
        <v>325</v>
      </c>
      <c r="I1227" t="str">
        <f t="shared" si="446"/>
        <v>04/02/2026</v>
      </c>
      <c r="J1227" t="str">
        <f t="shared" si="447"/>
        <v>26/01/2026</v>
      </c>
      <c r="K1227">
        <v>46057</v>
      </c>
      <c r="N1227">
        <v>303</v>
      </c>
      <c r="O1227" t="s">
        <v>26</v>
      </c>
      <c r="Q1227">
        <v>99.51</v>
      </c>
      <c r="R1227" t="str">
        <f>"FARMÁCIA INDIANA LJ 121 (10054)"</f>
        <v>FARMÁCIA INDIANA LJ 121 (10054)</v>
      </c>
      <c r="S1227" t="s">
        <v>27</v>
      </c>
      <c r="T1227">
        <v>4200</v>
      </c>
      <c r="U1227">
        <v>3553</v>
      </c>
      <c r="V1227" t="s">
        <v>22</v>
      </c>
    </row>
    <row r="1228" spans="1:22">
      <c r="A1228" t="str">
        <f t="shared" si="440"/>
        <v>04/02/2026</v>
      </c>
      <c r="B1228" t="str">
        <f t="shared" si="443"/>
        <v>ENTRADA</v>
      </c>
      <c r="C1228" t="str">
        <f t="shared" si="444"/>
        <v>NFSE</v>
      </c>
      <c r="D1228" t="str">
        <f t="shared" si="441"/>
        <v>160</v>
      </c>
      <c r="E1228" t="str">
        <f t="shared" si="445"/>
        <v>1</v>
      </c>
      <c r="F1228" t="str">
        <f t="shared" si="448"/>
        <v>COM</v>
      </c>
      <c r="G1228" t="str">
        <f t="shared" si="442"/>
        <v>FARMÁCIA INDIANA LJ 1 (10126)</v>
      </c>
      <c r="H1228" t="s">
        <v>325</v>
      </c>
      <c r="I1228" t="str">
        <f t="shared" si="446"/>
        <v>04/02/2026</v>
      </c>
      <c r="J1228" t="str">
        <f t="shared" si="447"/>
        <v>26/01/2026</v>
      </c>
      <c r="K1228">
        <v>46057</v>
      </c>
      <c r="N1228">
        <v>303</v>
      </c>
      <c r="O1228" t="s">
        <v>26</v>
      </c>
      <c r="Q1228">
        <v>119.41</v>
      </c>
      <c r="R1228" t="str">
        <f>"FARMÁCIA INDIANA LJ 128 (10057)"</f>
        <v>FARMÁCIA INDIANA LJ 128 (10057)</v>
      </c>
      <c r="S1228" t="s">
        <v>27</v>
      </c>
      <c r="T1228">
        <v>4200</v>
      </c>
      <c r="U1228">
        <v>3553</v>
      </c>
      <c r="V1228" t="s">
        <v>22</v>
      </c>
    </row>
    <row r="1229" spans="1:22">
      <c r="A1229" t="str">
        <f t="shared" si="440"/>
        <v>04/02/2026</v>
      </c>
      <c r="B1229" t="str">
        <f t="shared" si="443"/>
        <v>ENTRADA</v>
      </c>
      <c r="C1229" t="str">
        <f t="shared" si="444"/>
        <v>NFSE</v>
      </c>
      <c r="D1229" t="str">
        <f t="shared" si="441"/>
        <v>160</v>
      </c>
      <c r="E1229" t="str">
        <f t="shared" si="445"/>
        <v>1</v>
      </c>
      <c r="F1229" t="str">
        <f t="shared" si="448"/>
        <v>COM</v>
      </c>
      <c r="G1229" t="str">
        <f t="shared" si="442"/>
        <v>FARMÁCIA INDIANA LJ 1 (10126)</v>
      </c>
      <c r="H1229" t="s">
        <v>325</v>
      </c>
      <c r="I1229" t="str">
        <f t="shared" si="446"/>
        <v>04/02/2026</v>
      </c>
      <c r="J1229" t="str">
        <f t="shared" si="447"/>
        <v>26/01/2026</v>
      </c>
      <c r="K1229">
        <v>46057</v>
      </c>
      <c r="N1229">
        <v>303</v>
      </c>
      <c r="O1229" t="s">
        <v>26</v>
      </c>
      <c r="Q1229">
        <v>18.57</v>
      </c>
      <c r="R1229" t="str">
        <f>"FARMÁCIA INDIANA LJ 140 (10064)"</f>
        <v>FARMÁCIA INDIANA LJ 140 (10064)</v>
      </c>
      <c r="S1229" t="s">
        <v>27</v>
      </c>
      <c r="T1229">
        <v>4200</v>
      </c>
      <c r="U1229">
        <v>3553</v>
      </c>
      <c r="V1229" t="s">
        <v>22</v>
      </c>
    </row>
    <row r="1230" spans="1:22">
      <c r="A1230" t="str">
        <f t="shared" si="440"/>
        <v>04/02/2026</v>
      </c>
      <c r="B1230" t="str">
        <f t="shared" si="443"/>
        <v>ENTRADA</v>
      </c>
      <c r="C1230" t="str">
        <f t="shared" si="444"/>
        <v>NFSE</v>
      </c>
      <c r="D1230" t="str">
        <f t="shared" si="441"/>
        <v>160</v>
      </c>
      <c r="E1230" t="str">
        <f t="shared" si="445"/>
        <v>1</v>
      </c>
      <c r="F1230" t="str">
        <f t="shared" si="448"/>
        <v>COM</v>
      </c>
      <c r="G1230" t="str">
        <f t="shared" si="442"/>
        <v>FARMÁCIA INDIANA LJ 1 (10126)</v>
      </c>
      <c r="H1230" t="s">
        <v>325</v>
      </c>
      <c r="I1230" t="str">
        <f t="shared" si="446"/>
        <v>04/02/2026</v>
      </c>
      <c r="J1230" t="str">
        <f t="shared" si="447"/>
        <v>26/01/2026</v>
      </c>
      <c r="K1230">
        <v>46057</v>
      </c>
      <c r="N1230">
        <v>303</v>
      </c>
      <c r="O1230" t="s">
        <v>26</v>
      </c>
      <c r="Q1230">
        <v>17.25</v>
      </c>
      <c r="R1230" t="str">
        <f>"FARMÁCIA INDIANA LJ 141 (10065)"</f>
        <v>FARMÁCIA INDIANA LJ 141 (10065)</v>
      </c>
      <c r="S1230" t="s">
        <v>27</v>
      </c>
      <c r="T1230">
        <v>4200</v>
      </c>
      <c r="U1230">
        <v>3553</v>
      </c>
      <c r="V1230" t="s">
        <v>22</v>
      </c>
    </row>
    <row r="1231" spans="1:22">
      <c r="A1231" t="str">
        <f t="shared" si="440"/>
        <v>04/02/2026</v>
      </c>
      <c r="B1231" t="str">
        <f t="shared" si="443"/>
        <v>ENTRADA</v>
      </c>
      <c r="C1231" t="str">
        <f t="shared" si="444"/>
        <v>NFSE</v>
      </c>
      <c r="D1231" t="str">
        <f t="shared" si="441"/>
        <v>160</v>
      </c>
      <c r="E1231" t="str">
        <f t="shared" si="445"/>
        <v>1</v>
      </c>
      <c r="F1231" t="str">
        <f t="shared" si="448"/>
        <v>COM</v>
      </c>
      <c r="G1231" t="str">
        <f t="shared" si="442"/>
        <v>FARMÁCIA INDIANA LJ 1 (10126)</v>
      </c>
      <c r="H1231" t="s">
        <v>325</v>
      </c>
      <c r="I1231" t="str">
        <f t="shared" si="446"/>
        <v>04/02/2026</v>
      </c>
      <c r="J1231" t="str">
        <f t="shared" si="447"/>
        <v>26/01/2026</v>
      </c>
      <c r="K1231">
        <v>46057</v>
      </c>
      <c r="N1231">
        <v>303</v>
      </c>
      <c r="O1231" t="s">
        <v>26</v>
      </c>
      <c r="Q1231">
        <v>830.54</v>
      </c>
      <c r="R1231" t="str">
        <f>"FARMÁCIA INDIANA LJ 142 (10066)"</f>
        <v>FARMÁCIA INDIANA LJ 142 (10066)</v>
      </c>
      <c r="S1231" t="s">
        <v>27</v>
      </c>
      <c r="T1231">
        <v>4200</v>
      </c>
      <c r="U1231">
        <v>3553</v>
      </c>
      <c r="V1231" t="s">
        <v>22</v>
      </c>
    </row>
    <row r="1232" spans="1:22">
      <c r="A1232" t="str">
        <f t="shared" si="440"/>
        <v>04/02/2026</v>
      </c>
      <c r="B1232" t="str">
        <f t="shared" si="443"/>
        <v>ENTRADA</v>
      </c>
      <c r="C1232" t="str">
        <f t="shared" si="444"/>
        <v>NFSE</v>
      </c>
      <c r="D1232" t="str">
        <f t="shared" si="441"/>
        <v>160</v>
      </c>
      <c r="E1232" t="str">
        <f t="shared" si="445"/>
        <v>1</v>
      </c>
      <c r="F1232" t="str">
        <f t="shared" si="448"/>
        <v>COM</v>
      </c>
      <c r="G1232" t="str">
        <f t="shared" si="442"/>
        <v>FARMÁCIA INDIANA LJ 1 (10126)</v>
      </c>
      <c r="H1232" t="s">
        <v>325</v>
      </c>
      <c r="I1232" t="str">
        <f t="shared" si="446"/>
        <v>04/02/2026</v>
      </c>
      <c r="J1232" t="str">
        <f t="shared" si="447"/>
        <v>26/01/2026</v>
      </c>
      <c r="K1232">
        <v>46057</v>
      </c>
      <c r="N1232">
        <v>303</v>
      </c>
      <c r="O1232" t="s">
        <v>26</v>
      </c>
      <c r="Q1232">
        <v>67.66</v>
      </c>
      <c r="R1232" t="str">
        <f>"FARMÁCIA INDIANA LJ 143 (10067)"</f>
        <v>FARMÁCIA INDIANA LJ 143 (10067)</v>
      </c>
      <c r="S1232" t="s">
        <v>27</v>
      </c>
      <c r="T1232">
        <v>4200</v>
      </c>
      <c r="U1232">
        <v>3553</v>
      </c>
      <c r="V1232" t="s">
        <v>22</v>
      </c>
    </row>
    <row r="1233" spans="1:22">
      <c r="A1233" t="str">
        <f t="shared" si="440"/>
        <v>04/02/2026</v>
      </c>
      <c r="B1233" t="str">
        <f t="shared" si="443"/>
        <v>ENTRADA</v>
      </c>
      <c r="C1233" t="str">
        <f t="shared" si="444"/>
        <v>NFSE</v>
      </c>
      <c r="D1233" t="str">
        <f t="shared" si="441"/>
        <v>160</v>
      </c>
      <c r="E1233" t="str">
        <f t="shared" si="445"/>
        <v>1</v>
      </c>
      <c r="F1233" t="str">
        <f t="shared" si="448"/>
        <v>COM</v>
      </c>
      <c r="G1233" t="str">
        <f t="shared" si="442"/>
        <v>FARMÁCIA INDIANA LJ 1 (10126)</v>
      </c>
      <c r="H1233" t="s">
        <v>325</v>
      </c>
      <c r="I1233" t="str">
        <f t="shared" si="446"/>
        <v>04/02/2026</v>
      </c>
      <c r="J1233" t="str">
        <f t="shared" si="447"/>
        <v>26/01/2026</v>
      </c>
      <c r="K1233">
        <v>46057</v>
      </c>
      <c r="N1233">
        <v>303</v>
      </c>
      <c r="O1233" t="s">
        <v>26</v>
      </c>
      <c r="Q1233">
        <v>388.74</v>
      </c>
      <c r="R1233" t="str">
        <f>"FARMÁCIA INDIANA LJ 152 (10069)"</f>
        <v>FARMÁCIA INDIANA LJ 152 (10069)</v>
      </c>
      <c r="S1233" t="s">
        <v>27</v>
      </c>
      <c r="T1233">
        <v>4200</v>
      </c>
      <c r="U1233">
        <v>3553</v>
      </c>
      <c r="V1233" t="s">
        <v>22</v>
      </c>
    </row>
    <row r="1234" spans="1:22">
      <c r="A1234" t="str">
        <f t="shared" si="440"/>
        <v>04/02/2026</v>
      </c>
      <c r="B1234" t="str">
        <f t="shared" si="443"/>
        <v>ENTRADA</v>
      </c>
      <c r="C1234" t="str">
        <f t="shared" si="444"/>
        <v>NFSE</v>
      </c>
      <c r="D1234" t="str">
        <f t="shared" si="441"/>
        <v>160</v>
      </c>
      <c r="E1234" t="str">
        <f t="shared" si="445"/>
        <v>1</v>
      </c>
      <c r="F1234" t="str">
        <f t="shared" si="448"/>
        <v>COM</v>
      </c>
      <c r="G1234" t="str">
        <f t="shared" si="442"/>
        <v>FARMÁCIA INDIANA LJ 1 (10126)</v>
      </c>
      <c r="H1234" t="s">
        <v>325</v>
      </c>
      <c r="I1234" t="str">
        <f t="shared" si="446"/>
        <v>04/02/2026</v>
      </c>
      <c r="J1234" t="str">
        <f t="shared" si="447"/>
        <v>26/01/2026</v>
      </c>
      <c r="K1234">
        <v>46057</v>
      </c>
      <c r="N1234">
        <v>303</v>
      </c>
      <c r="O1234" t="s">
        <v>26</v>
      </c>
      <c r="Q1234">
        <v>25.21</v>
      </c>
      <c r="R1234" t="str">
        <f>"FARMÁCIA INDIANA LJ 154 (10070)"</f>
        <v>FARMÁCIA INDIANA LJ 154 (10070)</v>
      </c>
      <c r="S1234" t="s">
        <v>27</v>
      </c>
      <c r="T1234">
        <v>4200</v>
      </c>
      <c r="U1234">
        <v>3553</v>
      </c>
      <c r="V1234" t="s">
        <v>22</v>
      </c>
    </row>
    <row r="1235" spans="1:22">
      <c r="A1235" t="str">
        <f t="shared" ref="A1235:A1255" si="449">("04/02/2026")</f>
        <v>04/02/2026</v>
      </c>
      <c r="B1235" t="str">
        <f t="shared" si="443"/>
        <v>ENTRADA</v>
      </c>
      <c r="C1235" t="str">
        <f t="shared" si="444"/>
        <v>NFSE</v>
      </c>
      <c r="D1235" t="str">
        <f t="shared" si="441"/>
        <v>160</v>
      </c>
      <c r="E1235" t="str">
        <f t="shared" si="445"/>
        <v>1</v>
      </c>
      <c r="F1235" t="str">
        <f t="shared" si="448"/>
        <v>COM</v>
      </c>
      <c r="G1235" t="str">
        <f t="shared" si="442"/>
        <v>FARMÁCIA INDIANA LJ 1 (10126)</v>
      </c>
      <c r="H1235" t="s">
        <v>325</v>
      </c>
      <c r="I1235" t="str">
        <f t="shared" si="446"/>
        <v>04/02/2026</v>
      </c>
      <c r="J1235" t="str">
        <f t="shared" si="447"/>
        <v>26/01/2026</v>
      </c>
      <c r="K1235">
        <v>46057</v>
      </c>
      <c r="N1235">
        <v>303</v>
      </c>
      <c r="O1235" t="s">
        <v>26</v>
      </c>
      <c r="Q1235">
        <v>213.61</v>
      </c>
      <c r="R1235" t="str">
        <f>"FARMÁCIA INDIANA LJ 171 (10074)"</f>
        <v>FARMÁCIA INDIANA LJ 171 (10074)</v>
      </c>
      <c r="S1235" t="s">
        <v>27</v>
      </c>
      <c r="T1235">
        <v>4200</v>
      </c>
      <c r="U1235">
        <v>3553</v>
      </c>
      <c r="V1235" t="s">
        <v>22</v>
      </c>
    </row>
    <row r="1236" spans="1:22">
      <c r="A1236" t="str">
        <f t="shared" si="449"/>
        <v>04/02/2026</v>
      </c>
      <c r="B1236" t="str">
        <f t="shared" si="443"/>
        <v>ENTRADA</v>
      </c>
      <c r="C1236" t="str">
        <f t="shared" si="444"/>
        <v>NFSE</v>
      </c>
      <c r="D1236" t="str">
        <f t="shared" si="441"/>
        <v>160</v>
      </c>
      <c r="E1236" t="str">
        <f t="shared" si="445"/>
        <v>1</v>
      </c>
      <c r="F1236" t="str">
        <f t="shared" si="448"/>
        <v>COM</v>
      </c>
      <c r="G1236" t="str">
        <f t="shared" si="442"/>
        <v>FARMÁCIA INDIANA LJ 1 (10126)</v>
      </c>
      <c r="H1236" t="s">
        <v>325</v>
      </c>
      <c r="I1236" t="str">
        <f t="shared" si="446"/>
        <v>04/02/2026</v>
      </c>
      <c r="J1236" t="str">
        <f t="shared" si="447"/>
        <v>26/01/2026</v>
      </c>
      <c r="K1236">
        <v>46057</v>
      </c>
      <c r="N1236">
        <v>303</v>
      </c>
      <c r="O1236" t="s">
        <v>26</v>
      </c>
      <c r="Q1236">
        <v>82.26</v>
      </c>
      <c r="R1236" t="str">
        <f>"FARMÁCIA INDIANA LJ 175 (10076)"</f>
        <v>FARMÁCIA INDIANA LJ 175 (10076)</v>
      </c>
      <c r="S1236" t="s">
        <v>27</v>
      </c>
      <c r="T1236">
        <v>4200</v>
      </c>
      <c r="U1236">
        <v>3553</v>
      </c>
      <c r="V1236" t="s">
        <v>22</v>
      </c>
    </row>
    <row r="1237" spans="1:22">
      <c r="A1237" t="str">
        <f t="shared" si="449"/>
        <v>04/02/2026</v>
      </c>
      <c r="B1237" t="str">
        <f t="shared" si="443"/>
        <v>ENTRADA</v>
      </c>
      <c r="C1237" t="str">
        <f t="shared" si="444"/>
        <v>NFSE</v>
      </c>
      <c r="D1237" t="str">
        <f t="shared" ref="D1237:D1255" si="450">"160"</f>
        <v>160</v>
      </c>
      <c r="E1237" t="str">
        <f t="shared" si="445"/>
        <v>1</v>
      </c>
      <c r="F1237" t="str">
        <f t="shared" si="448"/>
        <v>COM</v>
      </c>
      <c r="G1237" t="str">
        <f t="shared" ref="G1237:G1255" si="451">"FARMÁCIA INDIANA LJ 1 (10126)"</f>
        <v>FARMÁCIA INDIANA LJ 1 (10126)</v>
      </c>
      <c r="H1237" t="s">
        <v>325</v>
      </c>
      <c r="I1237" t="str">
        <f t="shared" si="446"/>
        <v>04/02/2026</v>
      </c>
      <c r="J1237" t="str">
        <f t="shared" si="447"/>
        <v>26/01/2026</v>
      </c>
      <c r="K1237">
        <v>46057</v>
      </c>
      <c r="N1237">
        <v>303</v>
      </c>
      <c r="O1237" t="s">
        <v>26</v>
      </c>
      <c r="Q1237">
        <v>128.69</v>
      </c>
      <c r="R1237" t="str">
        <f>"FARMÁCIA INDIANA LJ 178 (10077)"</f>
        <v>FARMÁCIA INDIANA LJ 178 (10077)</v>
      </c>
      <c r="S1237" t="s">
        <v>27</v>
      </c>
      <c r="T1237">
        <v>4200</v>
      </c>
      <c r="U1237">
        <v>3553</v>
      </c>
      <c r="V1237" t="s">
        <v>22</v>
      </c>
    </row>
    <row r="1238" spans="1:22">
      <c r="A1238" t="str">
        <f t="shared" si="449"/>
        <v>04/02/2026</v>
      </c>
      <c r="B1238" t="str">
        <f t="shared" si="443"/>
        <v>ENTRADA</v>
      </c>
      <c r="C1238" t="str">
        <f t="shared" si="444"/>
        <v>NFSE</v>
      </c>
      <c r="D1238" t="str">
        <f t="shared" si="450"/>
        <v>160</v>
      </c>
      <c r="E1238" t="str">
        <f t="shared" si="445"/>
        <v>1</v>
      </c>
      <c r="F1238" t="str">
        <f t="shared" si="448"/>
        <v>COM</v>
      </c>
      <c r="G1238" t="str">
        <f t="shared" si="451"/>
        <v>FARMÁCIA INDIANA LJ 1 (10126)</v>
      </c>
      <c r="H1238" t="s">
        <v>325</v>
      </c>
      <c r="I1238" t="str">
        <f t="shared" si="446"/>
        <v>04/02/2026</v>
      </c>
      <c r="J1238" t="str">
        <f t="shared" si="447"/>
        <v>26/01/2026</v>
      </c>
      <c r="K1238">
        <v>46057</v>
      </c>
      <c r="N1238">
        <v>303</v>
      </c>
      <c r="O1238" t="s">
        <v>26</v>
      </c>
      <c r="Q1238">
        <v>50.42</v>
      </c>
      <c r="R1238" t="str">
        <f>"FARMÁCIA INDIANA LJ 182 (10079)"</f>
        <v>FARMÁCIA INDIANA LJ 182 (10079)</v>
      </c>
      <c r="S1238" t="s">
        <v>27</v>
      </c>
      <c r="T1238">
        <v>4200</v>
      </c>
      <c r="U1238">
        <v>3553</v>
      </c>
      <c r="V1238" t="s">
        <v>22</v>
      </c>
    </row>
    <row r="1239" spans="1:22">
      <c r="A1239" t="str">
        <f t="shared" si="449"/>
        <v>04/02/2026</v>
      </c>
      <c r="B1239" t="str">
        <f t="shared" ref="B1239:B1255" si="452">"ENTRADA"</f>
        <v>ENTRADA</v>
      </c>
      <c r="C1239" t="str">
        <f t="shared" ref="C1239:C1255" si="453">"NFSE"</f>
        <v>NFSE</v>
      </c>
      <c r="D1239" t="str">
        <f t="shared" si="450"/>
        <v>160</v>
      </c>
      <c r="E1239" t="str">
        <f t="shared" ref="E1239:E1255" si="454">"1"</f>
        <v>1</v>
      </c>
      <c r="F1239" t="str">
        <f t="shared" si="448"/>
        <v>COM</v>
      </c>
      <c r="G1239" t="str">
        <f t="shared" si="451"/>
        <v>FARMÁCIA INDIANA LJ 1 (10126)</v>
      </c>
      <c r="H1239" t="s">
        <v>325</v>
      </c>
      <c r="I1239" t="str">
        <f t="shared" ref="I1239:I1255" si="455">("04/02/2026")</f>
        <v>04/02/2026</v>
      </c>
      <c r="J1239" t="str">
        <f t="shared" ref="J1239:J1255" si="456">("26/01/2026")</f>
        <v>26/01/2026</v>
      </c>
      <c r="K1239">
        <v>46057</v>
      </c>
      <c r="N1239">
        <v>303</v>
      </c>
      <c r="O1239" t="s">
        <v>26</v>
      </c>
      <c r="Q1239">
        <v>39.799999999999997</v>
      </c>
      <c r="R1239" t="str">
        <f>"FARMÁCIA INDIANA LJ 184 (10080)"</f>
        <v>FARMÁCIA INDIANA LJ 184 (10080)</v>
      </c>
      <c r="S1239" t="s">
        <v>27</v>
      </c>
      <c r="T1239">
        <v>4200</v>
      </c>
      <c r="U1239">
        <v>3553</v>
      </c>
      <c r="V1239" t="s">
        <v>22</v>
      </c>
    </row>
    <row r="1240" spans="1:22">
      <c r="A1240" t="str">
        <f t="shared" si="449"/>
        <v>04/02/2026</v>
      </c>
      <c r="B1240" t="str">
        <f t="shared" si="452"/>
        <v>ENTRADA</v>
      </c>
      <c r="C1240" t="str">
        <f t="shared" si="453"/>
        <v>NFSE</v>
      </c>
      <c r="D1240" t="str">
        <f t="shared" si="450"/>
        <v>160</v>
      </c>
      <c r="E1240" t="str">
        <f t="shared" si="454"/>
        <v>1</v>
      </c>
      <c r="F1240" t="str">
        <f t="shared" si="448"/>
        <v>COM</v>
      </c>
      <c r="G1240" t="str">
        <f t="shared" si="451"/>
        <v>FARMÁCIA INDIANA LJ 1 (10126)</v>
      </c>
      <c r="H1240" t="s">
        <v>325</v>
      </c>
      <c r="I1240" t="str">
        <f t="shared" si="455"/>
        <v>04/02/2026</v>
      </c>
      <c r="J1240" t="str">
        <f t="shared" si="456"/>
        <v>26/01/2026</v>
      </c>
      <c r="K1240">
        <v>46057</v>
      </c>
      <c r="N1240">
        <v>303</v>
      </c>
      <c r="O1240" t="s">
        <v>26</v>
      </c>
      <c r="Q1240">
        <v>50.42</v>
      </c>
      <c r="R1240" t="str">
        <f>"FARMÁCIA INDIANA LJ 186 (10081)"</f>
        <v>FARMÁCIA INDIANA LJ 186 (10081)</v>
      </c>
      <c r="S1240" t="s">
        <v>27</v>
      </c>
      <c r="T1240">
        <v>4200</v>
      </c>
      <c r="U1240">
        <v>3553</v>
      </c>
      <c r="V1240" t="s">
        <v>22</v>
      </c>
    </row>
    <row r="1241" spans="1:22">
      <c r="A1241" t="str">
        <f t="shared" si="449"/>
        <v>04/02/2026</v>
      </c>
      <c r="B1241" t="str">
        <f t="shared" si="452"/>
        <v>ENTRADA</v>
      </c>
      <c r="C1241" t="str">
        <f t="shared" si="453"/>
        <v>NFSE</v>
      </c>
      <c r="D1241" t="str">
        <f t="shared" si="450"/>
        <v>160</v>
      </c>
      <c r="E1241" t="str">
        <f t="shared" si="454"/>
        <v>1</v>
      </c>
      <c r="F1241" t="str">
        <f t="shared" si="448"/>
        <v>COM</v>
      </c>
      <c r="G1241" t="str">
        <f t="shared" si="451"/>
        <v>FARMÁCIA INDIANA LJ 1 (10126)</v>
      </c>
      <c r="H1241" t="s">
        <v>325</v>
      </c>
      <c r="I1241" t="str">
        <f t="shared" si="455"/>
        <v>04/02/2026</v>
      </c>
      <c r="J1241" t="str">
        <f t="shared" si="456"/>
        <v>26/01/2026</v>
      </c>
      <c r="K1241">
        <v>46057</v>
      </c>
      <c r="N1241">
        <v>303</v>
      </c>
      <c r="O1241" t="s">
        <v>26</v>
      </c>
      <c r="Q1241">
        <v>90.22</v>
      </c>
      <c r="R1241" t="str">
        <f>"FARMÁCIA INDIANA LJ 192 (10082)"</f>
        <v>FARMÁCIA INDIANA LJ 192 (10082)</v>
      </c>
      <c r="S1241" t="s">
        <v>27</v>
      </c>
      <c r="T1241">
        <v>4200</v>
      </c>
      <c r="U1241">
        <v>3553</v>
      </c>
      <c r="V1241" t="s">
        <v>22</v>
      </c>
    </row>
    <row r="1242" spans="1:22">
      <c r="A1242" t="str">
        <f t="shared" si="449"/>
        <v>04/02/2026</v>
      </c>
      <c r="B1242" t="str">
        <f t="shared" si="452"/>
        <v>ENTRADA</v>
      </c>
      <c r="C1242" t="str">
        <f t="shared" si="453"/>
        <v>NFSE</v>
      </c>
      <c r="D1242" t="str">
        <f t="shared" si="450"/>
        <v>160</v>
      </c>
      <c r="E1242" t="str">
        <f t="shared" si="454"/>
        <v>1</v>
      </c>
      <c r="F1242" t="str">
        <f t="shared" si="448"/>
        <v>COM</v>
      </c>
      <c r="G1242" t="str">
        <f t="shared" si="451"/>
        <v>FARMÁCIA INDIANA LJ 1 (10126)</v>
      </c>
      <c r="H1242" t="s">
        <v>325</v>
      </c>
      <c r="I1242" t="str">
        <f t="shared" si="455"/>
        <v>04/02/2026</v>
      </c>
      <c r="J1242" t="str">
        <f t="shared" si="456"/>
        <v>26/01/2026</v>
      </c>
      <c r="K1242">
        <v>46057</v>
      </c>
      <c r="N1242">
        <v>303</v>
      </c>
      <c r="O1242" t="s">
        <v>26</v>
      </c>
      <c r="Q1242">
        <v>39.799999999999997</v>
      </c>
      <c r="R1242" t="str">
        <f>"FARMÁCIA INDIANA LJ 195 (10083)"</f>
        <v>FARMÁCIA INDIANA LJ 195 (10083)</v>
      </c>
      <c r="S1242" t="s">
        <v>27</v>
      </c>
      <c r="T1242">
        <v>4200</v>
      </c>
      <c r="U1242">
        <v>3553</v>
      </c>
      <c r="V1242" t="s">
        <v>22</v>
      </c>
    </row>
    <row r="1243" spans="1:22">
      <c r="A1243" t="str">
        <f t="shared" si="449"/>
        <v>04/02/2026</v>
      </c>
      <c r="B1243" t="str">
        <f t="shared" si="452"/>
        <v>ENTRADA</v>
      </c>
      <c r="C1243" t="str">
        <f t="shared" si="453"/>
        <v>NFSE</v>
      </c>
      <c r="D1243" t="str">
        <f t="shared" si="450"/>
        <v>160</v>
      </c>
      <c r="E1243" t="str">
        <f t="shared" si="454"/>
        <v>1</v>
      </c>
      <c r="F1243" t="str">
        <f t="shared" si="448"/>
        <v>COM</v>
      </c>
      <c r="G1243" t="str">
        <f t="shared" si="451"/>
        <v>FARMÁCIA INDIANA LJ 1 (10126)</v>
      </c>
      <c r="H1243" t="s">
        <v>325</v>
      </c>
      <c r="I1243" t="str">
        <f t="shared" si="455"/>
        <v>04/02/2026</v>
      </c>
      <c r="J1243" t="str">
        <f t="shared" si="456"/>
        <v>26/01/2026</v>
      </c>
      <c r="K1243">
        <v>46057</v>
      </c>
      <c r="N1243">
        <v>303</v>
      </c>
      <c r="O1243" t="s">
        <v>26</v>
      </c>
      <c r="Q1243">
        <v>99.51</v>
      </c>
      <c r="R1243" t="str">
        <f>"FARMÁCIA INDIANA LJ 202 (10085)"</f>
        <v>FARMÁCIA INDIANA LJ 202 (10085)</v>
      </c>
      <c r="S1243" t="s">
        <v>27</v>
      </c>
      <c r="T1243">
        <v>4200</v>
      </c>
      <c r="U1243">
        <v>3553</v>
      </c>
      <c r="V1243" t="s">
        <v>22</v>
      </c>
    </row>
    <row r="1244" spans="1:22">
      <c r="A1244" t="str">
        <f t="shared" si="449"/>
        <v>04/02/2026</v>
      </c>
      <c r="B1244" t="str">
        <f t="shared" si="452"/>
        <v>ENTRADA</v>
      </c>
      <c r="C1244" t="str">
        <f t="shared" si="453"/>
        <v>NFSE</v>
      </c>
      <c r="D1244" t="str">
        <f t="shared" si="450"/>
        <v>160</v>
      </c>
      <c r="E1244" t="str">
        <f t="shared" si="454"/>
        <v>1</v>
      </c>
      <c r="F1244" t="str">
        <f t="shared" si="448"/>
        <v>COM</v>
      </c>
      <c r="G1244" t="str">
        <f t="shared" si="451"/>
        <v>FARMÁCIA INDIANA LJ 1 (10126)</v>
      </c>
      <c r="H1244" t="s">
        <v>325</v>
      </c>
      <c r="I1244" t="str">
        <f t="shared" si="455"/>
        <v>04/02/2026</v>
      </c>
      <c r="J1244" t="str">
        <f t="shared" si="456"/>
        <v>26/01/2026</v>
      </c>
      <c r="K1244">
        <v>46057</v>
      </c>
      <c r="N1244">
        <v>303</v>
      </c>
      <c r="O1244" t="s">
        <v>26</v>
      </c>
      <c r="Q1244">
        <v>79.599999999999994</v>
      </c>
      <c r="R1244" t="str">
        <f>"FARMÁCIA INDIANA LJ 204 (10087)"</f>
        <v>FARMÁCIA INDIANA LJ 204 (10087)</v>
      </c>
      <c r="S1244" t="s">
        <v>27</v>
      </c>
      <c r="T1244">
        <v>4200</v>
      </c>
      <c r="U1244">
        <v>3553</v>
      </c>
      <c r="V1244" t="s">
        <v>22</v>
      </c>
    </row>
    <row r="1245" spans="1:22">
      <c r="A1245" t="str">
        <f t="shared" si="449"/>
        <v>04/02/2026</v>
      </c>
      <c r="B1245" t="str">
        <f t="shared" si="452"/>
        <v>ENTRADA</v>
      </c>
      <c r="C1245" t="str">
        <f t="shared" si="453"/>
        <v>NFSE</v>
      </c>
      <c r="D1245" t="str">
        <f t="shared" si="450"/>
        <v>160</v>
      </c>
      <c r="E1245" t="str">
        <f t="shared" si="454"/>
        <v>1</v>
      </c>
      <c r="F1245" t="str">
        <f t="shared" si="448"/>
        <v>COM</v>
      </c>
      <c r="G1245" t="str">
        <f t="shared" si="451"/>
        <v>FARMÁCIA INDIANA LJ 1 (10126)</v>
      </c>
      <c r="H1245" t="s">
        <v>325</v>
      </c>
      <c r="I1245" t="str">
        <f t="shared" si="455"/>
        <v>04/02/2026</v>
      </c>
      <c r="J1245" t="str">
        <f t="shared" si="456"/>
        <v>26/01/2026</v>
      </c>
      <c r="K1245">
        <v>46057</v>
      </c>
      <c r="N1245">
        <v>303</v>
      </c>
      <c r="O1245" t="s">
        <v>26</v>
      </c>
      <c r="Q1245">
        <v>147.27000000000001</v>
      </c>
      <c r="R1245" t="str">
        <f>"FARMÁCIA INDIANA LJ 207 (10088)"</f>
        <v>FARMÁCIA INDIANA LJ 207 (10088)</v>
      </c>
      <c r="S1245" t="s">
        <v>27</v>
      </c>
      <c r="T1245">
        <v>4200</v>
      </c>
      <c r="U1245">
        <v>3553</v>
      </c>
      <c r="V1245" t="s">
        <v>22</v>
      </c>
    </row>
    <row r="1246" spans="1:22">
      <c r="A1246" t="str">
        <f t="shared" si="449"/>
        <v>04/02/2026</v>
      </c>
      <c r="B1246" t="str">
        <f t="shared" si="452"/>
        <v>ENTRADA</v>
      </c>
      <c r="C1246" t="str">
        <f t="shared" si="453"/>
        <v>NFSE</v>
      </c>
      <c r="D1246" t="str">
        <f t="shared" si="450"/>
        <v>160</v>
      </c>
      <c r="E1246" t="str">
        <f t="shared" si="454"/>
        <v>1</v>
      </c>
      <c r="F1246" t="str">
        <f t="shared" si="448"/>
        <v>COM</v>
      </c>
      <c r="G1246" t="str">
        <f t="shared" si="451"/>
        <v>FARMÁCIA INDIANA LJ 1 (10126)</v>
      </c>
      <c r="H1246" t="s">
        <v>325</v>
      </c>
      <c r="I1246" t="str">
        <f t="shared" si="455"/>
        <v>04/02/2026</v>
      </c>
      <c r="J1246" t="str">
        <f t="shared" si="456"/>
        <v>26/01/2026</v>
      </c>
      <c r="K1246">
        <v>46057</v>
      </c>
      <c r="N1246">
        <v>303</v>
      </c>
      <c r="O1246" t="s">
        <v>26</v>
      </c>
      <c r="Q1246">
        <v>126.04</v>
      </c>
      <c r="R1246" t="str">
        <f>"FARMÁCIA INDIANA LJ 209 (10089)"</f>
        <v>FARMÁCIA INDIANA LJ 209 (10089)</v>
      </c>
      <c r="S1246" t="s">
        <v>27</v>
      </c>
      <c r="T1246">
        <v>4200</v>
      </c>
      <c r="U1246">
        <v>3553</v>
      </c>
      <c r="V1246" t="s">
        <v>22</v>
      </c>
    </row>
    <row r="1247" spans="1:22">
      <c r="A1247" t="str">
        <f t="shared" si="449"/>
        <v>04/02/2026</v>
      </c>
      <c r="B1247" t="str">
        <f t="shared" si="452"/>
        <v>ENTRADA</v>
      </c>
      <c r="C1247" t="str">
        <f t="shared" si="453"/>
        <v>NFSE</v>
      </c>
      <c r="D1247" t="str">
        <f t="shared" si="450"/>
        <v>160</v>
      </c>
      <c r="E1247" t="str">
        <f t="shared" si="454"/>
        <v>1</v>
      </c>
      <c r="F1247" t="str">
        <f t="shared" si="448"/>
        <v>COM</v>
      </c>
      <c r="G1247" t="str">
        <f t="shared" si="451"/>
        <v>FARMÁCIA INDIANA LJ 1 (10126)</v>
      </c>
      <c r="H1247" t="s">
        <v>325</v>
      </c>
      <c r="I1247" t="str">
        <f t="shared" si="455"/>
        <v>04/02/2026</v>
      </c>
      <c r="J1247" t="str">
        <f t="shared" si="456"/>
        <v>26/01/2026</v>
      </c>
      <c r="K1247">
        <v>46057</v>
      </c>
      <c r="N1247">
        <v>303</v>
      </c>
      <c r="O1247" t="s">
        <v>26</v>
      </c>
      <c r="Q1247">
        <v>224.22</v>
      </c>
      <c r="R1247" t="str">
        <f>"FARMÁCIA INDIANA LJ 219 (10091)"</f>
        <v>FARMÁCIA INDIANA LJ 219 (10091)</v>
      </c>
      <c r="S1247" t="s">
        <v>27</v>
      </c>
      <c r="T1247">
        <v>4200</v>
      </c>
      <c r="U1247">
        <v>3553</v>
      </c>
      <c r="V1247" t="s">
        <v>22</v>
      </c>
    </row>
    <row r="1248" spans="1:22">
      <c r="A1248" t="str">
        <f t="shared" si="449"/>
        <v>04/02/2026</v>
      </c>
      <c r="B1248" t="str">
        <f t="shared" si="452"/>
        <v>ENTRADA</v>
      </c>
      <c r="C1248" t="str">
        <f t="shared" si="453"/>
        <v>NFSE</v>
      </c>
      <c r="D1248" t="str">
        <f t="shared" si="450"/>
        <v>160</v>
      </c>
      <c r="E1248" t="str">
        <f t="shared" si="454"/>
        <v>1</v>
      </c>
      <c r="F1248" t="str">
        <f t="shared" si="448"/>
        <v>COM</v>
      </c>
      <c r="G1248" t="str">
        <f t="shared" si="451"/>
        <v>FARMÁCIA INDIANA LJ 1 (10126)</v>
      </c>
      <c r="H1248" t="s">
        <v>325</v>
      </c>
      <c r="I1248" t="str">
        <f t="shared" si="455"/>
        <v>04/02/2026</v>
      </c>
      <c r="J1248" t="str">
        <f t="shared" si="456"/>
        <v>26/01/2026</v>
      </c>
      <c r="K1248">
        <v>46057</v>
      </c>
      <c r="N1248">
        <v>303</v>
      </c>
      <c r="O1248" t="s">
        <v>26</v>
      </c>
      <c r="Q1248">
        <v>351.59</v>
      </c>
      <c r="R1248" t="str">
        <f>"FARMÁCIA INDIANA LJ 220 (10092)"</f>
        <v>FARMÁCIA INDIANA LJ 220 (10092)</v>
      </c>
      <c r="S1248" t="s">
        <v>27</v>
      </c>
      <c r="T1248">
        <v>4200</v>
      </c>
      <c r="U1248">
        <v>3553</v>
      </c>
      <c r="V1248" t="s">
        <v>22</v>
      </c>
    </row>
    <row r="1249" spans="1:22">
      <c r="A1249" t="str">
        <f t="shared" si="449"/>
        <v>04/02/2026</v>
      </c>
      <c r="B1249" t="str">
        <f t="shared" si="452"/>
        <v>ENTRADA</v>
      </c>
      <c r="C1249" t="str">
        <f t="shared" si="453"/>
        <v>NFSE</v>
      </c>
      <c r="D1249" t="str">
        <f t="shared" si="450"/>
        <v>160</v>
      </c>
      <c r="E1249" t="str">
        <f t="shared" si="454"/>
        <v>1</v>
      </c>
      <c r="F1249" t="str">
        <f t="shared" si="448"/>
        <v>COM</v>
      </c>
      <c r="G1249" t="str">
        <f t="shared" si="451"/>
        <v>FARMÁCIA INDIANA LJ 1 (10126)</v>
      </c>
      <c r="H1249" t="s">
        <v>325</v>
      </c>
      <c r="I1249" t="str">
        <f t="shared" si="455"/>
        <v>04/02/2026</v>
      </c>
      <c r="J1249" t="str">
        <f t="shared" si="456"/>
        <v>26/01/2026</v>
      </c>
      <c r="K1249">
        <v>46057</v>
      </c>
      <c r="N1249">
        <v>303</v>
      </c>
      <c r="O1249" t="s">
        <v>26</v>
      </c>
      <c r="Q1249">
        <v>114.1</v>
      </c>
      <c r="R1249" t="str">
        <f>"FARMÁCIA INDIANA LJ 185 (10141)"</f>
        <v>FARMÁCIA INDIANA LJ 185 (10141)</v>
      </c>
      <c r="S1249" t="s">
        <v>27</v>
      </c>
      <c r="T1249">
        <v>4200</v>
      </c>
      <c r="U1249">
        <v>3553</v>
      </c>
      <c r="V1249" t="s">
        <v>22</v>
      </c>
    </row>
    <row r="1250" spans="1:22">
      <c r="A1250" t="str">
        <f t="shared" si="449"/>
        <v>04/02/2026</v>
      </c>
      <c r="B1250" t="str">
        <f t="shared" si="452"/>
        <v>ENTRADA</v>
      </c>
      <c r="C1250" t="str">
        <f t="shared" si="453"/>
        <v>NFSE</v>
      </c>
      <c r="D1250" t="str">
        <f t="shared" si="450"/>
        <v>160</v>
      </c>
      <c r="E1250" t="str">
        <f t="shared" si="454"/>
        <v>1</v>
      </c>
      <c r="F1250" t="str">
        <f t="shared" si="448"/>
        <v>COM</v>
      </c>
      <c r="G1250" t="str">
        <f t="shared" si="451"/>
        <v>FARMÁCIA INDIANA LJ 1 (10126)</v>
      </c>
      <c r="H1250" t="s">
        <v>325</v>
      </c>
      <c r="I1250" t="str">
        <f t="shared" si="455"/>
        <v>04/02/2026</v>
      </c>
      <c r="J1250" t="str">
        <f t="shared" si="456"/>
        <v>26/01/2026</v>
      </c>
      <c r="K1250">
        <v>46057</v>
      </c>
      <c r="N1250">
        <v>303</v>
      </c>
      <c r="O1250" t="s">
        <v>26</v>
      </c>
      <c r="Q1250">
        <v>106.14</v>
      </c>
      <c r="R1250" t="str">
        <f>"FARMÁCIA INDIANA LJ 205 (10150)"</f>
        <v>FARMÁCIA INDIANA LJ 205 (10150)</v>
      </c>
      <c r="S1250" t="s">
        <v>27</v>
      </c>
      <c r="T1250">
        <v>4200</v>
      </c>
      <c r="U1250">
        <v>3553</v>
      </c>
      <c r="V1250" t="s">
        <v>22</v>
      </c>
    </row>
    <row r="1251" spans="1:22">
      <c r="A1251" t="str">
        <f t="shared" si="449"/>
        <v>04/02/2026</v>
      </c>
      <c r="B1251" t="str">
        <f t="shared" si="452"/>
        <v>ENTRADA</v>
      </c>
      <c r="C1251" t="str">
        <f t="shared" si="453"/>
        <v>NFSE</v>
      </c>
      <c r="D1251" t="str">
        <f t="shared" si="450"/>
        <v>160</v>
      </c>
      <c r="E1251" t="str">
        <f t="shared" si="454"/>
        <v>1</v>
      </c>
      <c r="F1251" t="str">
        <f t="shared" si="448"/>
        <v>COM</v>
      </c>
      <c r="G1251" t="str">
        <f t="shared" si="451"/>
        <v>FARMÁCIA INDIANA LJ 1 (10126)</v>
      </c>
      <c r="H1251" t="s">
        <v>325</v>
      </c>
      <c r="I1251" t="str">
        <f t="shared" si="455"/>
        <v>04/02/2026</v>
      </c>
      <c r="J1251" t="str">
        <f t="shared" si="456"/>
        <v>26/01/2026</v>
      </c>
      <c r="K1251">
        <v>46057</v>
      </c>
      <c r="N1251">
        <v>303</v>
      </c>
      <c r="O1251" t="s">
        <v>26</v>
      </c>
      <c r="Q1251">
        <v>537.33000000000004</v>
      </c>
      <c r="R1251" t="str">
        <f>"FARMÁCIA INDIANA LJ 172 (10161)"</f>
        <v>FARMÁCIA INDIANA LJ 172 (10161)</v>
      </c>
      <c r="S1251" t="s">
        <v>27</v>
      </c>
      <c r="T1251">
        <v>4200</v>
      </c>
      <c r="U1251">
        <v>3553</v>
      </c>
      <c r="V1251" t="s">
        <v>22</v>
      </c>
    </row>
    <row r="1252" spans="1:22">
      <c r="A1252" t="str">
        <f t="shared" si="449"/>
        <v>04/02/2026</v>
      </c>
      <c r="B1252" t="str">
        <f t="shared" si="452"/>
        <v>ENTRADA</v>
      </c>
      <c r="C1252" t="str">
        <f t="shared" si="453"/>
        <v>NFSE</v>
      </c>
      <c r="D1252" t="str">
        <f t="shared" si="450"/>
        <v>160</v>
      </c>
      <c r="E1252" t="str">
        <f t="shared" si="454"/>
        <v>1</v>
      </c>
      <c r="F1252" t="str">
        <f t="shared" si="448"/>
        <v>COM</v>
      </c>
      <c r="G1252" t="str">
        <f t="shared" si="451"/>
        <v>FARMÁCIA INDIANA LJ 1 (10126)</v>
      </c>
      <c r="H1252" t="s">
        <v>325</v>
      </c>
      <c r="I1252" t="str">
        <f t="shared" si="455"/>
        <v>04/02/2026</v>
      </c>
      <c r="J1252" t="str">
        <f t="shared" si="456"/>
        <v>26/01/2026</v>
      </c>
      <c r="K1252">
        <v>46057</v>
      </c>
      <c r="N1252">
        <v>303</v>
      </c>
      <c r="O1252" t="s">
        <v>26</v>
      </c>
      <c r="Q1252">
        <v>79.599999999999994</v>
      </c>
      <c r="R1252" t="str">
        <f>"FARMÁCIA INDIANA LJ 266 (10186)"</f>
        <v>FARMÁCIA INDIANA LJ 266 (10186)</v>
      </c>
      <c r="S1252" t="s">
        <v>27</v>
      </c>
      <c r="T1252">
        <v>4200</v>
      </c>
      <c r="U1252">
        <v>3553</v>
      </c>
      <c r="V1252" t="s">
        <v>22</v>
      </c>
    </row>
    <row r="1253" spans="1:22">
      <c r="A1253" t="str">
        <f t="shared" si="449"/>
        <v>04/02/2026</v>
      </c>
      <c r="B1253" t="str">
        <f t="shared" si="452"/>
        <v>ENTRADA</v>
      </c>
      <c r="C1253" t="str">
        <f t="shared" si="453"/>
        <v>NFSE</v>
      </c>
      <c r="D1253" t="str">
        <f t="shared" si="450"/>
        <v>160</v>
      </c>
      <c r="E1253" t="str">
        <f t="shared" si="454"/>
        <v>1</v>
      </c>
      <c r="F1253" t="str">
        <f t="shared" si="448"/>
        <v>COM</v>
      </c>
      <c r="G1253" t="str">
        <f t="shared" si="451"/>
        <v>FARMÁCIA INDIANA LJ 1 (10126)</v>
      </c>
      <c r="H1253" t="s">
        <v>325</v>
      </c>
      <c r="I1253" t="str">
        <f t="shared" si="455"/>
        <v>04/02/2026</v>
      </c>
      <c r="J1253" t="str">
        <f t="shared" si="456"/>
        <v>26/01/2026</v>
      </c>
      <c r="K1253">
        <v>46057</v>
      </c>
      <c r="N1253">
        <v>303</v>
      </c>
      <c r="O1253" t="s">
        <v>26</v>
      </c>
      <c r="Q1253">
        <v>2.65</v>
      </c>
      <c r="R1253" t="str">
        <f>"FARMÁCIA INDIANA LJ 257 (10267)"</f>
        <v>FARMÁCIA INDIANA LJ 257 (10267)</v>
      </c>
      <c r="S1253" t="s">
        <v>27</v>
      </c>
      <c r="T1253">
        <v>4200</v>
      </c>
      <c r="U1253">
        <v>3553</v>
      </c>
      <c r="V1253" t="s">
        <v>22</v>
      </c>
    </row>
    <row r="1254" spans="1:22">
      <c r="A1254" t="str">
        <f t="shared" si="449"/>
        <v>04/02/2026</v>
      </c>
      <c r="B1254" t="str">
        <f t="shared" si="452"/>
        <v>ENTRADA</v>
      </c>
      <c r="C1254" t="str">
        <f t="shared" si="453"/>
        <v>NFSE</v>
      </c>
      <c r="D1254" t="str">
        <f t="shared" si="450"/>
        <v>160</v>
      </c>
      <c r="E1254" t="str">
        <f t="shared" si="454"/>
        <v>1</v>
      </c>
      <c r="F1254" t="str">
        <f t="shared" si="448"/>
        <v>COM</v>
      </c>
      <c r="G1254" t="str">
        <f t="shared" si="451"/>
        <v>FARMÁCIA INDIANA LJ 1 (10126)</v>
      </c>
      <c r="H1254" t="s">
        <v>325</v>
      </c>
      <c r="I1254" t="str">
        <f t="shared" si="455"/>
        <v>04/02/2026</v>
      </c>
      <c r="J1254" t="str">
        <f t="shared" si="456"/>
        <v>26/01/2026</v>
      </c>
      <c r="K1254">
        <v>46057</v>
      </c>
      <c r="N1254">
        <v>303</v>
      </c>
      <c r="O1254" t="s">
        <v>26</v>
      </c>
      <c r="Q1254">
        <v>120.73</v>
      </c>
      <c r="R1254" t="str">
        <f>"FARMÁCIA INDIANA LJ 134 (10271)"</f>
        <v>FARMÁCIA INDIANA LJ 134 (10271)</v>
      </c>
      <c r="S1254" t="s">
        <v>27</v>
      </c>
      <c r="T1254">
        <v>4200</v>
      </c>
      <c r="U1254">
        <v>3553</v>
      </c>
      <c r="V1254" t="s">
        <v>22</v>
      </c>
    </row>
    <row r="1255" spans="1:22">
      <c r="A1255" t="str">
        <f t="shared" si="449"/>
        <v>04/02/2026</v>
      </c>
      <c r="B1255" t="str">
        <f t="shared" si="452"/>
        <v>ENTRADA</v>
      </c>
      <c r="C1255" t="str">
        <f t="shared" si="453"/>
        <v>NFSE</v>
      </c>
      <c r="D1255" t="str">
        <f t="shared" si="450"/>
        <v>160</v>
      </c>
      <c r="E1255" t="str">
        <f t="shared" si="454"/>
        <v>1</v>
      </c>
      <c r="F1255" t="str">
        <f t="shared" si="448"/>
        <v>COM</v>
      </c>
      <c r="G1255" t="str">
        <f t="shared" si="451"/>
        <v>FARMÁCIA INDIANA LJ 1 (10126)</v>
      </c>
      <c r="H1255" t="s">
        <v>325</v>
      </c>
      <c r="I1255" t="str">
        <f t="shared" si="455"/>
        <v>04/02/2026</v>
      </c>
      <c r="J1255" t="str">
        <f t="shared" si="456"/>
        <v>26/01/2026</v>
      </c>
      <c r="K1255">
        <v>46057</v>
      </c>
      <c r="N1255">
        <v>303</v>
      </c>
      <c r="O1255" t="s">
        <v>26</v>
      </c>
      <c r="Q1255">
        <v>137.97999999999999</v>
      </c>
      <c r="R1255" t="str">
        <f>"FARMÁCIA INDIANA LJ 284 (10280)"</f>
        <v>FARMÁCIA INDIANA LJ 284 (10280)</v>
      </c>
      <c r="S1255" t="s">
        <v>27</v>
      </c>
      <c r="T1255">
        <v>4200</v>
      </c>
      <c r="U1255">
        <v>3553</v>
      </c>
      <c r="V1255" t="s">
        <v>22</v>
      </c>
    </row>
    <row r="1256" spans="1:22">
      <c r="A1256" t="str">
        <f t="shared" ref="A1256:A1287" si="457">("05/02/2026")</f>
        <v>05/02/2026</v>
      </c>
      <c r="B1256" t="str">
        <f>"SAÍDA"</f>
        <v>SAÍDA</v>
      </c>
      <c r="C1256" t="str">
        <f>"BOLETO"</f>
        <v>BOLETO</v>
      </c>
      <c r="D1256" t="str">
        <f>"05022026"</f>
        <v>05022026</v>
      </c>
      <c r="E1256" t="str">
        <f>"19"</f>
        <v>19</v>
      </c>
      <c r="F1256" t="str">
        <f t="shared" si="448"/>
        <v>COM</v>
      </c>
      <c r="G1256" t="str">
        <f>"BANCO DO BRASIL (20001)"</f>
        <v>BANCO DO BRASIL (20001)</v>
      </c>
      <c r="H1256" t="str">
        <f>"EMPRESTIMO FUI TECNOLOGIA"</f>
        <v>EMPRESTIMO FUI TECNOLOGIA</v>
      </c>
      <c r="I1256" t="str">
        <f t="shared" ref="I1256:I1263" si="458">("05/02/2026")</f>
        <v>05/02/2026</v>
      </c>
      <c r="J1256" t="str">
        <f>("07/01/2026")</f>
        <v>07/01/2026</v>
      </c>
      <c r="K1256" t="str">
        <f>("05/02/2026")</f>
        <v>05/02/2026</v>
      </c>
      <c r="L1256">
        <v>508.77</v>
      </c>
      <c r="M1256">
        <v>508.77</v>
      </c>
      <c r="N1256">
        <v>114</v>
      </c>
      <c r="O1256" t="str">
        <f>"EMPRESTIMOS"</f>
        <v>EMPRESTIMOS</v>
      </c>
      <c r="P1256">
        <v>508.77</v>
      </c>
      <c r="S1256" t="str">
        <f>"BANCO CORA (102)"</f>
        <v>BANCO CORA (102)</v>
      </c>
      <c r="T1256">
        <v>4154</v>
      </c>
      <c r="U1256">
        <v>83</v>
      </c>
      <c r="V1256" t="s">
        <v>22</v>
      </c>
    </row>
    <row r="1257" spans="1:22">
      <c r="A1257" t="str">
        <f t="shared" si="457"/>
        <v>05/02/2026</v>
      </c>
      <c r="B1257" t="str">
        <f>"SAÍDA"</f>
        <v>SAÍDA</v>
      </c>
      <c r="C1257" t="str">
        <f>"BOLETO"</f>
        <v>BOLETO</v>
      </c>
      <c r="D1257" t="str">
        <f>"05022026"</f>
        <v>05022026</v>
      </c>
      <c r="E1257" t="str">
        <f>"19"</f>
        <v>19</v>
      </c>
      <c r="F1257" t="str">
        <f t="shared" si="448"/>
        <v>COM</v>
      </c>
      <c r="G1257" t="str">
        <f>"BANCO DO BRASIL (20001)"</f>
        <v>BANCO DO BRASIL (20001)</v>
      </c>
      <c r="H1257" t="s">
        <v>81</v>
      </c>
      <c r="I1257" t="str">
        <f t="shared" si="458"/>
        <v>05/02/2026</v>
      </c>
      <c r="J1257" t="str">
        <f>("07/01/2026")</f>
        <v>07/01/2026</v>
      </c>
      <c r="K1257">
        <v>46058</v>
      </c>
      <c r="N1257">
        <v>114</v>
      </c>
      <c r="O1257" t="s">
        <v>82</v>
      </c>
      <c r="Q1257">
        <v>508.77</v>
      </c>
      <c r="R1257" t="str">
        <f>"BANCO DO BRASIL (20001)"</f>
        <v>BANCO DO BRASIL (20001)</v>
      </c>
      <c r="S1257" t="s">
        <v>22</v>
      </c>
      <c r="T1257">
        <v>4154</v>
      </c>
      <c r="U1257">
        <v>83</v>
      </c>
      <c r="V1257" t="s">
        <v>22</v>
      </c>
    </row>
    <row r="1258" spans="1:22">
      <c r="A1258" t="str">
        <f t="shared" si="457"/>
        <v>05/02/2026</v>
      </c>
      <c r="B1258" t="str">
        <f>"SAÍDA"</f>
        <v>SAÍDA</v>
      </c>
      <c r="C1258" t="str">
        <f>"PIX"</f>
        <v>PIX</v>
      </c>
      <c r="D1258" t="str">
        <f>"05022026"</f>
        <v>05022026</v>
      </c>
      <c r="E1258" t="str">
        <f>""</f>
        <v/>
      </c>
      <c r="F1258" t="str">
        <f t="shared" si="448"/>
        <v>COM</v>
      </c>
      <c r="G1258" t="str">
        <f>"GUSTAVO CESAR DE REZENDE (20060)"</f>
        <v>GUSTAVO CESAR DE REZENDE (20060)</v>
      </c>
      <c r="H1258" t="str">
        <f>"BONUS DE PRODUTIVIDADE 01/26"</f>
        <v>BONUS DE PRODUTIVIDADE 01/26</v>
      </c>
      <c r="I1258" t="str">
        <f t="shared" si="458"/>
        <v>05/02/2026</v>
      </c>
      <c r="J1258" t="str">
        <f>("05/02/2026")</f>
        <v>05/02/2026</v>
      </c>
      <c r="K1258" t="str">
        <f>("05/02/2026")</f>
        <v>05/02/2026</v>
      </c>
      <c r="L1258">
        <v>4500</v>
      </c>
      <c r="M1258">
        <v>4500</v>
      </c>
      <c r="N1258">
        <v>126</v>
      </c>
      <c r="O1258" t="str">
        <f>"COMISSÕES DE REPRESENTANTES"</f>
        <v>COMISSÕES DE REPRESENTANTES</v>
      </c>
      <c r="P1258">
        <v>4500</v>
      </c>
      <c r="S1258" t="str">
        <f>"BANCO CORA (102)"</f>
        <v>BANCO CORA (102)</v>
      </c>
      <c r="T1258">
        <v>4155</v>
      </c>
      <c r="U1258">
        <v>3662</v>
      </c>
      <c r="V1258" t="s">
        <v>22</v>
      </c>
    </row>
    <row r="1259" spans="1:22">
      <c r="A1259" t="str">
        <f t="shared" si="457"/>
        <v>05/02/2026</v>
      </c>
      <c r="B1259" t="str">
        <f>"ENTRADA"</f>
        <v>ENTRADA</v>
      </c>
      <c r="C1259" t="str">
        <f>"NFSE"</f>
        <v>NFSE</v>
      </c>
      <c r="D1259" t="str">
        <f>"150"</f>
        <v>150</v>
      </c>
      <c r="E1259" t="str">
        <f>"1"</f>
        <v>1</v>
      </c>
      <c r="F1259" t="str">
        <f t="shared" si="448"/>
        <v>COM</v>
      </c>
      <c r="G1259" t="str">
        <f>"PAGUE MENOS 332 (10290)"</f>
        <v>PAGUE MENOS 332 (10290)</v>
      </c>
      <c r="H1259" t="str">
        <f>"Serv.Prest. 12/01/2026 a 18/01/2026 - RPS: 2076 - NFSe: 150"</f>
        <v>Serv.Prest. 12/01/2026 a 18/01/2026 - RPS: 2076 - NFSe: 150</v>
      </c>
      <c r="I1259" t="str">
        <f t="shared" si="458"/>
        <v>05/02/2026</v>
      </c>
      <c r="J1259" t="str">
        <f>("21/01/2026")</f>
        <v>21/01/2026</v>
      </c>
      <c r="K1259" t="str">
        <f>("05/02/2026")</f>
        <v>05/02/2026</v>
      </c>
      <c r="L1259">
        <v>82.65</v>
      </c>
      <c r="M1259">
        <v>82.65</v>
      </c>
      <c r="N1259">
        <v>303</v>
      </c>
      <c r="O1259" t="str">
        <f>"RECEITAS COM ENTREGAS"</f>
        <v>RECEITAS COM ENTREGAS</v>
      </c>
      <c r="P1259">
        <v>82.65</v>
      </c>
      <c r="S1259" t="str">
        <f>"RECEITAS COM ENTREGAS (303)"</f>
        <v>RECEITAS COM ENTREGAS (303)</v>
      </c>
      <c r="T1259">
        <v>4201</v>
      </c>
      <c r="U1259">
        <v>3541</v>
      </c>
      <c r="V1259" t="s">
        <v>22</v>
      </c>
    </row>
    <row r="1260" spans="1:22">
      <c r="A1260" t="str">
        <f t="shared" si="457"/>
        <v>05/02/2026</v>
      </c>
      <c r="B1260" t="str">
        <f>"ENTRADA"</f>
        <v>ENTRADA</v>
      </c>
      <c r="C1260" t="str">
        <f>"NFSE"</f>
        <v>NFSE</v>
      </c>
      <c r="D1260" t="str">
        <f>"150"</f>
        <v>150</v>
      </c>
      <c r="E1260" t="str">
        <f>"1"</f>
        <v>1</v>
      </c>
      <c r="F1260" t="str">
        <f t="shared" si="448"/>
        <v>COM</v>
      </c>
      <c r="G1260" t="str">
        <f>"PAGUE MENOS 332 (10290)"</f>
        <v>PAGUE MENOS 332 (10290)</v>
      </c>
      <c r="H1260" t="s">
        <v>326</v>
      </c>
      <c r="I1260" t="str">
        <f t="shared" si="458"/>
        <v>05/02/2026</v>
      </c>
      <c r="J1260" t="str">
        <f>("21/01/2026")</f>
        <v>21/01/2026</v>
      </c>
      <c r="K1260">
        <v>46058</v>
      </c>
      <c r="N1260">
        <v>303</v>
      </c>
      <c r="O1260" t="s">
        <v>26</v>
      </c>
      <c r="Q1260">
        <v>37.049999999999997</v>
      </c>
      <c r="R1260" t="str">
        <f>"PAGUE MENOS 288 (10289)"</f>
        <v>PAGUE MENOS 288 (10289)</v>
      </c>
      <c r="S1260" t="s">
        <v>27</v>
      </c>
      <c r="T1260">
        <v>4201</v>
      </c>
      <c r="U1260">
        <v>3541</v>
      </c>
      <c r="V1260" t="s">
        <v>22</v>
      </c>
    </row>
    <row r="1261" spans="1:22">
      <c r="A1261" t="str">
        <f t="shared" si="457"/>
        <v>05/02/2026</v>
      </c>
      <c r="B1261" t="str">
        <f>"ENTRADA"</f>
        <v>ENTRADA</v>
      </c>
      <c r="C1261" t="str">
        <f>"NFSE"</f>
        <v>NFSE</v>
      </c>
      <c r="D1261" t="str">
        <f>"150"</f>
        <v>150</v>
      </c>
      <c r="E1261" t="str">
        <f>"1"</f>
        <v>1</v>
      </c>
      <c r="F1261" t="str">
        <f t="shared" si="448"/>
        <v>COM</v>
      </c>
      <c r="G1261" t="str">
        <f>"PAGUE MENOS 332 (10290)"</f>
        <v>PAGUE MENOS 332 (10290)</v>
      </c>
      <c r="H1261" t="s">
        <v>326</v>
      </c>
      <c r="I1261" t="str">
        <f t="shared" si="458"/>
        <v>05/02/2026</v>
      </c>
      <c r="J1261" t="str">
        <f>("21/01/2026")</f>
        <v>21/01/2026</v>
      </c>
      <c r="K1261">
        <v>46058</v>
      </c>
      <c r="N1261">
        <v>303</v>
      </c>
      <c r="O1261" t="s">
        <v>26</v>
      </c>
      <c r="Q1261">
        <v>45.6</v>
      </c>
      <c r="R1261" t="str">
        <f>"PAGUE MENOS 332 (10290)"</f>
        <v>PAGUE MENOS 332 (10290)</v>
      </c>
      <c r="S1261" t="s">
        <v>27</v>
      </c>
      <c r="T1261">
        <v>4201</v>
      </c>
      <c r="U1261">
        <v>3541</v>
      </c>
      <c r="V1261" t="s">
        <v>22</v>
      </c>
    </row>
    <row r="1262" spans="1:22">
      <c r="A1262" t="str">
        <f t="shared" si="457"/>
        <v>05/02/2026</v>
      </c>
      <c r="B1262" t="str">
        <f>"SAÍDA"</f>
        <v>SAÍDA</v>
      </c>
      <c r="C1262" t="str">
        <f>"TRANSFERENCIA"</f>
        <v>TRANSFERENCIA</v>
      </c>
      <c r="D1262" t="str">
        <f>""</f>
        <v/>
      </c>
      <c r="F1262" t="str">
        <f>"TRF"</f>
        <v>TRF</v>
      </c>
      <c r="G1262" t="str">
        <f>""</f>
        <v/>
      </c>
      <c r="H1262" t="str">
        <f>"TRANSFERENCIA PARA COOPERATIVA REFORÇO DE CAIXA (102-&gt;120)"</f>
        <v>TRANSFERENCIA PARA COOPERATIVA REFORÇO DE CAIXA (102-&gt;120)</v>
      </c>
      <c r="I1262" t="str">
        <f t="shared" si="458"/>
        <v>05/02/2026</v>
      </c>
      <c r="J1262" t="str">
        <f>("05/02/2026")</f>
        <v>05/02/2026</v>
      </c>
      <c r="K1262" t="str">
        <f>("05/02/2026")</f>
        <v>05/02/2026</v>
      </c>
      <c r="N1262">
        <v>102</v>
      </c>
      <c r="O1262" t="str">
        <f>"BANCO CORA"</f>
        <v>BANCO CORA</v>
      </c>
      <c r="P1262">
        <v>5000</v>
      </c>
      <c r="S1262" t="str">
        <f>"BANCO CORA (102)"</f>
        <v>BANCO CORA (102)</v>
      </c>
      <c r="T1262">
        <v>4202</v>
      </c>
      <c r="U1262">
        <v>0</v>
      </c>
      <c r="V1262" t="s">
        <v>22</v>
      </c>
    </row>
    <row r="1263" spans="1:22">
      <c r="A1263" t="str">
        <f t="shared" si="457"/>
        <v>05/02/2026</v>
      </c>
      <c r="B1263" t="str">
        <f t="shared" ref="B1263:B1294" si="459">"ENTRADA"</f>
        <v>ENTRADA</v>
      </c>
      <c r="C1263" t="str">
        <f>"TRANSFERENCIA"</f>
        <v>TRANSFERENCIA</v>
      </c>
      <c r="D1263" t="str">
        <f>""</f>
        <v/>
      </c>
      <c r="F1263" t="str">
        <f>"TRF"</f>
        <v>TRF</v>
      </c>
      <c r="G1263" t="str">
        <f>""</f>
        <v/>
      </c>
      <c r="H1263" t="str">
        <f>"TRANSFERENCIA PARA COOPERATIVA REFORÇO DE CAIXA (102-&gt;120)"</f>
        <v>TRANSFERENCIA PARA COOPERATIVA REFORÇO DE CAIXA (102-&gt;120)</v>
      </c>
      <c r="I1263" t="str">
        <f t="shared" si="458"/>
        <v>05/02/2026</v>
      </c>
      <c r="J1263" t="str">
        <f>("05/02/2026")</f>
        <v>05/02/2026</v>
      </c>
      <c r="K1263" t="str">
        <f>("05/02/2026")</f>
        <v>05/02/2026</v>
      </c>
      <c r="N1263">
        <v>120</v>
      </c>
      <c r="O1263" t="str">
        <f>"CAIXA - COOPERATIVA"</f>
        <v>CAIXA - COOPERATIVA</v>
      </c>
      <c r="S1263" t="str">
        <f>"CAIXA - COOPERATIVA (120)"</f>
        <v>CAIXA - COOPERATIVA (120)</v>
      </c>
      <c r="T1263">
        <v>4202</v>
      </c>
      <c r="U1263">
        <v>0</v>
      </c>
      <c r="V1263" t="s">
        <v>56</v>
      </c>
    </row>
    <row r="1264" spans="1:22">
      <c r="A1264" t="str">
        <f t="shared" si="457"/>
        <v>05/02/2026</v>
      </c>
      <c r="B1264" t="str">
        <f t="shared" si="459"/>
        <v>ENTRADA</v>
      </c>
      <c r="C1264" t="str">
        <f t="shared" ref="C1264:C1295" si="460">"NFSE"</f>
        <v>NFSE</v>
      </c>
      <c r="D1264" t="str">
        <f>"187"</f>
        <v>187</v>
      </c>
      <c r="E1264" t="str">
        <f t="shared" ref="E1264:E1295" si="461">"1"</f>
        <v>1</v>
      </c>
      <c r="F1264" t="str">
        <f t="shared" ref="F1264:F1295" si="462">"COM"</f>
        <v>COM</v>
      </c>
      <c r="G1264" t="str">
        <f>"AC FARMA - CID.ALTA (10166)"</f>
        <v>AC FARMA - CID.ALTA (10166)</v>
      </c>
      <c r="H1264" t="str">
        <f>"Serv.Prest. 19/01/2026 a 25/01/2026 - RPS: 2112 - NFSe: 187"</f>
        <v>Serv.Prest. 19/01/2026 a 25/01/2026 - RPS: 2112 - NFSe: 187</v>
      </c>
      <c r="I1264" t="str">
        <f t="shared" ref="I1264:I1295" si="463">("04/02/2026")</f>
        <v>04/02/2026</v>
      </c>
      <c r="J1264" t="str">
        <f t="shared" ref="J1264:J1271" si="464">("26/01/2026")</f>
        <v>26/01/2026</v>
      </c>
      <c r="K1264" t="str">
        <f>("05/02/2026")</f>
        <v>05/02/2026</v>
      </c>
      <c r="L1264">
        <v>859.9</v>
      </c>
      <c r="M1264">
        <v>859.9</v>
      </c>
      <c r="N1264">
        <v>303</v>
      </c>
      <c r="O1264" t="str">
        <f>"RECEITAS COM ENTREGAS"</f>
        <v>RECEITAS COM ENTREGAS</v>
      </c>
      <c r="P1264">
        <v>859.9</v>
      </c>
      <c r="S1264" t="str">
        <f>"RECEITAS COM ENTREGAS (303)"</f>
        <v>RECEITAS COM ENTREGAS (303)</v>
      </c>
      <c r="T1264">
        <v>4241</v>
      </c>
      <c r="U1264">
        <v>3579</v>
      </c>
      <c r="V1264" t="s">
        <v>88</v>
      </c>
    </row>
    <row r="1265" spans="1:22">
      <c r="A1265" t="str">
        <f t="shared" si="457"/>
        <v>05/02/2026</v>
      </c>
      <c r="B1265" t="str">
        <f t="shared" si="459"/>
        <v>ENTRADA</v>
      </c>
      <c r="C1265" t="str">
        <f t="shared" si="460"/>
        <v>NFSE</v>
      </c>
      <c r="D1265" t="str">
        <f>"187"</f>
        <v>187</v>
      </c>
      <c r="E1265" t="str">
        <f t="shared" si="461"/>
        <v>1</v>
      </c>
      <c r="F1265" t="str">
        <f t="shared" si="462"/>
        <v>COM</v>
      </c>
      <c r="G1265" t="str">
        <f>"AC FARMA - CID.ALTA (10166)"</f>
        <v>AC FARMA - CID.ALTA (10166)</v>
      </c>
      <c r="H1265" t="s">
        <v>327</v>
      </c>
      <c r="I1265" t="str">
        <f t="shared" si="463"/>
        <v>04/02/2026</v>
      </c>
      <c r="J1265" t="str">
        <f t="shared" si="464"/>
        <v>26/01/2026</v>
      </c>
      <c r="K1265">
        <v>46058</v>
      </c>
      <c r="N1265">
        <v>303</v>
      </c>
      <c r="O1265" t="s">
        <v>26</v>
      </c>
      <c r="Q1265">
        <v>859.9</v>
      </c>
      <c r="R1265" t="str">
        <f>"AC FARMA - CID.ALTA (10166)"</f>
        <v>AC FARMA - CID.ALTA (10166)</v>
      </c>
      <c r="S1265" t="s">
        <v>27</v>
      </c>
      <c r="T1265">
        <v>4241</v>
      </c>
      <c r="U1265">
        <v>3579</v>
      </c>
      <c r="V1265" t="s">
        <v>88</v>
      </c>
    </row>
    <row r="1266" spans="1:22">
      <c r="A1266" t="str">
        <f t="shared" si="457"/>
        <v>05/02/2026</v>
      </c>
      <c r="B1266" t="str">
        <f t="shared" si="459"/>
        <v>ENTRADA</v>
      </c>
      <c r="C1266" t="str">
        <f t="shared" si="460"/>
        <v>NFSE</v>
      </c>
      <c r="D1266" t="str">
        <f>"188"</f>
        <v>188</v>
      </c>
      <c r="E1266" t="str">
        <f t="shared" si="461"/>
        <v>1</v>
      </c>
      <c r="F1266" t="str">
        <f t="shared" si="462"/>
        <v>COM</v>
      </c>
      <c r="G1266" t="str">
        <f>"AC FARMA - FLEMINFARMA (10160)"</f>
        <v>AC FARMA - FLEMINFARMA (10160)</v>
      </c>
      <c r="H1266" t="str">
        <f>"Serv.Prest. 19/01/2026 a 25/01/2026 - RPS: 2113 - NFSe: 188"</f>
        <v>Serv.Prest. 19/01/2026 a 25/01/2026 - RPS: 2113 - NFSe: 188</v>
      </c>
      <c r="I1266" t="str">
        <f t="shared" si="463"/>
        <v>04/02/2026</v>
      </c>
      <c r="J1266" t="str">
        <f t="shared" si="464"/>
        <v>26/01/2026</v>
      </c>
      <c r="K1266" t="str">
        <f>("05/02/2026")</f>
        <v>05/02/2026</v>
      </c>
      <c r="L1266">
        <v>212.44</v>
      </c>
      <c r="M1266">
        <v>212.44</v>
      </c>
      <c r="N1266">
        <v>303</v>
      </c>
      <c r="O1266" t="str">
        <f>"RECEITAS COM ENTREGAS"</f>
        <v>RECEITAS COM ENTREGAS</v>
      </c>
      <c r="P1266">
        <v>212.44</v>
      </c>
      <c r="S1266" t="str">
        <f>"RECEITAS COM ENTREGAS (303)"</f>
        <v>RECEITAS COM ENTREGAS (303)</v>
      </c>
      <c r="T1266">
        <v>4242</v>
      </c>
      <c r="U1266">
        <v>3580</v>
      </c>
      <c r="V1266" t="s">
        <v>88</v>
      </c>
    </row>
    <row r="1267" spans="1:22">
      <c r="A1267" t="str">
        <f t="shared" si="457"/>
        <v>05/02/2026</v>
      </c>
      <c r="B1267" t="str">
        <f t="shared" si="459"/>
        <v>ENTRADA</v>
      </c>
      <c r="C1267" t="str">
        <f t="shared" si="460"/>
        <v>NFSE</v>
      </c>
      <c r="D1267" t="str">
        <f>"188"</f>
        <v>188</v>
      </c>
      <c r="E1267" t="str">
        <f t="shared" si="461"/>
        <v>1</v>
      </c>
      <c r="F1267" t="str">
        <f t="shared" si="462"/>
        <v>COM</v>
      </c>
      <c r="G1267" t="str">
        <f>"AC FARMA - FLEMINFARMA (10160)"</f>
        <v>AC FARMA - FLEMINFARMA (10160)</v>
      </c>
      <c r="H1267" t="s">
        <v>328</v>
      </c>
      <c r="I1267" t="str">
        <f t="shared" si="463"/>
        <v>04/02/2026</v>
      </c>
      <c r="J1267" t="str">
        <f t="shared" si="464"/>
        <v>26/01/2026</v>
      </c>
      <c r="K1267">
        <v>46058</v>
      </c>
      <c r="N1267">
        <v>303</v>
      </c>
      <c r="O1267" t="s">
        <v>26</v>
      </c>
      <c r="Q1267">
        <v>205.15</v>
      </c>
      <c r="R1267" t="str">
        <f>"AC FARMA -  FLEMINFARMA (10159)"</f>
        <v>AC FARMA -  FLEMINFARMA (10159)</v>
      </c>
      <c r="S1267" t="s">
        <v>27</v>
      </c>
      <c r="T1267">
        <v>4242</v>
      </c>
      <c r="U1267">
        <v>3580</v>
      </c>
      <c r="V1267" t="s">
        <v>88</v>
      </c>
    </row>
    <row r="1268" spans="1:22">
      <c r="A1268" t="str">
        <f t="shared" si="457"/>
        <v>05/02/2026</v>
      </c>
      <c r="B1268" t="str">
        <f t="shared" si="459"/>
        <v>ENTRADA</v>
      </c>
      <c r="C1268" t="str">
        <f t="shared" si="460"/>
        <v>NFSE</v>
      </c>
      <c r="D1268" t="str">
        <f>"188"</f>
        <v>188</v>
      </c>
      <c r="E1268" t="str">
        <f t="shared" si="461"/>
        <v>1</v>
      </c>
      <c r="F1268" t="str">
        <f t="shared" si="462"/>
        <v>COM</v>
      </c>
      <c r="G1268" t="str">
        <f>"AC FARMA - FLEMINFARMA (10160)"</f>
        <v>AC FARMA - FLEMINFARMA (10160)</v>
      </c>
      <c r="H1268" t="s">
        <v>328</v>
      </c>
      <c r="I1268" t="str">
        <f t="shared" si="463"/>
        <v>04/02/2026</v>
      </c>
      <c r="J1268" t="str">
        <f t="shared" si="464"/>
        <v>26/01/2026</v>
      </c>
      <c r="K1268">
        <v>46058</v>
      </c>
      <c r="N1268">
        <v>303</v>
      </c>
      <c r="O1268" t="s">
        <v>26</v>
      </c>
      <c r="Q1268">
        <v>7.29</v>
      </c>
      <c r="R1268" t="str">
        <f>"AC FARMA - FLEMINFARMA (10160)"</f>
        <v>AC FARMA - FLEMINFARMA (10160)</v>
      </c>
      <c r="S1268" t="s">
        <v>27</v>
      </c>
      <c r="T1268">
        <v>4242</v>
      </c>
      <c r="U1268">
        <v>3580</v>
      </c>
      <c r="V1268" t="s">
        <v>88</v>
      </c>
    </row>
    <row r="1269" spans="1:22">
      <c r="A1269" t="str">
        <f t="shared" si="457"/>
        <v>05/02/2026</v>
      </c>
      <c r="B1269" t="str">
        <f t="shared" si="459"/>
        <v>ENTRADA</v>
      </c>
      <c r="C1269" t="str">
        <f t="shared" si="460"/>
        <v>NFSE</v>
      </c>
      <c r="D1269" t="str">
        <f>"190"</f>
        <v>190</v>
      </c>
      <c r="E1269" t="str">
        <f t="shared" si="461"/>
        <v>1</v>
      </c>
      <c r="F1269" t="str">
        <f t="shared" si="462"/>
        <v>COM</v>
      </c>
      <c r="G1269" t="str">
        <f>"AC FARMA - FLEMINFARMA 5 (10183)"</f>
        <v>AC FARMA - FLEMINFARMA 5 (10183)</v>
      </c>
      <c r="H1269" t="str">
        <f>"Serv.Prest. 19/01/2026 a 25/01/2026 - RPS: 2115 - NFSe: 190"</f>
        <v>Serv.Prest. 19/01/2026 a 25/01/2026 - RPS: 2115 - NFSe: 190</v>
      </c>
      <c r="I1269" t="str">
        <f t="shared" si="463"/>
        <v>04/02/2026</v>
      </c>
      <c r="J1269" t="str">
        <f t="shared" si="464"/>
        <v>26/01/2026</v>
      </c>
      <c r="K1269" t="str">
        <f>("05/02/2026")</f>
        <v>05/02/2026</v>
      </c>
      <c r="L1269">
        <v>107.68</v>
      </c>
      <c r="M1269">
        <v>107.68</v>
      </c>
      <c r="N1269">
        <v>303</v>
      </c>
      <c r="O1269" t="str">
        <f>"RECEITAS COM ENTREGAS"</f>
        <v>RECEITAS COM ENTREGAS</v>
      </c>
      <c r="P1269">
        <v>107.68</v>
      </c>
      <c r="S1269" t="str">
        <f>"RECEITAS COM ENTREGAS (303)"</f>
        <v>RECEITAS COM ENTREGAS (303)</v>
      </c>
      <c r="T1269">
        <v>4243</v>
      </c>
      <c r="U1269">
        <v>3582</v>
      </c>
      <c r="V1269" t="s">
        <v>88</v>
      </c>
    </row>
    <row r="1270" spans="1:22">
      <c r="A1270" t="str">
        <f t="shared" si="457"/>
        <v>05/02/2026</v>
      </c>
      <c r="B1270" t="str">
        <f t="shared" si="459"/>
        <v>ENTRADA</v>
      </c>
      <c r="C1270" t="str">
        <f t="shared" si="460"/>
        <v>NFSE</v>
      </c>
      <c r="D1270" t="str">
        <f>"190"</f>
        <v>190</v>
      </c>
      <c r="E1270" t="str">
        <f t="shared" si="461"/>
        <v>1</v>
      </c>
      <c r="F1270" t="str">
        <f t="shared" si="462"/>
        <v>COM</v>
      </c>
      <c r="G1270" t="str">
        <f>"AC FARMA - FLEMINFARMA 5 (10183)"</f>
        <v>AC FARMA - FLEMINFARMA 5 (10183)</v>
      </c>
      <c r="H1270" t="s">
        <v>329</v>
      </c>
      <c r="I1270" t="str">
        <f t="shared" si="463"/>
        <v>04/02/2026</v>
      </c>
      <c r="J1270" t="str">
        <f t="shared" si="464"/>
        <v>26/01/2026</v>
      </c>
      <c r="K1270">
        <v>46058</v>
      </c>
      <c r="N1270">
        <v>303</v>
      </c>
      <c r="O1270" t="s">
        <v>26</v>
      </c>
      <c r="Q1270">
        <v>103.31</v>
      </c>
      <c r="R1270" t="str">
        <f>"AC FARMA - FLEMINFARMA 5 (10183)"</f>
        <v>AC FARMA - FLEMINFARMA 5 (10183)</v>
      </c>
      <c r="S1270" t="s">
        <v>27</v>
      </c>
      <c r="T1270">
        <v>4243</v>
      </c>
      <c r="U1270">
        <v>3582</v>
      </c>
      <c r="V1270" t="s">
        <v>88</v>
      </c>
    </row>
    <row r="1271" spans="1:22">
      <c r="A1271" t="str">
        <f t="shared" si="457"/>
        <v>05/02/2026</v>
      </c>
      <c r="B1271" t="str">
        <f t="shared" si="459"/>
        <v>ENTRADA</v>
      </c>
      <c r="C1271" t="str">
        <f t="shared" si="460"/>
        <v>NFSE</v>
      </c>
      <c r="D1271" t="str">
        <f>"190"</f>
        <v>190</v>
      </c>
      <c r="E1271" t="str">
        <f t="shared" si="461"/>
        <v>1</v>
      </c>
      <c r="F1271" t="str">
        <f t="shared" si="462"/>
        <v>COM</v>
      </c>
      <c r="G1271" t="str">
        <f>"AC FARMA - FLEMINFARMA 5 (10183)"</f>
        <v>AC FARMA - FLEMINFARMA 5 (10183)</v>
      </c>
      <c r="H1271" t="s">
        <v>329</v>
      </c>
      <c r="I1271" t="str">
        <f t="shared" si="463"/>
        <v>04/02/2026</v>
      </c>
      <c r="J1271" t="str">
        <f t="shared" si="464"/>
        <v>26/01/2026</v>
      </c>
      <c r="K1271">
        <v>46058</v>
      </c>
      <c r="N1271">
        <v>303</v>
      </c>
      <c r="O1271" t="s">
        <v>26</v>
      </c>
      <c r="Q1271">
        <v>4.37</v>
      </c>
      <c r="R1271" t="str">
        <f>"AC FARMA - FLEMINFARMA 6 (10184)"</f>
        <v>AC FARMA - FLEMINFARMA 6 (10184)</v>
      </c>
      <c r="S1271" t="s">
        <v>27</v>
      </c>
      <c r="T1271">
        <v>4243</v>
      </c>
      <c r="U1271">
        <v>3582</v>
      </c>
      <c r="V1271" t="s">
        <v>88</v>
      </c>
    </row>
    <row r="1272" spans="1:22">
      <c r="A1272" t="str">
        <f t="shared" si="457"/>
        <v>05/02/2026</v>
      </c>
      <c r="B1272" t="str">
        <f t="shared" si="459"/>
        <v>ENTRADA</v>
      </c>
      <c r="C1272" t="str">
        <f t="shared" si="460"/>
        <v>NFSE</v>
      </c>
      <c r="D1272" t="str">
        <f>"206"</f>
        <v>206</v>
      </c>
      <c r="E1272" t="str">
        <f t="shared" si="461"/>
        <v>1</v>
      </c>
      <c r="F1272" t="str">
        <f t="shared" si="462"/>
        <v>COM</v>
      </c>
      <c r="G1272" t="str">
        <f>"DROGARIA NIQUINHO (10257)"</f>
        <v>DROGARIA NIQUINHO (10257)</v>
      </c>
      <c r="H1272" t="str">
        <f>"Serv.Prest. 26/01/2026 a 01/02/2026 - RPS: 2130 - NFSe: 206"</f>
        <v>Serv.Prest. 26/01/2026 a 01/02/2026 - RPS: 2130 - NFSe: 206</v>
      </c>
      <c r="I1272" t="str">
        <f t="shared" si="463"/>
        <v>04/02/2026</v>
      </c>
      <c r="J1272" t="str">
        <f t="shared" ref="J1272:J1303" si="465">("02/02/2026")</f>
        <v>02/02/2026</v>
      </c>
      <c r="K1272" t="str">
        <f>("05/02/2026")</f>
        <v>05/02/2026</v>
      </c>
      <c r="L1272">
        <v>298.12</v>
      </c>
      <c r="M1272">
        <v>298.12</v>
      </c>
      <c r="N1272">
        <v>303</v>
      </c>
      <c r="O1272" t="str">
        <f>"RECEITAS COM ENTREGAS"</f>
        <v>RECEITAS COM ENTREGAS</v>
      </c>
      <c r="P1272">
        <v>298.12</v>
      </c>
      <c r="S1272" t="str">
        <f>"RECEITAS COM ENTREGAS (303)"</f>
        <v>RECEITAS COM ENTREGAS (303)</v>
      </c>
      <c r="T1272">
        <v>4244</v>
      </c>
      <c r="U1272">
        <v>3610</v>
      </c>
      <c r="V1272" t="s">
        <v>88</v>
      </c>
    </row>
    <row r="1273" spans="1:22">
      <c r="A1273" t="str">
        <f t="shared" si="457"/>
        <v>05/02/2026</v>
      </c>
      <c r="B1273" t="str">
        <f t="shared" si="459"/>
        <v>ENTRADA</v>
      </c>
      <c r="C1273" t="str">
        <f t="shared" si="460"/>
        <v>NFSE</v>
      </c>
      <c r="D1273" t="str">
        <f>"206"</f>
        <v>206</v>
      </c>
      <c r="E1273" t="str">
        <f t="shared" si="461"/>
        <v>1</v>
      </c>
      <c r="F1273" t="str">
        <f t="shared" si="462"/>
        <v>COM</v>
      </c>
      <c r="G1273" t="str">
        <f>"DROGARIA NIQUINHO (10257)"</f>
        <v>DROGARIA NIQUINHO (10257)</v>
      </c>
      <c r="H1273" t="s">
        <v>330</v>
      </c>
      <c r="I1273" t="str">
        <f t="shared" si="463"/>
        <v>04/02/2026</v>
      </c>
      <c r="J1273" t="str">
        <f t="shared" si="465"/>
        <v>02/02/2026</v>
      </c>
      <c r="K1273">
        <v>46058</v>
      </c>
      <c r="N1273">
        <v>303</v>
      </c>
      <c r="O1273" t="s">
        <v>26</v>
      </c>
      <c r="Q1273">
        <v>298.12</v>
      </c>
      <c r="R1273" t="str">
        <f>"DROGARIA NIQUINHO (10257)"</f>
        <v>DROGARIA NIQUINHO (10257)</v>
      </c>
      <c r="S1273" t="s">
        <v>27</v>
      </c>
      <c r="T1273">
        <v>4244</v>
      </c>
      <c r="U1273">
        <v>3610</v>
      </c>
      <c r="V1273" t="s">
        <v>88</v>
      </c>
    </row>
    <row r="1274" spans="1:22">
      <c r="A1274" t="str">
        <f t="shared" si="457"/>
        <v>05/02/2026</v>
      </c>
      <c r="B1274" t="str">
        <f t="shared" si="459"/>
        <v>ENTRADA</v>
      </c>
      <c r="C1274" t="str">
        <f t="shared" si="460"/>
        <v>NFSE</v>
      </c>
      <c r="D1274" t="str">
        <f>"208"</f>
        <v>208</v>
      </c>
      <c r="E1274" t="str">
        <f t="shared" si="461"/>
        <v>1</v>
      </c>
      <c r="F1274" t="str">
        <f t="shared" si="462"/>
        <v>COM</v>
      </c>
      <c r="G1274" t="str">
        <f>"FRAN FARMA (10124)"</f>
        <v>FRAN FARMA (10124)</v>
      </c>
      <c r="H1274" t="str">
        <f>"Serv.Prest. 26/01/2026 a 01/02/2026 - RPS: 2132 - NFSe: 208"</f>
        <v>Serv.Prest. 26/01/2026 a 01/02/2026 - RPS: 2132 - NFSe: 208</v>
      </c>
      <c r="I1274" t="str">
        <f t="shared" si="463"/>
        <v>04/02/2026</v>
      </c>
      <c r="J1274" t="str">
        <f t="shared" si="465"/>
        <v>02/02/2026</v>
      </c>
      <c r="K1274" t="str">
        <f>("05/02/2026")</f>
        <v>05/02/2026</v>
      </c>
      <c r="L1274">
        <v>160</v>
      </c>
      <c r="M1274">
        <v>160</v>
      </c>
      <c r="N1274">
        <v>303</v>
      </c>
      <c r="O1274" t="str">
        <f>"RECEITAS COM ENTREGAS"</f>
        <v>RECEITAS COM ENTREGAS</v>
      </c>
      <c r="P1274">
        <v>160</v>
      </c>
      <c r="S1274" t="str">
        <f>"RECEITAS COM ENTREGAS (303)"</f>
        <v>RECEITAS COM ENTREGAS (303)</v>
      </c>
      <c r="T1274">
        <v>4245</v>
      </c>
      <c r="U1274">
        <v>3612</v>
      </c>
      <c r="V1274" t="s">
        <v>88</v>
      </c>
    </row>
    <row r="1275" spans="1:22">
      <c r="A1275" t="str">
        <f t="shared" si="457"/>
        <v>05/02/2026</v>
      </c>
      <c r="B1275" t="str">
        <f t="shared" si="459"/>
        <v>ENTRADA</v>
      </c>
      <c r="C1275" t="str">
        <f t="shared" si="460"/>
        <v>NFSE</v>
      </c>
      <c r="D1275" t="str">
        <f>"208"</f>
        <v>208</v>
      </c>
      <c r="E1275" t="str">
        <f t="shared" si="461"/>
        <v>1</v>
      </c>
      <c r="F1275" t="str">
        <f t="shared" si="462"/>
        <v>COM</v>
      </c>
      <c r="G1275" t="str">
        <f>"FRAN FARMA (10124)"</f>
        <v>FRAN FARMA (10124)</v>
      </c>
      <c r="H1275" t="s">
        <v>331</v>
      </c>
      <c r="I1275" t="str">
        <f t="shared" si="463"/>
        <v>04/02/2026</v>
      </c>
      <c r="J1275" t="str">
        <f t="shared" si="465"/>
        <v>02/02/2026</v>
      </c>
      <c r="K1275">
        <v>46058</v>
      </c>
      <c r="N1275">
        <v>303</v>
      </c>
      <c r="O1275" t="s">
        <v>26</v>
      </c>
      <c r="Q1275">
        <v>160</v>
      </c>
      <c r="R1275" t="str">
        <f>"FRAN FARMA LJ 2 (10131)"</f>
        <v>FRAN FARMA LJ 2 (10131)</v>
      </c>
      <c r="S1275" t="s">
        <v>27</v>
      </c>
      <c r="T1275">
        <v>4245</v>
      </c>
      <c r="U1275">
        <v>3612</v>
      </c>
      <c r="V1275" t="s">
        <v>88</v>
      </c>
    </row>
    <row r="1276" spans="1:22">
      <c r="A1276" t="str">
        <f t="shared" si="457"/>
        <v>05/02/2026</v>
      </c>
      <c r="B1276" t="str">
        <f t="shared" si="459"/>
        <v>ENTRADA</v>
      </c>
      <c r="C1276" t="str">
        <f t="shared" si="460"/>
        <v>NFSE</v>
      </c>
      <c r="D1276" t="str">
        <f>"209"</f>
        <v>209</v>
      </c>
      <c r="E1276" t="str">
        <f t="shared" si="461"/>
        <v>1</v>
      </c>
      <c r="F1276" t="str">
        <f t="shared" si="462"/>
        <v>COM</v>
      </c>
      <c r="G1276" t="str">
        <f>"DROGARIA BEM ESTAR (10193)"</f>
        <v>DROGARIA BEM ESTAR (10193)</v>
      </c>
      <c r="H1276" t="str">
        <f>"Serv.Prest. 26/01/2026 a 01/02/2026 - RPS: 2133 - NFSe: 209"</f>
        <v>Serv.Prest. 26/01/2026 a 01/02/2026 - RPS: 2133 - NFSe: 209</v>
      </c>
      <c r="I1276" t="str">
        <f t="shared" si="463"/>
        <v>04/02/2026</v>
      </c>
      <c r="J1276" t="str">
        <f t="shared" si="465"/>
        <v>02/02/2026</v>
      </c>
      <c r="K1276" t="str">
        <f>("05/02/2026")</f>
        <v>05/02/2026</v>
      </c>
      <c r="L1276">
        <v>251.18</v>
      </c>
      <c r="M1276">
        <v>251.18</v>
      </c>
      <c r="N1276">
        <v>303</v>
      </c>
      <c r="O1276" t="str">
        <f>"RECEITAS COM ENTREGAS"</f>
        <v>RECEITAS COM ENTREGAS</v>
      </c>
      <c r="P1276">
        <v>251.18</v>
      </c>
      <c r="S1276" t="str">
        <f>"RECEITAS COM ENTREGAS (303)"</f>
        <v>RECEITAS COM ENTREGAS (303)</v>
      </c>
      <c r="T1276">
        <v>4246</v>
      </c>
      <c r="U1276">
        <v>3613</v>
      </c>
      <c r="V1276" t="s">
        <v>88</v>
      </c>
    </row>
    <row r="1277" spans="1:22">
      <c r="A1277" t="str">
        <f t="shared" si="457"/>
        <v>05/02/2026</v>
      </c>
      <c r="B1277" t="str">
        <f t="shared" si="459"/>
        <v>ENTRADA</v>
      </c>
      <c r="C1277" t="str">
        <f t="shared" si="460"/>
        <v>NFSE</v>
      </c>
      <c r="D1277" t="str">
        <f>"209"</f>
        <v>209</v>
      </c>
      <c r="E1277" t="str">
        <f t="shared" si="461"/>
        <v>1</v>
      </c>
      <c r="F1277" t="str">
        <f t="shared" si="462"/>
        <v>COM</v>
      </c>
      <c r="G1277" t="str">
        <f>"DROGARIA BEM ESTAR (10193)"</f>
        <v>DROGARIA BEM ESTAR (10193)</v>
      </c>
      <c r="H1277" t="s">
        <v>332</v>
      </c>
      <c r="I1277" t="str">
        <f t="shared" si="463"/>
        <v>04/02/2026</v>
      </c>
      <c r="J1277" t="str">
        <f t="shared" si="465"/>
        <v>02/02/2026</v>
      </c>
      <c r="K1277">
        <v>46058</v>
      </c>
      <c r="N1277">
        <v>303</v>
      </c>
      <c r="O1277" t="s">
        <v>26</v>
      </c>
      <c r="Q1277">
        <v>251.18</v>
      </c>
      <c r="R1277" t="str">
        <f>"DROGARIA BEM ESTAR (10193)"</f>
        <v>DROGARIA BEM ESTAR (10193)</v>
      </c>
      <c r="S1277" t="s">
        <v>27</v>
      </c>
      <c r="T1277">
        <v>4246</v>
      </c>
      <c r="U1277">
        <v>3613</v>
      </c>
      <c r="V1277" t="s">
        <v>88</v>
      </c>
    </row>
    <row r="1278" spans="1:22">
      <c r="A1278" t="str">
        <f t="shared" si="457"/>
        <v>05/02/2026</v>
      </c>
      <c r="B1278" t="str">
        <f t="shared" si="459"/>
        <v>ENTRADA</v>
      </c>
      <c r="C1278" t="str">
        <f t="shared" si="460"/>
        <v>NFSE</v>
      </c>
      <c r="D1278" t="str">
        <f>"219"</f>
        <v>219</v>
      </c>
      <c r="E1278" t="str">
        <f t="shared" si="461"/>
        <v>1</v>
      </c>
      <c r="F1278" t="str">
        <f t="shared" si="462"/>
        <v>COM</v>
      </c>
      <c r="G1278" t="str">
        <f>"DROGARIA ISABELLA (10276)"</f>
        <v>DROGARIA ISABELLA (10276)</v>
      </c>
      <c r="H1278" t="str">
        <f>"Serv.Prest. 26/01/2026 a 01/02/2026 - RPS: 2143 - NFSe: 219"</f>
        <v>Serv.Prest. 26/01/2026 a 01/02/2026 - RPS: 2143 - NFSe: 219</v>
      </c>
      <c r="I1278" t="str">
        <f t="shared" si="463"/>
        <v>04/02/2026</v>
      </c>
      <c r="J1278" t="str">
        <f t="shared" si="465"/>
        <v>02/02/2026</v>
      </c>
      <c r="K1278" t="str">
        <f>("05/02/2026")</f>
        <v>05/02/2026</v>
      </c>
      <c r="L1278">
        <v>315</v>
      </c>
      <c r="M1278">
        <v>315</v>
      </c>
      <c r="N1278">
        <v>303</v>
      </c>
      <c r="O1278" t="str">
        <f>"RECEITAS COM ENTREGAS"</f>
        <v>RECEITAS COM ENTREGAS</v>
      </c>
      <c r="P1278">
        <v>315</v>
      </c>
      <c r="S1278" t="str">
        <f>"RECEITAS COM ENTREGAS (303)"</f>
        <v>RECEITAS COM ENTREGAS (303)</v>
      </c>
      <c r="T1278">
        <v>4247</v>
      </c>
      <c r="U1278">
        <v>3623</v>
      </c>
      <c r="V1278" t="s">
        <v>88</v>
      </c>
    </row>
    <row r="1279" spans="1:22">
      <c r="A1279" t="str">
        <f t="shared" si="457"/>
        <v>05/02/2026</v>
      </c>
      <c r="B1279" t="str">
        <f t="shared" si="459"/>
        <v>ENTRADA</v>
      </c>
      <c r="C1279" t="str">
        <f t="shared" si="460"/>
        <v>NFSE</v>
      </c>
      <c r="D1279" t="str">
        <f>"219"</f>
        <v>219</v>
      </c>
      <c r="E1279" t="str">
        <f t="shared" si="461"/>
        <v>1</v>
      </c>
      <c r="F1279" t="str">
        <f t="shared" si="462"/>
        <v>COM</v>
      </c>
      <c r="G1279" t="str">
        <f>"DROGARIA ISABELLA (10276)"</f>
        <v>DROGARIA ISABELLA (10276)</v>
      </c>
      <c r="H1279" t="s">
        <v>333</v>
      </c>
      <c r="I1279" t="str">
        <f t="shared" si="463"/>
        <v>04/02/2026</v>
      </c>
      <c r="J1279" t="str">
        <f t="shared" si="465"/>
        <v>02/02/2026</v>
      </c>
      <c r="K1279">
        <v>46058</v>
      </c>
      <c r="N1279">
        <v>303</v>
      </c>
      <c r="O1279" t="s">
        <v>26</v>
      </c>
      <c r="Q1279">
        <v>315</v>
      </c>
      <c r="R1279" t="str">
        <f>"DROGARIA ISABELLA (10276)"</f>
        <v>DROGARIA ISABELLA (10276)</v>
      </c>
      <c r="S1279" t="s">
        <v>27</v>
      </c>
      <c r="T1279">
        <v>4247</v>
      </c>
      <c r="U1279">
        <v>3623</v>
      </c>
      <c r="V1279" t="s">
        <v>88</v>
      </c>
    </row>
    <row r="1280" spans="1:22">
      <c r="A1280" t="str">
        <f t="shared" si="457"/>
        <v>05/02/2026</v>
      </c>
      <c r="B1280" t="str">
        <f t="shared" si="459"/>
        <v>ENTRADA</v>
      </c>
      <c r="C1280" t="str">
        <f t="shared" si="460"/>
        <v>NFSE</v>
      </c>
      <c r="D1280" t="str">
        <f>"211"</f>
        <v>211</v>
      </c>
      <c r="E1280" t="str">
        <f t="shared" si="461"/>
        <v>1</v>
      </c>
      <c r="F1280" t="str">
        <f t="shared" si="462"/>
        <v>COM</v>
      </c>
      <c r="G1280" t="str">
        <f>"LBL FARMACIA LTDA FILIAL (10192)"</f>
        <v>LBL FARMACIA LTDA FILIAL (10192)</v>
      </c>
      <c r="H1280" t="str">
        <f>"Serv.Prest. 26/01/2026 a 01/02/2026 - RPS: 2135 - NFSe: 211"</f>
        <v>Serv.Prest. 26/01/2026 a 01/02/2026 - RPS: 2135 - NFSe: 211</v>
      </c>
      <c r="I1280" t="str">
        <f t="shared" si="463"/>
        <v>04/02/2026</v>
      </c>
      <c r="J1280" t="str">
        <f t="shared" si="465"/>
        <v>02/02/2026</v>
      </c>
      <c r="K1280" t="str">
        <f>("05/02/2026")</f>
        <v>05/02/2026</v>
      </c>
      <c r="L1280">
        <v>316.05</v>
      </c>
      <c r="M1280">
        <v>316.05</v>
      </c>
      <c r="N1280">
        <v>303</v>
      </c>
      <c r="O1280" t="str">
        <f>"RECEITAS COM ENTREGAS"</f>
        <v>RECEITAS COM ENTREGAS</v>
      </c>
      <c r="P1280">
        <v>316.05</v>
      </c>
      <c r="S1280" t="str">
        <f>"RECEITAS COM ENTREGAS (303)"</f>
        <v>RECEITAS COM ENTREGAS (303)</v>
      </c>
      <c r="T1280">
        <v>4248</v>
      </c>
      <c r="U1280">
        <v>3615</v>
      </c>
      <c r="V1280" t="s">
        <v>88</v>
      </c>
    </row>
    <row r="1281" spans="1:22">
      <c r="A1281" t="str">
        <f t="shared" si="457"/>
        <v>05/02/2026</v>
      </c>
      <c r="B1281" t="str">
        <f t="shared" si="459"/>
        <v>ENTRADA</v>
      </c>
      <c r="C1281" t="str">
        <f t="shared" si="460"/>
        <v>NFSE</v>
      </c>
      <c r="D1281" t="str">
        <f>"211"</f>
        <v>211</v>
      </c>
      <c r="E1281" t="str">
        <f t="shared" si="461"/>
        <v>1</v>
      </c>
      <c r="F1281" t="str">
        <f t="shared" si="462"/>
        <v>COM</v>
      </c>
      <c r="G1281" t="str">
        <f>"LBL FARMACIA LTDA FILIAL (10192)"</f>
        <v>LBL FARMACIA LTDA FILIAL (10192)</v>
      </c>
      <c r="H1281" t="s">
        <v>334</v>
      </c>
      <c r="I1281" t="str">
        <f t="shared" si="463"/>
        <v>04/02/2026</v>
      </c>
      <c r="J1281" t="str">
        <f t="shared" si="465"/>
        <v>02/02/2026</v>
      </c>
      <c r="K1281">
        <v>46058</v>
      </c>
      <c r="N1281">
        <v>303</v>
      </c>
      <c r="O1281" t="s">
        <v>26</v>
      </c>
      <c r="Q1281">
        <v>316.05</v>
      </c>
      <c r="R1281" t="str">
        <f>"LBL FARMACIA LTDA FILIAL (10192)"</f>
        <v>LBL FARMACIA LTDA FILIAL (10192)</v>
      </c>
      <c r="S1281" t="s">
        <v>27</v>
      </c>
      <c r="T1281">
        <v>4248</v>
      </c>
      <c r="U1281">
        <v>3615</v>
      </c>
      <c r="V1281" t="s">
        <v>88</v>
      </c>
    </row>
    <row r="1282" spans="1:22">
      <c r="A1282" t="str">
        <f t="shared" si="457"/>
        <v>05/02/2026</v>
      </c>
      <c r="B1282" t="str">
        <f t="shared" si="459"/>
        <v>ENTRADA</v>
      </c>
      <c r="C1282" t="str">
        <f t="shared" si="460"/>
        <v>NFSE</v>
      </c>
      <c r="D1282" t="str">
        <f>"212"</f>
        <v>212</v>
      </c>
      <c r="E1282" t="str">
        <f t="shared" si="461"/>
        <v>1</v>
      </c>
      <c r="F1282" t="str">
        <f t="shared" si="462"/>
        <v>COM</v>
      </c>
      <c r="G1282" t="str">
        <f>"LBL FARMACIA LTDA (10189)"</f>
        <v>LBL FARMACIA LTDA (10189)</v>
      </c>
      <c r="H1282" t="str">
        <f>"Serv.Prest. 26/01/2026 a 01/02/2026 - RPS: 2136 - NFSe: 212"</f>
        <v>Serv.Prest. 26/01/2026 a 01/02/2026 - RPS: 2136 - NFSe: 212</v>
      </c>
      <c r="I1282" t="str">
        <f t="shared" si="463"/>
        <v>04/02/2026</v>
      </c>
      <c r="J1282" t="str">
        <f t="shared" si="465"/>
        <v>02/02/2026</v>
      </c>
      <c r="K1282" t="str">
        <f>("05/02/2026")</f>
        <v>05/02/2026</v>
      </c>
      <c r="L1282">
        <v>150.15</v>
      </c>
      <c r="M1282">
        <v>150.15</v>
      </c>
      <c r="N1282">
        <v>303</v>
      </c>
      <c r="O1282" t="str">
        <f>"RECEITAS COM ENTREGAS"</f>
        <v>RECEITAS COM ENTREGAS</v>
      </c>
      <c r="P1282">
        <v>150.15</v>
      </c>
      <c r="S1282" t="str">
        <f>"RECEITAS COM ENTREGAS (303)"</f>
        <v>RECEITAS COM ENTREGAS (303)</v>
      </c>
      <c r="T1282">
        <v>4249</v>
      </c>
      <c r="U1282">
        <v>3616</v>
      </c>
      <c r="V1282" t="s">
        <v>88</v>
      </c>
    </row>
    <row r="1283" spans="1:22">
      <c r="A1283" t="str">
        <f t="shared" si="457"/>
        <v>05/02/2026</v>
      </c>
      <c r="B1283" t="str">
        <f t="shared" si="459"/>
        <v>ENTRADA</v>
      </c>
      <c r="C1283" t="str">
        <f t="shared" si="460"/>
        <v>NFSE</v>
      </c>
      <c r="D1283" t="str">
        <f>"212"</f>
        <v>212</v>
      </c>
      <c r="E1283" t="str">
        <f t="shared" si="461"/>
        <v>1</v>
      </c>
      <c r="F1283" t="str">
        <f t="shared" si="462"/>
        <v>COM</v>
      </c>
      <c r="G1283" t="str">
        <f>"LBL FARMACIA LTDA (10189)"</f>
        <v>LBL FARMACIA LTDA (10189)</v>
      </c>
      <c r="H1283" t="s">
        <v>335</v>
      </c>
      <c r="I1283" t="str">
        <f t="shared" si="463"/>
        <v>04/02/2026</v>
      </c>
      <c r="J1283" t="str">
        <f t="shared" si="465"/>
        <v>02/02/2026</v>
      </c>
      <c r="K1283">
        <v>46058</v>
      </c>
      <c r="N1283">
        <v>303</v>
      </c>
      <c r="O1283" t="s">
        <v>26</v>
      </c>
      <c r="Q1283">
        <v>150.15</v>
      </c>
      <c r="R1283" t="str">
        <f>"LBL FARMACIA LTDA (10189)"</f>
        <v>LBL FARMACIA LTDA (10189)</v>
      </c>
      <c r="S1283" t="s">
        <v>27</v>
      </c>
      <c r="T1283">
        <v>4249</v>
      </c>
      <c r="U1283">
        <v>3616</v>
      </c>
      <c r="V1283" t="s">
        <v>88</v>
      </c>
    </row>
    <row r="1284" spans="1:22">
      <c r="A1284" t="str">
        <f t="shared" si="457"/>
        <v>05/02/2026</v>
      </c>
      <c r="B1284" t="str">
        <f t="shared" si="459"/>
        <v>ENTRADA</v>
      </c>
      <c r="C1284" t="str">
        <f t="shared" si="460"/>
        <v>NFSE</v>
      </c>
      <c r="D1284" t="str">
        <f>"213"</f>
        <v>213</v>
      </c>
      <c r="E1284" t="str">
        <f t="shared" si="461"/>
        <v>1</v>
      </c>
      <c r="F1284" t="str">
        <f t="shared" si="462"/>
        <v>COM</v>
      </c>
      <c r="G1284" t="str">
        <f>"DROGARIA AGAPEAMA (10167)"</f>
        <v>DROGARIA AGAPEAMA (10167)</v>
      </c>
      <c r="H1284" t="str">
        <f>"Serv.Prest. 26/01/2026 a 01/02/2026 - RPS: 2137 - NFSe: 213"</f>
        <v>Serv.Prest. 26/01/2026 a 01/02/2026 - RPS: 2137 - NFSe: 213</v>
      </c>
      <c r="I1284" t="str">
        <f t="shared" si="463"/>
        <v>04/02/2026</v>
      </c>
      <c r="J1284" t="str">
        <f t="shared" si="465"/>
        <v>02/02/2026</v>
      </c>
      <c r="K1284" t="str">
        <f>("05/02/2026")</f>
        <v>05/02/2026</v>
      </c>
      <c r="L1284">
        <v>347.2</v>
      </c>
      <c r="M1284">
        <v>347.2</v>
      </c>
      <c r="N1284">
        <v>303</v>
      </c>
      <c r="O1284" t="str">
        <f>"RECEITAS COM ENTREGAS"</f>
        <v>RECEITAS COM ENTREGAS</v>
      </c>
      <c r="P1284">
        <v>347.2</v>
      </c>
      <c r="S1284" t="str">
        <f>"RECEITAS COM ENTREGAS (303)"</f>
        <v>RECEITAS COM ENTREGAS (303)</v>
      </c>
      <c r="T1284">
        <v>4250</v>
      </c>
      <c r="U1284">
        <v>3617</v>
      </c>
      <c r="V1284" t="s">
        <v>88</v>
      </c>
    </row>
    <row r="1285" spans="1:22">
      <c r="A1285" t="str">
        <f t="shared" si="457"/>
        <v>05/02/2026</v>
      </c>
      <c r="B1285" t="str">
        <f t="shared" si="459"/>
        <v>ENTRADA</v>
      </c>
      <c r="C1285" t="str">
        <f t="shared" si="460"/>
        <v>NFSE</v>
      </c>
      <c r="D1285" t="str">
        <f>"213"</f>
        <v>213</v>
      </c>
      <c r="E1285" t="str">
        <f t="shared" si="461"/>
        <v>1</v>
      </c>
      <c r="F1285" t="str">
        <f t="shared" si="462"/>
        <v>COM</v>
      </c>
      <c r="G1285" t="str">
        <f>"DROGARIA AGAPEAMA (10167)"</f>
        <v>DROGARIA AGAPEAMA (10167)</v>
      </c>
      <c r="H1285" t="s">
        <v>336</v>
      </c>
      <c r="I1285" t="str">
        <f t="shared" si="463"/>
        <v>04/02/2026</v>
      </c>
      <c r="J1285" t="str">
        <f t="shared" si="465"/>
        <v>02/02/2026</v>
      </c>
      <c r="K1285">
        <v>46058</v>
      </c>
      <c r="N1285">
        <v>303</v>
      </c>
      <c r="O1285" t="s">
        <v>26</v>
      </c>
      <c r="Q1285">
        <v>347.2</v>
      </c>
      <c r="R1285" t="str">
        <f>"DROGARIA AGAPEAMA (10167)"</f>
        <v>DROGARIA AGAPEAMA (10167)</v>
      </c>
      <c r="S1285" t="s">
        <v>27</v>
      </c>
      <c r="T1285">
        <v>4250</v>
      </c>
      <c r="U1285">
        <v>3617</v>
      </c>
      <c r="V1285" t="s">
        <v>88</v>
      </c>
    </row>
    <row r="1286" spans="1:22">
      <c r="A1286" t="str">
        <f t="shared" si="457"/>
        <v>05/02/2026</v>
      </c>
      <c r="B1286" t="str">
        <f t="shared" si="459"/>
        <v>ENTRADA</v>
      </c>
      <c r="C1286" t="str">
        <f t="shared" si="460"/>
        <v>NFSE</v>
      </c>
      <c r="D1286" t="str">
        <f>"214"</f>
        <v>214</v>
      </c>
      <c r="E1286" t="str">
        <f t="shared" si="461"/>
        <v>1</v>
      </c>
      <c r="F1286" t="str">
        <f t="shared" si="462"/>
        <v>COM</v>
      </c>
      <c r="G1286" t="str">
        <f>"BELLESE FARMA (10279)"</f>
        <v>BELLESE FARMA (10279)</v>
      </c>
      <c r="H1286" t="str">
        <f>"Serv.Prest. 26/01/2026 a 01/02/2026 - RPS: 2138 - NFSe: 214"</f>
        <v>Serv.Prest. 26/01/2026 a 01/02/2026 - RPS: 2138 - NFSe: 214</v>
      </c>
      <c r="I1286" t="str">
        <f t="shared" si="463"/>
        <v>04/02/2026</v>
      </c>
      <c r="J1286" t="str">
        <f t="shared" si="465"/>
        <v>02/02/2026</v>
      </c>
      <c r="K1286" t="str">
        <f>("05/02/2026")</f>
        <v>05/02/2026</v>
      </c>
      <c r="L1286">
        <v>150.05000000000001</v>
      </c>
      <c r="M1286">
        <v>150.05000000000001</v>
      </c>
      <c r="N1286">
        <v>303</v>
      </c>
      <c r="O1286" t="str">
        <f>"RECEITAS COM ENTREGAS"</f>
        <v>RECEITAS COM ENTREGAS</v>
      </c>
      <c r="P1286">
        <v>150.05000000000001</v>
      </c>
      <c r="S1286" t="str">
        <f>"RECEITAS COM ENTREGAS (303)"</f>
        <v>RECEITAS COM ENTREGAS (303)</v>
      </c>
      <c r="T1286">
        <v>4251</v>
      </c>
      <c r="U1286">
        <v>3618</v>
      </c>
      <c r="V1286" t="s">
        <v>88</v>
      </c>
    </row>
    <row r="1287" spans="1:22">
      <c r="A1287" t="str">
        <f t="shared" si="457"/>
        <v>05/02/2026</v>
      </c>
      <c r="B1287" t="str">
        <f t="shared" si="459"/>
        <v>ENTRADA</v>
      </c>
      <c r="C1287" t="str">
        <f t="shared" si="460"/>
        <v>NFSE</v>
      </c>
      <c r="D1287" t="str">
        <f>"214"</f>
        <v>214</v>
      </c>
      <c r="E1287" t="str">
        <f t="shared" si="461"/>
        <v>1</v>
      </c>
      <c r="F1287" t="str">
        <f t="shared" si="462"/>
        <v>COM</v>
      </c>
      <c r="G1287" t="str">
        <f>"BELLESE FARMA (10279)"</f>
        <v>BELLESE FARMA (10279)</v>
      </c>
      <c r="H1287" t="s">
        <v>337</v>
      </c>
      <c r="I1287" t="str">
        <f t="shared" si="463"/>
        <v>04/02/2026</v>
      </c>
      <c r="J1287" t="str">
        <f t="shared" si="465"/>
        <v>02/02/2026</v>
      </c>
      <c r="K1287">
        <v>46058</v>
      </c>
      <c r="N1287">
        <v>303</v>
      </c>
      <c r="O1287" t="s">
        <v>26</v>
      </c>
      <c r="Q1287">
        <v>150.05000000000001</v>
      </c>
      <c r="R1287" t="str">
        <f>"BELLESE FARMA (10279)"</f>
        <v>BELLESE FARMA (10279)</v>
      </c>
      <c r="S1287" t="s">
        <v>27</v>
      </c>
      <c r="T1287">
        <v>4251</v>
      </c>
      <c r="U1287">
        <v>3618</v>
      </c>
      <c r="V1287" t="s">
        <v>88</v>
      </c>
    </row>
    <row r="1288" spans="1:22">
      <c r="A1288" t="str">
        <f t="shared" ref="A1288:A1319" si="466">("05/02/2026")</f>
        <v>05/02/2026</v>
      </c>
      <c r="B1288" t="str">
        <f t="shared" si="459"/>
        <v>ENTRADA</v>
      </c>
      <c r="C1288" t="str">
        <f t="shared" si="460"/>
        <v>NFSE</v>
      </c>
      <c r="D1288" t="str">
        <f>"215"</f>
        <v>215</v>
      </c>
      <c r="E1288" t="str">
        <f t="shared" si="461"/>
        <v>1</v>
      </c>
      <c r="F1288" t="str">
        <f t="shared" si="462"/>
        <v>COM</v>
      </c>
      <c r="G1288" t="str">
        <f>"JAL FARMACIA E DROGARIA LJ 2 (10138)"</f>
        <v>JAL FARMACIA E DROGARIA LJ 2 (10138)</v>
      </c>
      <c r="H1288" t="str">
        <f>"Serv.Prest. 26/01/2026 a 01/02/2026 - RPS: 2139 - NFSe: 215"</f>
        <v>Serv.Prest. 26/01/2026 a 01/02/2026 - RPS: 2139 - NFSe: 215</v>
      </c>
      <c r="I1288" t="str">
        <f t="shared" si="463"/>
        <v>04/02/2026</v>
      </c>
      <c r="J1288" t="str">
        <f t="shared" si="465"/>
        <v>02/02/2026</v>
      </c>
      <c r="K1288" t="str">
        <f>("05/02/2026")</f>
        <v>05/02/2026</v>
      </c>
      <c r="L1288">
        <v>253.5</v>
      </c>
      <c r="M1288">
        <v>253.5</v>
      </c>
      <c r="N1288">
        <v>303</v>
      </c>
      <c r="O1288" t="str">
        <f>"RECEITAS COM ENTREGAS"</f>
        <v>RECEITAS COM ENTREGAS</v>
      </c>
      <c r="P1288">
        <v>253.5</v>
      </c>
      <c r="S1288" t="str">
        <f>"RECEITAS COM ENTREGAS (303)"</f>
        <v>RECEITAS COM ENTREGAS (303)</v>
      </c>
      <c r="T1288">
        <v>4252</v>
      </c>
      <c r="U1288">
        <v>3619</v>
      </c>
      <c r="V1288" t="s">
        <v>88</v>
      </c>
    </row>
    <row r="1289" spans="1:22">
      <c r="A1289" t="str">
        <f t="shared" si="466"/>
        <v>05/02/2026</v>
      </c>
      <c r="B1289" t="str">
        <f t="shared" si="459"/>
        <v>ENTRADA</v>
      </c>
      <c r="C1289" t="str">
        <f t="shared" si="460"/>
        <v>NFSE</v>
      </c>
      <c r="D1289" t="str">
        <f>"215"</f>
        <v>215</v>
      </c>
      <c r="E1289" t="str">
        <f t="shared" si="461"/>
        <v>1</v>
      </c>
      <c r="F1289" t="str">
        <f t="shared" si="462"/>
        <v>COM</v>
      </c>
      <c r="G1289" t="str">
        <f>"JAL FARMACIA E DROGARIA LJ 2 (10138)"</f>
        <v>JAL FARMACIA E DROGARIA LJ 2 (10138)</v>
      </c>
      <c r="H1289" t="s">
        <v>338</v>
      </c>
      <c r="I1289" t="str">
        <f t="shared" si="463"/>
        <v>04/02/2026</v>
      </c>
      <c r="J1289" t="str">
        <f t="shared" si="465"/>
        <v>02/02/2026</v>
      </c>
      <c r="K1289">
        <v>46058</v>
      </c>
      <c r="N1289">
        <v>303</v>
      </c>
      <c r="O1289" t="s">
        <v>26</v>
      </c>
      <c r="Q1289">
        <v>253.5</v>
      </c>
      <c r="R1289" t="str">
        <f>"JAL FARMACIA E DROGARIA LJ 2 (10138)"</f>
        <v>JAL FARMACIA E DROGARIA LJ 2 (10138)</v>
      </c>
      <c r="S1289" t="s">
        <v>27</v>
      </c>
      <c r="T1289">
        <v>4252</v>
      </c>
      <c r="U1289">
        <v>3619</v>
      </c>
      <c r="V1289" t="s">
        <v>88</v>
      </c>
    </row>
    <row r="1290" spans="1:22">
      <c r="A1290" t="str">
        <f t="shared" si="466"/>
        <v>05/02/2026</v>
      </c>
      <c r="B1290" t="str">
        <f t="shared" si="459"/>
        <v>ENTRADA</v>
      </c>
      <c r="C1290" t="str">
        <f t="shared" si="460"/>
        <v>NFSE</v>
      </c>
      <c r="D1290" t="str">
        <f>"220"</f>
        <v>220</v>
      </c>
      <c r="E1290" t="str">
        <f t="shared" si="461"/>
        <v>1</v>
      </c>
      <c r="F1290" t="str">
        <f t="shared" si="462"/>
        <v>COM</v>
      </c>
      <c r="G1290" t="str">
        <f>"DROGARIA ANA VISCONDE DO RIO BRANCO (10182)"</f>
        <v>DROGARIA ANA VISCONDE DO RIO BRANCO (10182)</v>
      </c>
      <c r="H1290" t="str">
        <f>"Serv.Prest. 26/01/2026 a 01/02/2026 - RPS: 2144 - NFSe: 220"</f>
        <v>Serv.Prest. 26/01/2026 a 01/02/2026 - RPS: 2144 - NFSe: 220</v>
      </c>
      <c r="I1290" t="str">
        <f t="shared" si="463"/>
        <v>04/02/2026</v>
      </c>
      <c r="J1290" t="str">
        <f t="shared" si="465"/>
        <v>02/02/2026</v>
      </c>
      <c r="K1290" t="str">
        <f>("05/02/2026")</f>
        <v>05/02/2026</v>
      </c>
      <c r="L1290">
        <v>792.45</v>
      </c>
      <c r="M1290">
        <v>792.45</v>
      </c>
      <c r="N1290">
        <v>303</v>
      </c>
      <c r="O1290" t="str">
        <f>"RECEITAS COM ENTREGAS"</f>
        <v>RECEITAS COM ENTREGAS</v>
      </c>
      <c r="P1290">
        <v>792.45</v>
      </c>
      <c r="S1290" t="str">
        <f>"RECEITAS COM ENTREGAS (303)"</f>
        <v>RECEITAS COM ENTREGAS (303)</v>
      </c>
      <c r="T1290">
        <v>4253</v>
      </c>
      <c r="U1290">
        <v>3624</v>
      </c>
      <c r="V1290" t="s">
        <v>88</v>
      </c>
    </row>
    <row r="1291" spans="1:22">
      <c r="A1291" t="str">
        <f t="shared" si="466"/>
        <v>05/02/2026</v>
      </c>
      <c r="B1291" t="str">
        <f t="shared" si="459"/>
        <v>ENTRADA</v>
      </c>
      <c r="C1291" t="str">
        <f t="shared" si="460"/>
        <v>NFSE</v>
      </c>
      <c r="D1291" t="str">
        <f>"220"</f>
        <v>220</v>
      </c>
      <c r="E1291" t="str">
        <f t="shared" si="461"/>
        <v>1</v>
      </c>
      <c r="F1291" t="str">
        <f t="shared" si="462"/>
        <v>COM</v>
      </c>
      <c r="G1291" t="str">
        <f>"DROGARIA ANA VISCONDE DO RIO BRANCO (10182)"</f>
        <v>DROGARIA ANA VISCONDE DO RIO BRANCO (10182)</v>
      </c>
      <c r="H1291" t="s">
        <v>339</v>
      </c>
      <c r="I1291" t="str">
        <f t="shared" si="463"/>
        <v>04/02/2026</v>
      </c>
      <c r="J1291" t="str">
        <f t="shared" si="465"/>
        <v>02/02/2026</v>
      </c>
      <c r="K1291">
        <v>46058</v>
      </c>
      <c r="N1291">
        <v>303</v>
      </c>
      <c r="O1291" t="s">
        <v>26</v>
      </c>
      <c r="Q1291">
        <v>792.45</v>
      </c>
      <c r="R1291" t="str">
        <f>"DROGARIA ANA VISCONDE DO RIO BRANCO (10182)"</f>
        <v>DROGARIA ANA VISCONDE DO RIO BRANCO (10182)</v>
      </c>
      <c r="S1291" t="s">
        <v>27</v>
      </c>
      <c r="T1291">
        <v>4253</v>
      </c>
      <c r="U1291">
        <v>3624</v>
      </c>
      <c r="V1291" t="s">
        <v>88</v>
      </c>
    </row>
    <row r="1292" spans="1:22">
      <c r="A1292" t="str">
        <f t="shared" si="466"/>
        <v>05/02/2026</v>
      </c>
      <c r="B1292" t="str">
        <f t="shared" si="459"/>
        <v>ENTRADA</v>
      </c>
      <c r="C1292" t="str">
        <f t="shared" si="460"/>
        <v>NFSE</v>
      </c>
      <c r="D1292" t="str">
        <f>"221"</f>
        <v>221</v>
      </c>
      <c r="E1292" t="str">
        <f t="shared" si="461"/>
        <v>1</v>
      </c>
      <c r="F1292" t="str">
        <f t="shared" si="462"/>
        <v>COM</v>
      </c>
      <c r="G1292" t="str">
        <f>"DROGARIA MEDIC CENTER LTDA (10172)"</f>
        <v>DROGARIA MEDIC CENTER LTDA (10172)</v>
      </c>
      <c r="H1292" t="str">
        <f>"Serv.Prest. 26/01/2026 a 01/02/2026 - RPS: 2145 - NFSe: 221"</f>
        <v>Serv.Prest. 26/01/2026 a 01/02/2026 - RPS: 2145 - NFSe: 221</v>
      </c>
      <c r="I1292" t="str">
        <f t="shared" si="463"/>
        <v>04/02/2026</v>
      </c>
      <c r="J1292" t="str">
        <f t="shared" si="465"/>
        <v>02/02/2026</v>
      </c>
      <c r="K1292" t="str">
        <f>("05/02/2026")</f>
        <v>05/02/2026</v>
      </c>
      <c r="L1292">
        <v>206.1</v>
      </c>
      <c r="M1292">
        <v>206.1</v>
      </c>
      <c r="N1292">
        <v>303</v>
      </c>
      <c r="O1292" t="str">
        <f>"RECEITAS COM ENTREGAS"</f>
        <v>RECEITAS COM ENTREGAS</v>
      </c>
      <c r="P1292">
        <v>206.1</v>
      </c>
      <c r="S1292" t="str">
        <f>"RECEITAS COM ENTREGAS (303)"</f>
        <v>RECEITAS COM ENTREGAS (303)</v>
      </c>
      <c r="T1292">
        <v>4254</v>
      </c>
      <c r="U1292">
        <v>3625</v>
      </c>
      <c r="V1292" t="s">
        <v>88</v>
      </c>
    </row>
    <row r="1293" spans="1:22">
      <c r="A1293" t="str">
        <f t="shared" si="466"/>
        <v>05/02/2026</v>
      </c>
      <c r="B1293" t="str">
        <f t="shared" si="459"/>
        <v>ENTRADA</v>
      </c>
      <c r="C1293" t="str">
        <f t="shared" si="460"/>
        <v>NFSE</v>
      </c>
      <c r="D1293" t="str">
        <f>"221"</f>
        <v>221</v>
      </c>
      <c r="E1293" t="str">
        <f t="shared" si="461"/>
        <v>1</v>
      </c>
      <c r="F1293" t="str">
        <f t="shared" si="462"/>
        <v>COM</v>
      </c>
      <c r="G1293" t="str">
        <f>"DROGARIA MEDIC CENTER LTDA (10172)"</f>
        <v>DROGARIA MEDIC CENTER LTDA (10172)</v>
      </c>
      <c r="H1293" t="s">
        <v>340</v>
      </c>
      <c r="I1293" t="str">
        <f t="shared" si="463"/>
        <v>04/02/2026</v>
      </c>
      <c r="J1293" t="str">
        <f t="shared" si="465"/>
        <v>02/02/2026</v>
      </c>
      <c r="K1293">
        <v>46058</v>
      </c>
      <c r="N1293">
        <v>303</v>
      </c>
      <c r="O1293" t="s">
        <v>26</v>
      </c>
      <c r="Q1293">
        <v>206.1</v>
      </c>
      <c r="R1293" t="str">
        <f>"DROGARIA MEDIC CENTER LTDA (10172)"</f>
        <v>DROGARIA MEDIC CENTER LTDA (10172)</v>
      </c>
      <c r="S1293" t="s">
        <v>27</v>
      </c>
      <c r="T1293">
        <v>4254</v>
      </c>
      <c r="U1293">
        <v>3625</v>
      </c>
      <c r="V1293" t="s">
        <v>88</v>
      </c>
    </row>
    <row r="1294" spans="1:22">
      <c r="A1294" t="str">
        <f t="shared" si="466"/>
        <v>05/02/2026</v>
      </c>
      <c r="B1294" t="str">
        <f t="shared" si="459"/>
        <v>ENTRADA</v>
      </c>
      <c r="C1294" t="str">
        <f t="shared" si="460"/>
        <v>NFSE</v>
      </c>
      <c r="D1294" t="str">
        <f>"222"</f>
        <v>222</v>
      </c>
      <c r="E1294" t="str">
        <f t="shared" si="461"/>
        <v>1</v>
      </c>
      <c r="F1294" t="str">
        <f t="shared" si="462"/>
        <v>COM</v>
      </c>
      <c r="G1294" t="str">
        <f>"DROGARIA TOTAL JUNDIAI (10177)"</f>
        <v>DROGARIA TOTAL JUNDIAI (10177)</v>
      </c>
      <c r="H1294" t="str">
        <f>"Serv.Prest. 26/01/2026 a 01/02/2026 - RPS: 2146 - NFSe: 222"</f>
        <v>Serv.Prest. 26/01/2026 a 01/02/2026 - RPS: 2146 - NFSe: 222</v>
      </c>
      <c r="I1294" t="str">
        <f t="shared" si="463"/>
        <v>04/02/2026</v>
      </c>
      <c r="J1294" t="str">
        <f t="shared" si="465"/>
        <v>02/02/2026</v>
      </c>
      <c r="K1294" t="str">
        <f>("05/02/2026")</f>
        <v>05/02/2026</v>
      </c>
      <c r="L1294">
        <v>100.27</v>
      </c>
      <c r="M1294">
        <v>100.27</v>
      </c>
      <c r="N1294">
        <v>303</v>
      </c>
      <c r="O1294" t="str">
        <f>"RECEITAS COM ENTREGAS"</f>
        <v>RECEITAS COM ENTREGAS</v>
      </c>
      <c r="P1294">
        <v>100.27</v>
      </c>
      <c r="S1294" t="str">
        <f>"RECEITAS COM ENTREGAS (303)"</f>
        <v>RECEITAS COM ENTREGAS (303)</v>
      </c>
      <c r="T1294">
        <v>4255</v>
      </c>
      <c r="U1294">
        <v>3626</v>
      </c>
      <c r="V1294" t="s">
        <v>88</v>
      </c>
    </row>
    <row r="1295" spans="1:22">
      <c r="A1295" t="str">
        <f t="shared" si="466"/>
        <v>05/02/2026</v>
      </c>
      <c r="B1295" t="str">
        <f t="shared" ref="B1295:B1326" si="467">"ENTRADA"</f>
        <v>ENTRADA</v>
      </c>
      <c r="C1295" t="str">
        <f t="shared" si="460"/>
        <v>NFSE</v>
      </c>
      <c r="D1295" t="str">
        <f>"222"</f>
        <v>222</v>
      </c>
      <c r="E1295" t="str">
        <f t="shared" si="461"/>
        <v>1</v>
      </c>
      <c r="F1295" t="str">
        <f t="shared" si="462"/>
        <v>COM</v>
      </c>
      <c r="G1295" t="str">
        <f>"DROGARIA TOTAL JUNDIAI (10177)"</f>
        <v>DROGARIA TOTAL JUNDIAI (10177)</v>
      </c>
      <c r="H1295" t="s">
        <v>341</v>
      </c>
      <c r="I1295" t="str">
        <f t="shared" si="463"/>
        <v>04/02/2026</v>
      </c>
      <c r="J1295" t="str">
        <f t="shared" si="465"/>
        <v>02/02/2026</v>
      </c>
      <c r="K1295">
        <v>46058</v>
      </c>
      <c r="N1295">
        <v>303</v>
      </c>
      <c r="O1295" t="s">
        <v>26</v>
      </c>
      <c r="Q1295">
        <v>100.27</v>
      </c>
      <c r="R1295" t="str">
        <f>"DROGARIA TOTAL JUNDIAI (10177)"</f>
        <v>DROGARIA TOTAL JUNDIAI (10177)</v>
      </c>
      <c r="S1295" t="s">
        <v>27</v>
      </c>
      <c r="T1295">
        <v>4255</v>
      </c>
      <c r="U1295">
        <v>3626</v>
      </c>
      <c r="V1295" t="s">
        <v>88</v>
      </c>
    </row>
    <row r="1296" spans="1:22">
      <c r="A1296" t="str">
        <f t="shared" si="466"/>
        <v>05/02/2026</v>
      </c>
      <c r="B1296" t="str">
        <f t="shared" si="467"/>
        <v>ENTRADA</v>
      </c>
      <c r="C1296" t="str">
        <f t="shared" ref="C1296:C1327" si="468">"NFSE"</f>
        <v>NFSE</v>
      </c>
      <c r="D1296" t="str">
        <f>"223"</f>
        <v>223</v>
      </c>
      <c r="E1296" t="str">
        <f t="shared" ref="E1296:E1327" si="469">"1"</f>
        <v>1</v>
      </c>
      <c r="F1296" t="str">
        <f t="shared" ref="F1296:F1327" si="470">"COM"</f>
        <v>COM</v>
      </c>
      <c r="G1296" t="str">
        <f>"ENTREFARMA (10164)"</f>
        <v>ENTREFARMA (10164)</v>
      </c>
      <c r="H1296" t="str">
        <f>"Serv.Prest. 26/01/2026 a 01/02/2026 - RPS: 2147 - NFSe: 223"</f>
        <v>Serv.Prest. 26/01/2026 a 01/02/2026 - RPS: 2147 - NFSe: 223</v>
      </c>
      <c r="I1296" t="str">
        <f t="shared" ref="I1296:I1327" si="471">("04/02/2026")</f>
        <v>04/02/2026</v>
      </c>
      <c r="J1296" t="str">
        <f t="shared" si="465"/>
        <v>02/02/2026</v>
      </c>
      <c r="K1296" t="str">
        <f>("05/02/2026")</f>
        <v>05/02/2026</v>
      </c>
      <c r="L1296">
        <v>1079.92</v>
      </c>
      <c r="M1296">
        <v>1079.92</v>
      </c>
      <c r="N1296">
        <v>303</v>
      </c>
      <c r="O1296" t="str">
        <f>"RECEITAS COM ENTREGAS"</f>
        <v>RECEITAS COM ENTREGAS</v>
      </c>
      <c r="P1296">
        <v>1079.92</v>
      </c>
      <c r="S1296" t="str">
        <f>"RECEITAS COM ENTREGAS (303)"</f>
        <v>RECEITAS COM ENTREGAS (303)</v>
      </c>
      <c r="T1296">
        <v>4256</v>
      </c>
      <c r="U1296">
        <v>3627</v>
      </c>
      <c r="V1296" t="s">
        <v>88</v>
      </c>
    </row>
    <row r="1297" spans="1:22">
      <c r="A1297" t="str">
        <f t="shared" si="466"/>
        <v>05/02/2026</v>
      </c>
      <c r="B1297" t="str">
        <f t="shared" si="467"/>
        <v>ENTRADA</v>
      </c>
      <c r="C1297" t="str">
        <f t="shared" si="468"/>
        <v>NFSE</v>
      </c>
      <c r="D1297" t="str">
        <f>"223"</f>
        <v>223</v>
      </c>
      <c r="E1297" t="str">
        <f t="shared" si="469"/>
        <v>1</v>
      </c>
      <c r="F1297" t="str">
        <f t="shared" si="470"/>
        <v>COM</v>
      </c>
      <c r="G1297" t="str">
        <f>"ENTREFARMA (10164)"</f>
        <v>ENTREFARMA (10164)</v>
      </c>
      <c r="H1297" t="s">
        <v>342</v>
      </c>
      <c r="I1297" t="str">
        <f t="shared" si="471"/>
        <v>04/02/2026</v>
      </c>
      <c r="J1297" t="str">
        <f t="shared" si="465"/>
        <v>02/02/2026</v>
      </c>
      <c r="K1297">
        <v>46058</v>
      </c>
      <c r="N1297">
        <v>303</v>
      </c>
      <c r="O1297" t="s">
        <v>26</v>
      </c>
      <c r="Q1297">
        <v>1079.92</v>
      </c>
      <c r="R1297" t="str">
        <f>"ENTREFARMA (10164)"</f>
        <v>ENTREFARMA (10164)</v>
      </c>
      <c r="S1297" t="s">
        <v>27</v>
      </c>
      <c r="T1297">
        <v>4256</v>
      </c>
      <c r="U1297">
        <v>3627</v>
      </c>
      <c r="V1297" t="s">
        <v>88</v>
      </c>
    </row>
    <row r="1298" spans="1:22">
      <c r="A1298" t="str">
        <f t="shared" si="466"/>
        <v>05/02/2026</v>
      </c>
      <c r="B1298" t="str">
        <f t="shared" si="467"/>
        <v>ENTRADA</v>
      </c>
      <c r="C1298" t="str">
        <f t="shared" si="468"/>
        <v>NFSE</v>
      </c>
      <c r="D1298" t="str">
        <f>"228"</f>
        <v>228</v>
      </c>
      <c r="E1298" t="str">
        <f t="shared" si="469"/>
        <v>1</v>
      </c>
      <c r="F1298" t="str">
        <f t="shared" si="470"/>
        <v>COM</v>
      </c>
      <c r="G1298" t="str">
        <f>"DELTA LOJA 2 (10123)"</f>
        <v>DELTA LOJA 2 (10123)</v>
      </c>
      <c r="H1298" t="str">
        <f>"Serv.Prest. 26/01/2026 a 01/02/2026 - RPS: 2152 - NFSe: 228"</f>
        <v>Serv.Prest. 26/01/2026 a 01/02/2026 - RPS: 2152 - NFSe: 228</v>
      </c>
      <c r="I1298" t="str">
        <f t="shared" si="471"/>
        <v>04/02/2026</v>
      </c>
      <c r="J1298" t="str">
        <f t="shared" si="465"/>
        <v>02/02/2026</v>
      </c>
      <c r="K1298" t="str">
        <f>("05/02/2026")</f>
        <v>05/02/2026</v>
      </c>
      <c r="L1298">
        <v>786.45</v>
      </c>
      <c r="M1298">
        <v>786.45</v>
      </c>
      <c r="N1298">
        <v>303</v>
      </c>
      <c r="O1298" t="str">
        <f>"RECEITAS COM ENTREGAS"</f>
        <v>RECEITAS COM ENTREGAS</v>
      </c>
      <c r="P1298">
        <v>786.45</v>
      </c>
      <c r="S1298" t="str">
        <f>"RECEITAS COM ENTREGAS (303)"</f>
        <v>RECEITAS COM ENTREGAS (303)</v>
      </c>
      <c r="T1298">
        <v>4257</v>
      </c>
      <c r="U1298">
        <v>3632</v>
      </c>
      <c r="V1298" t="s">
        <v>88</v>
      </c>
    </row>
    <row r="1299" spans="1:22">
      <c r="A1299" t="str">
        <f t="shared" si="466"/>
        <v>05/02/2026</v>
      </c>
      <c r="B1299" t="str">
        <f t="shared" si="467"/>
        <v>ENTRADA</v>
      </c>
      <c r="C1299" t="str">
        <f t="shared" si="468"/>
        <v>NFSE</v>
      </c>
      <c r="D1299" t="str">
        <f>"228"</f>
        <v>228</v>
      </c>
      <c r="E1299" t="str">
        <f t="shared" si="469"/>
        <v>1</v>
      </c>
      <c r="F1299" t="str">
        <f t="shared" si="470"/>
        <v>COM</v>
      </c>
      <c r="G1299" t="str">
        <f>"DELTA LOJA 2 (10123)"</f>
        <v>DELTA LOJA 2 (10123)</v>
      </c>
      <c r="H1299" t="s">
        <v>343</v>
      </c>
      <c r="I1299" t="str">
        <f t="shared" si="471"/>
        <v>04/02/2026</v>
      </c>
      <c r="J1299" t="str">
        <f t="shared" si="465"/>
        <v>02/02/2026</v>
      </c>
      <c r="K1299">
        <v>46058</v>
      </c>
      <c r="N1299">
        <v>303</v>
      </c>
      <c r="O1299" t="s">
        <v>26</v>
      </c>
      <c r="Q1299">
        <v>786.45</v>
      </c>
      <c r="R1299" t="str">
        <f>"DELTA LOJA 2 (10123)"</f>
        <v>DELTA LOJA 2 (10123)</v>
      </c>
      <c r="S1299" t="s">
        <v>27</v>
      </c>
      <c r="T1299">
        <v>4257</v>
      </c>
      <c r="U1299">
        <v>3632</v>
      </c>
      <c r="V1299" t="s">
        <v>88</v>
      </c>
    </row>
    <row r="1300" spans="1:22">
      <c r="A1300" t="str">
        <f t="shared" si="466"/>
        <v>05/02/2026</v>
      </c>
      <c r="B1300" t="str">
        <f t="shared" si="467"/>
        <v>ENTRADA</v>
      </c>
      <c r="C1300" t="str">
        <f t="shared" si="468"/>
        <v>NFSE</v>
      </c>
      <c r="D1300" t="str">
        <f>"230"</f>
        <v>230</v>
      </c>
      <c r="E1300" t="str">
        <f t="shared" si="469"/>
        <v>1</v>
      </c>
      <c r="F1300" t="str">
        <f t="shared" si="470"/>
        <v>COM</v>
      </c>
      <c r="G1300" t="str">
        <f>"PENSE FARMA 07 (10201)"</f>
        <v>PENSE FARMA 07 (10201)</v>
      </c>
      <c r="H1300" t="str">
        <f>"Serv.Prest. 26/01/2026 a 01/02/2026 - RPS: 2154 - NFSe: 230"</f>
        <v>Serv.Prest. 26/01/2026 a 01/02/2026 - RPS: 2154 - NFSe: 230</v>
      </c>
      <c r="I1300" t="str">
        <f t="shared" si="471"/>
        <v>04/02/2026</v>
      </c>
      <c r="J1300" t="str">
        <f t="shared" si="465"/>
        <v>02/02/2026</v>
      </c>
      <c r="K1300" t="str">
        <f>("05/02/2026")</f>
        <v>05/02/2026</v>
      </c>
      <c r="L1300">
        <v>309.75</v>
      </c>
      <c r="M1300">
        <v>309.75</v>
      </c>
      <c r="N1300">
        <v>303</v>
      </c>
      <c r="O1300" t="str">
        <f>"RECEITAS COM ENTREGAS"</f>
        <v>RECEITAS COM ENTREGAS</v>
      </c>
      <c r="P1300">
        <v>309.75</v>
      </c>
      <c r="S1300" t="str">
        <f>"RECEITAS COM ENTREGAS (303)"</f>
        <v>RECEITAS COM ENTREGAS (303)</v>
      </c>
      <c r="T1300">
        <v>4258</v>
      </c>
      <c r="U1300">
        <v>3634</v>
      </c>
      <c r="V1300" t="s">
        <v>88</v>
      </c>
    </row>
    <row r="1301" spans="1:22">
      <c r="A1301" t="str">
        <f t="shared" si="466"/>
        <v>05/02/2026</v>
      </c>
      <c r="B1301" t="str">
        <f t="shared" si="467"/>
        <v>ENTRADA</v>
      </c>
      <c r="C1301" t="str">
        <f t="shared" si="468"/>
        <v>NFSE</v>
      </c>
      <c r="D1301" t="str">
        <f>"230"</f>
        <v>230</v>
      </c>
      <c r="E1301" t="str">
        <f t="shared" si="469"/>
        <v>1</v>
      </c>
      <c r="F1301" t="str">
        <f t="shared" si="470"/>
        <v>COM</v>
      </c>
      <c r="G1301" t="str">
        <f>"PENSE FARMA 07 (10201)"</f>
        <v>PENSE FARMA 07 (10201)</v>
      </c>
      <c r="H1301" t="s">
        <v>344</v>
      </c>
      <c r="I1301" t="str">
        <f t="shared" si="471"/>
        <v>04/02/2026</v>
      </c>
      <c r="J1301" t="str">
        <f t="shared" si="465"/>
        <v>02/02/2026</v>
      </c>
      <c r="K1301">
        <v>46058</v>
      </c>
      <c r="N1301">
        <v>303</v>
      </c>
      <c r="O1301" t="s">
        <v>26</v>
      </c>
      <c r="Q1301">
        <v>102.9</v>
      </c>
      <c r="R1301" t="str">
        <f>"PENSE FARMA 07 (10201)"</f>
        <v>PENSE FARMA 07 (10201)</v>
      </c>
      <c r="S1301" t="s">
        <v>27</v>
      </c>
      <c r="T1301">
        <v>4258</v>
      </c>
      <c r="U1301">
        <v>3634</v>
      </c>
      <c r="V1301" t="s">
        <v>88</v>
      </c>
    </row>
    <row r="1302" spans="1:22">
      <c r="A1302" t="str">
        <f t="shared" si="466"/>
        <v>05/02/2026</v>
      </c>
      <c r="B1302" t="str">
        <f t="shared" si="467"/>
        <v>ENTRADA</v>
      </c>
      <c r="C1302" t="str">
        <f t="shared" si="468"/>
        <v>NFSE</v>
      </c>
      <c r="D1302" t="str">
        <f>"230"</f>
        <v>230</v>
      </c>
      <c r="E1302" t="str">
        <f t="shared" si="469"/>
        <v>1</v>
      </c>
      <c r="F1302" t="str">
        <f t="shared" si="470"/>
        <v>COM</v>
      </c>
      <c r="G1302" t="str">
        <f>"PENSE FARMA 07 (10201)"</f>
        <v>PENSE FARMA 07 (10201)</v>
      </c>
      <c r="H1302" t="s">
        <v>344</v>
      </c>
      <c r="I1302" t="str">
        <f t="shared" si="471"/>
        <v>04/02/2026</v>
      </c>
      <c r="J1302" t="str">
        <f t="shared" si="465"/>
        <v>02/02/2026</v>
      </c>
      <c r="K1302">
        <v>46058</v>
      </c>
      <c r="N1302">
        <v>303</v>
      </c>
      <c r="O1302" t="s">
        <v>26</v>
      </c>
      <c r="Q1302">
        <v>102.9</v>
      </c>
      <c r="R1302" t="str">
        <f>"PENSE FARMA 45 (10209)"</f>
        <v>PENSE FARMA 45 (10209)</v>
      </c>
      <c r="S1302" t="s">
        <v>27</v>
      </c>
      <c r="T1302">
        <v>4258</v>
      </c>
      <c r="U1302">
        <v>3634</v>
      </c>
      <c r="V1302" t="s">
        <v>88</v>
      </c>
    </row>
    <row r="1303" spans="1:22">
      <c r="A1303" t="str">
        <f t="shared" si="466"/>
        <v>05/02/2026</v>
      </c>
      <c r="B1303" t="str">
        <f t="shared" si="467"/>
        <v>ENTRADA</v>
      </c>
      <c r="C1303" t="str">
        <f t="shared" si="468"/>
        <v>NFSE</v>
      </c>
      <c r="D1303" t="str">
        <f>"230"</f>
        <v>230</v>
      </c>
      <c r="E1303" t="str">
        <f t="shared" si="469"/>
        <v>1</v>
      </c>
      <c r="F1303" t="str">
        <f t="shared" si="470"/>
        <v>COM</v>
      </c>
      <c r="G1303" t="str">
        <f>"PENSE FARMA 07 (10201)"</f>
        <v>PENSE FARMA 07 (10201)</v>
      </c>
      <c r="H1303" t="s">
        <v>344</v>
      </c>
      <c r="I1303" t="str">
        <f t="shared" si="471"/>
        <v>04/02/2026</v>
      </c>
      <c r="J1303" t="str">
        <f t="shared" si="465"/>
        <v>02/02/2026</v>
      </c>
      <c r="K1303">
        <v>46058</v>
      </c>
      <c r="N1303">
        <v>303</v>
      </c>
      <c r="O1303" t="s">
        <v>26</v>
      </c>
      <c r="Q1303">
        <v>103.95</v>
      </c>
      <c r="R1303" t="str">
        <f>"PENSE FARMA 50 (10210)"</f>
        <v>PENSE FARMA 50 (10210)</v>
      </c>
      <c r="S1303" t="s">
        <v>27</v>
      </c>
      <c r="T1303">
        <v>4258</v>
      </c>
      <c r="U1303">
        <v>3634</v>
      </c>
      <c r="V1303" t="s">
        <v>88</v>
      </c>
    </row>
    <row r="1304" spans="1:22">
      <c r="A1304" t="str">
        <f t="shared" si="466"/>
        <v>05/02/2026</v>
      </c>
      <c r="B1304" t="str">
        <f t="shared" si="467"/>
        <v>ENTRADA</v>
      </c>
      <c r="C1304" t="str">
        <f t="shared" si="468"/>
        <v>NFSE</v>
      </c>
      <c r="D1304" t="str">
        <f>"231"</f>
        <v>231</v>
      </c>
      <c r="E1304" t="str">
        <f t="shared" si="469"/>
        <v>1</v>
      </c>
      <c r="F1304" t="str">
        <f t="shared" si="470"/>
        <v>COM</v>
      </c>
      <c r="G1304" t="str">
        <f>"PENSE FARMA 31 (10205)"</f>
        <v>PENSE FARMA 31 (10205)</v>
      </c>
      <c r="H1304" t="str">
        <f>"Serv.Prest. 26/01/2026 a 01/02/2026 - RPS: 2155 - NFSe: 231"</f>
        <v>Serv.Prest. 26/01/2026 a 01/02/2026 - RPS: 2155 - NFSe: 231</v>
      </c>
      <c r="I1304" t="str">
        <f t="shared" si="471"/>
        <v>04/02/2026</v>
      </c>
      <c r="J1304" t="str">
        <f t="shared" ref="J1304:J1335" si="472">("02/02/2026")</f>
        <v>02/02/2026</v>
      </c>
      <c r="K1304" t="str">
        <f>("05/02/2026")</f>
        <v>05/02/2026</v>
      </c>
      <c r="L1304">
        <v>540.16999999999996</v>
      </c>
      <c r="M1304">
        <v>540.16999999999996</v>
      </c>
      <c r="N1304">
        <v>303</v>
      </c>
      <c r="O1304" t="str">
        <f>"RECEITAS COM ENTREGAS"</f>
        <v>RECEITAS COM ENTREGAS</v>
      </c>
      <c r="P1304">
        <v>540.16999999999996</v>
      </c>
      <c r="S1304" t="str">
        <f>"RECEITAS COM ENTREGAS (303)"</f>
        <v>RECEITAS COM ENTREGAS (303)</v>
      </c>
      <c r="T1304">
        <v>4259</v>
      </c>
      <c r="U1304">
        <v>3635</v>
      </c>
      <c r="V1304" t="s">
        <v>88</v>
      </c>
    </row>
    <row r="1305" spans="1:22">
      <c r="A1305" t="str">
        <f t="shared" si="466"/>
        <v>05/02/2026</v>
      </c>
      <c r="B1305" t="str">
        <f t="shared" si="467"/>
        <v>ENTRADA</v>
      </c>
      <c r="C1305" t="str">
        <f t="shared" si="468"/>
        <v>NFSE</v>
      </c>
      <c r="D1305" t="str">
        <f>"231"</f>
        <v>231</v>
      </c>
      <c r="E1305" t="str">
        <f t="shared" si="469"/>
        <v>1</v>
      </c>
      <c r="F1305" t="str">
        <f t="shared" si="470"/>
        <v>COM</v>
      </c>
      <c r="G1305" t="str">
        <f>"PENSE FARMA 31 (10205)"</f>
        <v>PENSE FARMA 31 (10205)</v>
      </c>
      <c r="H1305" t="s">
        <v>345</v>
      </c>
      <c r="I1305" t="str">
        <f t="shared" si="471"/>
        <v>04/02/2026</v>
      </c>
      <c r="J1305" t="str">
        <f t="shared" si="472"/>
        <v>02/02/2026</v>
      </c>
      <c r="K1305">
        <v>46058</v>
      </c>
      <c r="N1305">
        <v>303</v>
      </c>
      <c r="O1305" t="s">
        <v>26</v>
      </c>
      <c r="Q1305">
        <v>134.94</v>
      </c>
      <c r="R1305" t="str">
        <f>"PENSE FARMA 31 (10205)"</f>
        <v>PENSE FARMA 31 (10205)</v>
      </c>
      <c r="S1305" t="s">
        <v>27</v>
      </c>
      <c r="T1305">
        <v>4259</v>
      </c>
      <c r="U1305">
        <v>3635</v>
      </c>
      <c r="V1305" t="s">
        <v>88</v>
      </c>
    </row>
    <row r="1306" spans="1:22">
      <c r="A1306" t="str">
        <f t="shared" si="466"/>
        <v>05/02/2026</v>
      </c>
      <c r="B1306" t="str">
        <f t="shared" si="467"/>
        <v>ENTRADA</v>
      </c>
      <c r="C1306" t="str">
        <f t="shared" si="468"/>
        <v>NFSE</v>
      </c>
      <c r="D1306" t="str">
        <f>"231"</f>
        <v>231</v>
      </c>
      <c r="E1306" t="str">
        <f t="shared" si="469"/>
        <v>1</v>
      </c>
      <c r="F1306" t="str">
        <f t="shared" si="470"/>
        <v>COM</v>
      </c>
      <c r="G1306" t="str">
        <f>"PENSE FARMA 31 (10205)"</f>
        <v>PENSE FARMA 31 (10205)</v>
      </c>
      <c r="H1306" t="s">
        <v>345</v>
      </c>
      <c r="I1306" t="str">
        <f t="shared" si="471"/>
        <v>04/02/2026</v>
      </c>
      <c r="J1306" t="str">
        <f t="shared" si="472"/>
        <v>02/02/2026</v>
      </c>
      <c r="K1306">
        <v>46058</v>
      </c>
      <c r="N1306">
        <v>303</v>
      </c>
      <c r="O1306" t="s">
        <v>26</v>
      </c>
      <c r="Q1306">
        <v>134.93</v>
      </c>
      <c r="R1306" t="str">
        <f>"PENSE FARMA 16 (10221)"</f>
        <v>PENSE FARMA 16 (10221)</v>
      </c>
      <c r="S1306" t="s">
        <v>27</v>
      </c>
      <c r="T1306">
        <v>4259</v>
      </c>
      <c r="U1306">
        <v>3635</v>
      </c>
      <c r="V1306" t="s">
        <v>88</v>
      </c>
    </row>
    <row r="1307" spans="1:22">
      <c r="A1307" t="str">
        <f t="shared" si="466"/>
        <v>05/02/2026</v>
      </c>
      <c r="B1307" t="str">
        <f t="shared" si="467"/>
        <v>ENTRADA</v>
      </c>
      <c r="C1307" t="str">
        <f t="shared" si="468"/>
        <v>NFSE</v>
      </c>
      <c r="D1307" t="str">
        <f>"231"</f>
        <v>231</v>
      </c>
      <c r="E1307" t="str">
        <f t="shared" si="469"/>
        <v>1</v>
      </c>
      <c r="F1307" t="str">
        <f t="shared" si="470"/>
        <v>COM</v>
      </c>
      <c r="G1307" t="str">
        <f>"PENSE FARMA 31 (10205)"</f>
        <v>PENSE FARMA 31 (10205)</v>
      </c>
      <c r="H1307" t="s">
        <v>345</v>
      </c>
      <c r="I1307" t="str">
        <f t="shared" si="471"/>
        <v>04/02/2026</v>
      </c>
      <c r="J1307" t="str">
        <f t="shared" si="472"/>
        <v>02/02/2026</v>
      </c>
      <c r="K1307">
        <v>46058</v>
      </c>
      <c r="N1307">
        <v>303</v>
      </c>
      <c r="O1307" t="s">
        <v>26</v>
      </c>
      <c r="Q1307">
        <v>134.93</v>
      </c>
      <c r="R1307" t="str">
        <f>"PENSE FARMA 17 (10222)"</f>
        <v>PENSE FARMA 17 (10222)</v>
      </c>
      <c r="S1307" t="s">
        <v>27</v>
      </c>
      <c r="T1307">
        <v>4259</v>
      </c>
      <c r="U1307">
        <v>3635</v>
      </c>
      <c r="V1307" t="s">
        <v>88</v>
      </c>
    </row>
    <row r="1308" spans="1:22">
      <c r="A1308" t="str">
        <f t="shared" si="466"/>
        <v>05/02/2026</v>
      </c>
      <c r="B1308" t="str">
        <f t="shared" si="467"/>
        <v>ENTRADA</v>
      </c>
      <c r="C1308" t="str">
        <f t="shared" si="468"/>
        <v>NFSE</v>
      </c>
      <c r="D1308" t="str">
        <f>"231"</f>
        <v>231</v>
      </c>
      <c r="E1308" t="str">
        <f t="shared" si="469"/>
        <v>1</v>
      </c>
      <c r="F1308" t="str">
        <f t="shared" si="470"/>
        <v>COM</v>
      </c>
      <c r="G1308" t="str">
        <f>"PENSE FARMA 31 (10205)"</f>
        <v>PENSE FARMA 31 (10205)</v>
      </c>
      <c r="H1308" t="s">
        <v>345</v>
      </c>
      <c r="I1308" t="str">
        <f t="shared" si="471"/>
        <v>04/02/2026</v>
      </c>
      <c r="J1308" t="str">
        <f t="shared" si="472"/>
        <v>02/02/2026</v>
      </c>
      <c r="K1308">
        <v>46058</v>
      </c>
      <c r="N1308">
        <v>303</v>
      </c>
      <c r="O1308" t="s">
        <v>26</v>
      </c>
      <c r="Q1308">
        <v>135.37</v>
      </c>
      <c r="R1308" t="str">
        <f>"PENSE FARMA 62 (10274)"</f>
        <v>PENSE FARMA 62 (10274)</v>
      </c>
      <c r="S1308" t="s">
        <v>27</v>
      </c>
      <c r="T1308">
        <v>4259</v>
      </c>
      <c r="U1308">
        <v>3635</v>
      </c>
      <c r="V1308" t="s">
        <v>88</v>
      </c>
    </row>
    <row r="1309" spans="1:22">
      <c r="A1309" t="str">
        <f t="shared" si="466"/>
        <v>05/02/2026</v>
      </c>
      <c r="B1309" t="str">
        <f t="shared" si="467"/>
        <v>ENTRADA</v>
      </c>
      <c r="C1309" t="str">
        <f t="shared" si="468"/>
        <v>NFSE</v>
      </c>
      <c r="D1309" t="str">
        <f>"246"</f>
        <v>246</v>
      </c>
      <c r="E1309" t="str">
        <f t="shared" si="469"/>
        <v>1</v>
      </c>
      <c r="F1309" t="str">
        <f t="shared" si="470"/>
        <v>COM</v>
      </c>
      <c r="G1309" t="str">
        <f>"PENSE FARMA 46 (10194)"</f>
        <v>PENSE FARMA 46 (10194)</v>
      </c>
      <c r="H1309" t="str">
        <f>"Serv.Prest. 26/01/2026 a 01/02/2026 - RPS: 2170 - NFSe: 246"</f>
        <v>Serv.Prest. 26/01/2026 a 01/02/2026 - RPS: 2170 - NFSe: 246</v>
      </c>
      <c r="I1309" t="str">
        <f t="shared" si="471"/>
        <v>04/02/2026</v>
      </c>
      <c r="J1309" t="str">
        <f t="shared" si="472"/>
        <v>02/02/2026</v>
      </c>
      <c r="K1309" t="str">
        <f>("05/02/2026")</f>
        <v>05/02/2026</v>
      </c>
      <c r="L1309">
        <v>342</v>
      </c>
      <c r="M1309">
        <v>342</v>
      </c>
      <c r="N1309">
        <v>303</v>
      </c>
      <c r="O1309" t="str">
        <f>"RECEITAS COM ENTREGAS"</f>
        <v>RECEITAS COM ENTREGAS</v>
      </c>
      <c r="P1309">
        <v>342</v>
      </c>
      <c r="S1309" t="str">
        <f>"RECEITAS COM ENTREGAS (303)"</f>
        <v>RECEITAS COM ENTREGAS (303)</v>
      </c>
      <c r="T1309">
        <v>4260</v>
      </c>
      <c r="U1309">
        <v>3650</v>
      </c>
      <c r="V1309" t="s">
        <v>88</v>
      </c>
    </row>
    <row r="1310" spans="1:22">
      <c r="A1310" t="str">
        <f t="shared" si="466"/>
        <v>05/02/2026</v>
      </c>
      <c r="B1310" t="str">
        <f t="shared" si="467"/>
        <v>ENTRADA</v>
      </c>
      <c r="C1310" t="str">
        <f t="shared" si="468"/>
        <v>NFSE</v>
      </c>
      <c r="D1310" t="str">
        <f>"246"</f>
        <v>246</v>
      </c>
      <c r="E1310" t="str">
        <f t="shared" si="469"/>
        <v>1</v>
      </c>
      <c r="F1310" t="str">
        <f t="shared" si="470"/>
        <v>COM</v>
      </c>
      <c r="G1310" t="str">
        <f>"PENSE FARMA 46 (10194)"</f>
        <v>PENSE FARMA 46 (10194)</v>
      </c>
      <c r="H1310" t="s">
        <v>346</v>
      </c>
      <c r="I1310" t="str">
        <f t="shared" si="471"/>
        <v>04/02/2026</v>
      </c>
      <c r="J1310" t="str">
        <f t="shared" si="472"/>
        <v>02/02/2026</v>
      </c>
      <c r="K1310">
        <v>46058</v>
      </c>
      <c r="N1310">
        <v>303</v>
      </c>
      <c r="O1310" t="s">
        <v>26</v>
      </c>
      <c r="Q1310">
        <v>342</v>
      </c>
      <c r="R1310" t="str">
        <f>"PENSE FARMA 46 (10194)"</f>
        <v>PENSE FARMA 46 (10194)</v>
      </c>
      <c r="S1310" t="s">
        <v>27</v>
      </c>
      <c r="T1310">
        <v>4260</v>
      </c>
      <c r="U1310">
        <v>3650</v>
      </c>
      <c r="V1310" t="s">
        <v>88</v>
      </c>
    </row>
    <row r="1311" spans="1:22">
      <c r="A1311" t="str">
        <f t="shared" si="466"/>
        <v>05/02/2026</v>
      </c>
      <c r="B1311" t="str">
        <f t="shared" si="467"/>
        <v>ENTRADA</v>
      </c>
      <c r="C1311" t="str">
        <f t="shared" si="468"/>
        <v>NFSE</v>
      </c>
      <c r="D1311" t="str">
        <f>"233"</f>
        <v>233</v>
      </c>
      <c r="E1311" t="str">
        <f t="shared" si="469"/>
        <v>1</v>
      </c>
      <c r="F1311" t="str">
        <f t="shared" si="470"/>
        <v>COM</v>
      </c>
      <c r="G1311" t="str">
        <f>"PENSE FARMA 49 (10234)"</f>
        <v>PENSE FARMA 49 (10234)</v>
      </c>
      <c r="H1311" t="str">
        <f>"Serv.Prest. 26/01/2026 a 01/02/2026 - RPS: 2157 - NFSe: 233"</f>
        <v>Serv.Prest. 26/01/2026 a 01/02/2026 - RPS: 2157 - NFSe: 233</v>
      </c>
      <c r="I1311" t="str">
        <f t="shared" si="471"/>
        <v>04/02/2026</v>
      </c>
      <c r="J1311" t="str">
        <f t="shared" si="472"/>
        <v>02/02/2026</v>
      </c>
      <c r="K1311" t="str">
        <f>("05/02/2026")</f>
        <v>05/02/2026</v>
      </c>
      <c r="L1311">
        <v>213.43</v>
      </c>
      <c r="M1311">
        <v>213.43</v>
      </c>
      <c r="N1311">
        <v>303</v>
      </c>
      <c r="O1311" t="str">
        <f>"RECEITAS COM ENTREGAS"</f>
        <v>RECEITAS COM ENTREGAS</v>
      </c>
      <c r="P1311">
        <v>213.43</v>
      </c>
      <c r="S1311" t="str">
        <f>"RECEITAS COM ENTREGAS (303)"</f>
        <v>RECEITAS COM ENTREGAS (303)</v>
      </c>
      <c r="T1311">
        <v>4261</v>
      </c>
      <c r="U1311">
        <v>3637</v>
      </c>
      <c r="V1311" t="s">
        <v>88</v>
      </c>
    </row>
    <row r="1312" spans="1:22">
      <c r="A1312" t="str">
        <f t="shared" si="466"/>
        <v>05/02/2026</v>
      </c>
      <c r="B1312" t="str">
        <f t="shared" si="467"/>
        <v>ENTRADA</v>
      </c>
      <c r="C1312" t="str">
        <f t="shared" si="468"/>
        <v>NFSE</v>
      </c>
      <c r="D1312" t="str">
        <f>"233"</f>
        <v>233</v>
      </c>
      <c r="E1312" t="str">
        <f t="shared" si="469"/>
        <v>1</v>
      </c>
      <c r="F1312" t="str">
        <f t="shared" si="470"/>
        <v>COM</v>
      </c>
      <c r="G1312" t="str">
        <f>"PENSE FARMA 49 (10234)"</f>
        <v>PENSE FARMA 49 (10234)</v>
      </c>
      <c r="H1312" t="s">
        <v>347</v>
      </c>
      <c r="I1312" t="str">
        <f t="shared" si="471"/>
        <v>04/02/2026</v>
      </c>
      <c r="J1312" t="str">
        <f t="shared" si="472"/>
        <v>02/02/2026</v>
      </c>
      <c r="K1312">
        <v>46058</v>
      </c>
      <c r="N1312">
        <v>303</v>
      </c>
      <c r="O1312" t="s">
        <v>26</v>
      </c>
      <c r="Q1312">
        <v>213.43</v>
      </c>
      <c r="R1312" t="str">
        <f>"PENSE FARMA 49 (10234)"</f>
        <v>PENSE FARMA 49 (10234)</v>
      </c>
      <c r="S1312" t="s">
        <v>27</v>
      </c>
      <c r="T1312">
        <v>4261</v>
      </c>
      <c r="U1312">
        <v>3637</v>
      </c>
      <c r="V1312" t="s">
        <v>88</v>
      </c>
    </row>
    <row r="1313" spans="1:22">
      <c r="A1313" t="str">
        <f t="shared" si="466"/>
        <v>05/02/2026</v>
      </c>
      <c r="B1313" t="str">
        <f t="shared" si="467"/>
        <v>ENTRADA</v>
      </c>
      <c r="C1313" t="str">
        <f t="shared" si="468"/>
        <v>NFSE</v>
      </c>
      <c r="D1313" t="str">
        <f t="shared" ref="D1313:D1318" si="473">"234"</f>
        <v>234</v>
      </c>
      <c r="E1313" t="str">
        <f t="shared" si="469"/>
        <v>1</v>
      </c>
      <c r="F1313" t="str">
        <f t="shared" si="470"/>
        <v>COM</v>
      </c>
      <c r="G1313" t="str">
        <f t="shared" ref="G1313:G1318" si="474">"PENSE FARMA 08 (10217)"</f>
        <v>PENSE FARMA 08 (10217)</v>
      </c>
      <c r="H1313" t="str">
        <f>"Serv.Prest. 26/01/2026 a 01/02/2026 - RPS: 2158 - NFSe: 234"</f>
        <v>Serv.Prest. 26/01/2026 a 01/02/2026 - RPS: 2158 - NFSe: 234</v>
      </c>
      <c r="I1313" t="str">
        <f t="shared" si="471"/>
        <v>04/02/2026</v>
      </c>
      <c r="J1313" t="str">
        <f t="shared" si="472"/>
        <v>02/02/2026</v>
      </c>
      <c r="K1313" t="str">
        <f>("05/02/2026")</f>
        <v>05/02/2026</v>
      </c>
      <c r="L1313">
        <v>589.5</v>
      </c>
      <c r="M1313">
        <v>589.5</v>
      </c>
      <c r="N1313">
        <v>303</v>
      </c>
      <c r="O1313" t="str">
        <f>"RECEITAS COM ENTREGAS"</f>
        <v>RECEITAS COM ENTREGAS</v>
      </c>
      <c r="P1313">
        <v>589.5</v>
      </c>
      <c r="S1313" t="str">
        <f>"RECEITAS COM ENTREGAS (303)"</f>
        <v>RECEITAS COM ENTREGAS (303)</v>
      </c>
      <c r="T1313">
        <v>4262</v>
      </c>
      <c r="U1313">
        <v>3638</v>
      </c>
      <c r="V1313" t="s">
        <v>88</v>
      </c>
    </row>
    <row r="1314" spans="1:22">
      <c r="A1314" t="str">
        <f t="shared" si="466"/>
        <v>05/02/2026</v>
      </c>
      <c r="B1314" t="str">
        <f t="shared" si="467"/>
        <v>ENTRADA</v>
      </c>
      <c r="C1314" t="str">
        <f t="shared" si="468"/>
        <v>NFSE</v>
      </c>
      <c r="D1314" t="str">
        <f t="shared" si="473"/>
        <v>234</v>
      </c>
      <c r="E1314" t="str">
        <f t="shared" si="469"/>
        <v>1</v>
      </c>
      <c r="F1314" t="str">
        <f t="shared" si="470"/>
        <v>COM</v>
      </c>
      <c r="G1314" t="str">
        <f t="shared" si="474"/>
        <v>PENSE FARMA 08 (10217)</v>
      </c>
      <c r="H1314" t="s">
        <v>348</v>
      </c>
      <c r="I1314" t="str">
        <f t="shared" si="471"/>
        <v>04/02/2026</v>
      </c>
      <c r="J1314" t="str">
        <f t="shared" si="472"/>
        <v>02/02/2026</v>
      </c>
      <c r="K1314">
        <v>46058</v>
      </c>
      <c r="N1314">
        <v>303</v>
      </c>
      <c r="O1314" t="s">
        <v>26</v>
      </c>
      <c r="Q1314">
        <v>117.9</v>
      </c>
      <c r="R1314" t="str">
        <f>"PENSE FARMA 08 (10217)"</f>
        <v>PENSE FARMA 08 (10217)</v>
      </c>
      <c r="S1314" t="s">
        <v>27</v>
      </c>
      <c r="T1314">
        <v>4262</v>
      </c>
      <c r="U1314">
        <v>3638</v>
      </c>
      <c r="V1314" t="s">
        <v>88</v>
      </c>
    </row>
    <row r="1315" spans="1:22">
      <c r="A1315" t="str">
        <f t="shared" si="466"/>
        <v>05/02/2026</v>
      </c>
      <c r="B1315" t="str">
        <f t="shared" si="467"/>
        <v>ENTRADA</v>
      </c>
      <c r="C1315" t="str">
        <f t="shared" si="468"/>
        <v>NFSE</v>
      </c>
      <c r="D1315" t="str">
        <f t="shared" si="473"/>
        <v>234</v>
      </c>
      <c r="E1315" t="str">
        <f t="shared" si="469"/>
        <v>1</v>
      </c>
      <c r="F1315" t="str">
        <f t="shared" si="470"/>
        <v>COM</v>
      </c>
      <c r="G1315" t="str">
        <f t="shared" si="474"/>
        <v>PENSE FARMA 08 (10217)</v>
      </c>
      <c r="H1315" t="s">
        <v>348</v>
      </c>
      <c r="I1315" t="str">
        <f t="shared" si="471"/>
        <v>04/02/2026</v>
      </c>
      <c r="J1315" t="str">
        <f t="shared" si="472"/>
        <v>02/02/2026</v>
      </c>
      <c r="K1315">
        <v>46058</v>
      </c>
      <c r="N1315">
        <v>303</v>
      </c>
      <c r="O1315" t="s">
        <v>26</v>
      </c>
      <c r="Q1315">
        <v>117.9</v>
      </c>
      <c r="R1315" t="str">
        <f>"PENSE FARMA 11 (10220)"</f>
        <v>PENSE FARMA 11 (10220)</v>
      </c>
      <c r="S1315" t="s">
        <v>27</v>
      </c>
      <c r="T1315">
        <v>4262</v>
      </c>
      <c r="U1315">
        <v>3638</v>
      </c>
      <c r="V1315" t="s">
        <v>88</v>
      </c>
    </row>
    <row r="1316" spans="1:22">
      <c r="A1316" t="str">
        <f t="shared" si="466"/>
        <v>05/02/2026</v>
      </c>
      <c r="B1316" t="str">
        <f t="shared" si="467"/>
        <v>ENTRADA</v>
      </c>
      <c r="C1316" t="str">
        <f t="shared" si="468"/>
        <v>NFSE</v>
      </c>
      <c r="D1316" t="str">
        <f t="shared" si="473"/>
        <v>234</v>
      </c>
      <c r="E1316" t="str">
        <f t="shared" si="469"/>
        <v>1</v>
      </c>
      <c r="F1316" t="str">
        <f t="shared" si="470"/>
        <v>COM</v>
      </c>
      <c r="G1316" t="str">
        <f t="shared" si="474"/>
        <v>PENSE FARMA 08 (10217)</v>
      </c>
      <c r="H1316" t="s">
        <v>348</v>
      </c>
      <c r="I1316" t="str">
        <f t="shared" si="471"/>
        <v>04/02/2026</v>
      </c>
      <c r="J1316" t="str">
        <f t="shared" si="472"/>
        <v>02/02/2026</v>
      </c>
      <c r="K1316">
        <v>46058</v>
      </c>
      <c r="N1316">
        <v>303</v>
      </c>
      <c r="O1316" t="s">
        <v>26</v>
      </c>
      <c r="Q1316">
        <v>117.9</v>
      </c>
      <c r="R1316" t="str">
        <f>"PENSE FARMA 41 (10229)"</f>
        <v>PENSE FARMA 41 (10229)</v>
      </c>
      <c r="S1316" t="s">
        <v>27</v>
      </c>
      <c r="T1316">
        <v>4262</v>
      </c>
      <c r="U1316">
        <v>3638</v>
      </c>
      <c r="V1316" t="s">
        <v>88</v>
      </c>
    </row>
    <row r="1317" spans="1:22">
      <c r="A1317" t="str">
        <f t="shared" si="466"/>
        <v>05/02/2026</v>
      </c>
      <c r="B1317" t="str">
        <f t="shared" si="467"/>
        <v>ENTRADA</v>
      </c>
      <c r="C1317" t="str">
        <f t="shared" si="468"/>
        <v>NFSE</v>
      </c>
      <c r="D1317" t="str">
        <f t="shared" si="473"/>
        <v>234</v>
      </c>
      <c r="E1317" t="str">
        <f t="shared" si="469"/>
        <v>1</v>
      </c>
      <c r="F1317" t="str">
        <f t="shared" si="470"/>
        <v>COM</v>
      </c>
      <c r="G1317" t="str">
        <f t="shared" si="474"/>
        <v>PENSE FARMA 08 (10217)</v>
      </c>
      <c r="H1317" t="s">
        <v>348</v>
      </c>
      <c r="I1317" t="str">
        <f t="shared" si="471"/>
        <v>04/02/2026</v>
      </c>
      <c r="J1317" t="str">
        <f t="shared" si="472"/>
        <v>02/02/2026</v>
      </c>
      <c r="K1317">
        <v>46058</v>
      </c>
      <c r="N1317">
        <v>303</v>
      </c>
      <c r="O1317" t="s">
        <v>26</v>
      </c>
      <c r="Q1317">
        <v>117.9</v>
      </c>
      <c r="R1317" t="str">
        <f>"PENSE FARMA 42 (10230)"</f>
        <v>PENSE FARMA 42 (10230)</v>
      </c>
      <c r="S1317" t="s">
        <v>27</v>
      </c>
      <c r="T1317">
        <v>4262</v>
      </c>
      <c r="U1317">
        <v>3638</v>
      </c>
      <c r="V1317" t="s">
        <v>88</v>
      </c>
    </row>
    <row r="1318" spans="1:22">
      <c r="A1318" t="str">
        <f t="shared" si="466"/>
        <v>05/02/2026</v>
      </c>
      <c r="B1318" t="str">
        <f t="shared" si="467"/>
        <v>ENTRADA</v>
      </c>
      <c r="C1318" t="str">
        <f t="shared" si="468"/>
        <v>NFSE</v>
      </c>
      <c r="D1318" t="str">
        <f t="shared" si="473"/>
        <v>234</v>
      </c>
      <c r="E1318" t="str">
        <f t="shared" si="469"/>
        <v>1</v>
      </c>
      <c r="F1318" t="str">
        <f t="shared" si="470"/>
        <v>COM</v>
      </c>
      <c r="G1318" t="str">
        <f t="shared" si="474"/>
        <v>PENSE FARMA 08 (10217)</v>
      </c>
      <c r="H1318" t="s">
        <v>348</v>
      </c>
      <c r="I1318" t="str">
        <f t="shared" si="471"/>
        <v>04/02/2026</v>
      </c>
      <c r="J1318" t="str">
        <f t="shared" si="472"/>
        <v>02/02/2026</v>
      </c>
      <c r="K1318">
        <v>46058</v>
      </c>
      <c r="N1318">
        <v>303</v>
      </c>
      <c r="O1318" t="s">
        <v>26</v>
      </c>
      <c r="Q1318">
        <v>117.9</v>
      </c>
      <c r="R1318" t="str">
        <f>"PENSE FARMA 52 (10236)"</f>
        <v>PENSE FARMA 52 (10236)</v>
      </c>
      <c r="S1318" t="s">
        <v>27</v>
      </c>
      <c r="T1318">
        <v>4262</v>
      </c>
      <c r="U1318">
        <v>3638</v>
      </c>
      <c r="V1318" t="s">
        <v>88</v>
      </c>
    </row>
    <row r="1319" spans="1:22">
      <c r="A1319" t="str">
        <f t="shared" si="466"/>
        <v>05/02/2026</v>
      </c>
      <c r="B1319" t="str">
        <f t="shared" si="467"/>
        <v>ENTRADA</v>
      </c>
      <c r="C1319" t="str">
        <f t="shared" si="468"/>
        <v>NFSE</v>
      </c>
      <c r="D1319" t="str">
        <f>"235"</f>
        <v>235</v>
      </c>
      <c r="E1319" t="str">
        <f t="shared" si="469"/>
        <v>1</v>
      </c>
      <c r="F1319" t="str">
        <f t="shared" si="470"/>
        <v>COM</v>
      </c>
      <c r="G1319" t="str">
        <f>"PENSE FARMA 39 (10228)"</f>
        <v>PENSE FARMA 39 (10228)</v>
      </c>
      <c r="H1319" t="str">
        <f>"Serv.Prest. 26/01/2026 a 01/02/2026 - RPS: 2159 - NFSe: 235"</f>
        <v>Serv.Prest. 26/01/2026 a 01/02/2026 - RPS: 2159 - NFSe: 235</v>
      </c>
      <c r="I1319" t="str">
        <f t="shared" si="471"/>
        <v>04/02/2026</v>
      </c>
      <c r="J1319" t="str">
        <f t="shared" si="472"/>
        <v>02/02/2026</v>
      </c>
      <c r="K1319" t="str">
        <f>("05/02/2026")</f>
        <v>05/02/2026</v>
      </c>
      <c r="L1319">
        <v>599.98</v>
      </c>
      <c r="M1319">
        <v>599.98</v>
      </c>
      <c r="N1319">
        <v>303</v>
      </c>
      <c r="O1319" t="str">
        <f>"RECEITAS COM ENTREGAS"</f>
        <v>RECEITAS COM ENTREGAS</v>
      </c>
      <c r="P1319">
        <v>599.98</v>
      </c>
      <c r="S1319" t="str">
        <f>"RECEITAS COM ENTREGAS (303)"</f>
        <v>RECEITAS COM ENTREGAS (303)</v>
      </c>
      <c r="T1319">
        <v>4263</v>
      </c>
      <c r="U1319">
        <v>3639</v>
      </c>
      <c r="V1319" t="s">
        <v>88</v>
      </c>
    </row>
    <row r="1320" spans="1:22">
      <c r="A1320" t="str">
        <f t="shared" ref="A1320:A1351" si="475">("05/02/2026")</f>
        <v>05/02/2026</v>
      </c>
      <c r="B1320" t="str">
        <f t="shared" si="467"/>
        <v>ENTRADA</v>
      </c>
      <c r="C1320" t="str">
        <f t="shared" si="468"/>
        <v>NFSE</v>
      </c>
      <c r="D1320" t="str">
        <f>"235"</f>
        <v>235</v>
      </c>
      <c r="E1320" t="str">
        <f t="shared" si="469"/>
        <v>1</v>
      </c>
      <c r="F1320" t="str">
        <f t="shared" si="470"/>
        <v>COM</v>
      </c>
      <c r="G1320" t="str">
        <f>"PENSE FARMA 39 (10228)"</f>
        <v>PENSE FARMA 39 (10228)</v>
      </c>
      <c r="H1320" t="s">
        <v>349</v>
      </c>
      <c r="I1320" t="str">
        <f t="shared" si="471"/>
        <v>04/02/2026</v>
      </c>
      <c r="J1320" t="str">
        <f t="shared" si="472"/>
        <v>02/02/2026</v>
      </c>
      <c r="K1320">
        <v>46058</v>
      </c>
      <c r="N1320">
        <v>303</v>
      </c>
      <c r="O1320" t="s">
        <v>26</v>
      </c>
      <c r="Q1320">
        <v>148.85</v>
      </c>
      <c r="R1320" t="str">
        <f>"PENSE FARMA 02 (10199)"</f>
        <v>PENSE FARMA 02 (10199)</v>
      </c>
      <c r="S1320" t="s">
        <v>27</v>
      </c>
      <c r="T1320">
        <v>4263</v>
      </c>
      <c r="U1320">
        <v>3639</v>
      </c>
      <c r="V1320" t="s">
        <v>88</v>
      </c>
    </row>
    <row r="1321" spans="1:22">
      <c r="A1321" t="str">
        <f t="shared" si="475"/>
        <v>05/02/2026</v>
      </c>
      <c r="B1321" t="str">
        <f t="shared" si="467"/>
        <v>ENTRADA</v>
      </c>
      <c r="C1321" t="str">
        <f t="shared" si="468"/>
        <v>NFSE</v>
      </c>
      <c r="D1321" t="str">
        <f>"235"</f>
        <v>235</v>
      </c>
      <c r="E1321" t="str">
        <f t="shared" si="469"/>
        <v>1</v>
      </c>
      <c r="F1321" t="str">
        <f t="shared" si="470"/>
        <v>COM</v>
      </c>
      <c r="G1321" t="str">
        <f>"PENSE FARMA 39 (10228)"</f>
        <v>PENSE FARMA 39 (10228)</v>
      </c>
      <c r="H1321" t="s">
        <v>349</v>
      </c>
      <c r="I1321" t="str">
        <f t="shared" si="471"/>
        <v>04/02/2026</v>
      </c>
      <c r="J1321" t="str">
        <f t="shared" si="472"/>
        <v>02/02/2026</v>
      </c>
      <c r="K1321">
        <v>46058</v>
      </c>
      <c r="N1321">
        <v>303</v>
      </c>
      <c r="O1321" t="s">
        <v>26</v>
      </c>
      <c r="Q1321">
        <v>148.86000000000001</v>
      </c>
      <c r="R1321" t="str">
        <f>"PENSE FARMA 01 (10215)"</f>
        <v>PENSE FARMA 01 (10215)</v>
      </c>
      <c r="S1321" t="s">
        <v>27</v>
      </c>
      <c r="T1321">
        <v>4263</v>
      </c>
      <c r="U1321">
        <v>3639</v>
      </c>
      <c r="V1321" t="s">
        <v>88</v>
      </c>
    </row>
    <row r="1322" spans="1:22">
      <c r="A1322" t="str">
        <f t="shared" si="475"/>
        <v>05/02/2026</v>
      </c>
      <c r="B1322" t="str">
        <f t="shared" si="467"/>
        <v>ENTRADA</v>
      </c>
      <c r="C1322" t="str">
        <f t="shared" si="468"/>
        <v>NFSE</v>
      </c>
      <c r="D1322" t="str">
        <f>"235"</f>
        <v>235</v>
      </c>
      <c r="E1322" t="str">
        <f t="shared" si="469"/>
        <v>1</v>
      </c>
      <c r="F1322" t="str">
        <f t="shared" si="470"/>
        <v>COM</v>
      </c>
      <c r="G1322" t="str">
        <f>"PENSE FARMA 39 (10228)"</f>
        <v>PENSE FARMA 39 (10228)</v>
      </c>
      <c r="H1322" t="s">
        <v>349</v>
      </c>
      <c r="I1322" t="str">
        <f t="shared" si="471"/>
        <v>04/02/2026</v>
      </c>
      <c r="J1322" t="str">
        <f t="shared" si="472"/>
        <v>02/02/2026</v>
      </c>
      <c r="K1322">
        <v>46058</v>
      </c>
      <c r="N1322">
        <v>303</v>
      </c>
      <c r="O1322" t="s">
        <v>26</v>
      </c>
      <c r="Q1322">
        <v>148.86000000000001</v>
      </c>
      <c r="R1322" t="str">
        <f>"PENSE FARMA 03 (10216)"</f>
        <v>PENSE FARMA 03 (10216)</v>
      </c>
      <c r="S1322" t="s">
        <v>27</v>
      </c>
      <c r="T1322">
        <v>4263</v>
      </c>
      <c r="U1322">
        <v>3639</v>
      </c>
      <c r="V1322" t="s">
        <v>88</v>
      </c>
    </row>
    <row r="1323" spans="1:22">
      <c r="A1323" t="str">
        <f t="shared" si="475"/>
        <v>05/02/2026</v>
      </c>
      <c r="B1323" t="str">
        <f t="shared" si="467"/>
        <v>ENTRADA</v>
      </c>
      <c r="C1323" t="str">
        <f t="shared" si="468"/>
        <v>NFSE</v>
      </c>
      <c r="D1323" t="str">
        <f>"235"</f>
        <v>235</v>
      </c>
      <c r="E1323" t="str">
        <f t="shared" si="469"/>
        <v>1</v>
      </c>
      <c r="F1323" t="str">
        <f t="shared" si="470"/>
        <v>COM</v>
      </c>
      <c r="G1323" t="str">
        <f>"PENSE FARMA 39 (10228)"</f>
        <v>PENSE FARMA 39 (10228)</v>
      </c>
      <c r="H1323" t="s">
        <v>349</v>
      </c>
      <c r="I1323" t="str">
        <f t="shared" si="471"/>
        <v>04/02/2026</v>
      </c>
      <c r="J1323" t="str">
        <f t="shared" si="472"/>
        <v>02/02/2026</v>
      </c>
      <c r="K1323">
        <v>46058</v>
      </c>
      <c r="N1323">
        <v>303</v>
      </c>
      <c r="O1323" t="s">
        <v>26</v>
      </c>
      <c r="Q1323">
        <v>153.41</v>
      </c>
      <c r="R1323" t="str">
        <f>"PENSE FARMA 39 (10228)"</f>
        <v>PENSE FARMA 39 (10228)</v>
      </c>
      <c r="S1323" t="s">
        <v>27</v>
      </c>
      <c r="T1323">
        <v>4263</v>
      </c>
      <c r="U1323">
        <v>3639</v>
      </c>
      <c r="V1323" t="s">
        <v>88</v>
      </c>
    </row>
    <row r="1324" spans="1:22">
      <c r="A1324" t="str">
        <f t="shared" si="475"/>
        <v>05/02/2026</v>
      </c>
      <c r="B1324" t="str">
        <f t="shared" si="467"/>
        <v>ENTRADA</v>
      </c>
      <c r="C1324" t="str">
        <f t="shared" si="468"/>
        <v>NFSE</v>
      </c>
      <c r="D1324" t="str">
        <f>"236"</f>
        <v>236</v>
      </c>
      <c r="E1324" t="str">
        <f t="shared" si="469"/>
        <v>1</v>
      </c>
      <c r="F1324" t="str">
        <f t="shared" si="470"/>
        <v>COM</v>
      </c>
      <c r="G1324" t="str">
        <f>"PENSE FARMA 25 (10224)"</f>
        <v>PENSE FARMA 25 (10224)</v>
      </c>
      <c r="H1324" t="str">
        <f>"Serv.Prest. 26/01/2026 a 01/02/2026 - RPS: 2160 - NFSe: 236"</f>
        <v>Serv.Prest. 26/01/2026 a 01/02/2026 - RPS: 2160 - NFSe: 236</v>
      </c>
      <c r="I1324" t="str">
        <f t="shared" si="471"/>
        <v>04/02/2026</v>
      </c>
      <c r="J1324" t="str">
        <f t="shared" si="472"/>
        <v>02/02/2026</v>
      </c>
      <c r="K1324" t="str">
        <f>("05/02/2026")</f>
        <v>05/02/2026</v>
      </c>
      <c r="L1324">
        <v>320.5</v>
      </c>
      <c r="M1324">
        <v>320.5</v>
      </c>
      <c r="N1324">
        <v>303</v>
      </c>
      <c r="O1324" t="str">
        <f>"RECEITAS COM ENTREGAS"</f>
        <v>RECEITAS COM ENTREGAS</v>
      </c>
      <c r="P1324">
        <v>320.5</v>
      </c>
      <c r="S1324" t="str">
        <f>"RECEITAS COM ENTREGAS (303)"</f>
        <v>RECEITAS COM ENTREGAS (303)</v>
      </c>
      <c r="T1324">
        <v>4264</v>
      </c>
      <c r="U1324">
        <v>3640</v>
      </c>
      <c r="V1324" t="s">
        <v>88</v>
      </c>
    </row>
    <row r="1325" spans="1:22">
      <c r="A1325" t="str">
        <f t="shared" si="475"/>
        <v>05/02/2026</v>
      </c>
      <c r="B1325" t="str">
        <f t="shared" si="467"/>
        <v>ENTRADA</v>
      </c>
      <c r="C1325" t="str">
        <f t="shared" si="468"/>
        <v>NFSE</v>
      </c>
      <c r="D1325" t="str">
        <f>"236"</f>
        <v>236</v>
      </c>
      <c r="E1325" t="str">
        <f t="shared" si="469"/>
        <v>1</v>
      </c>
      <c r="F1325" t="str">
        <f t="shared" si="470"/>
        <v>COM</v>
      </c>
      <c r="G1325" t="str">
        <f>"PENSE FARMA 25 (10224)"</f>
        <v>PENSE FARMA 25 (10224)</v>
      </c>
      <c r="H1325" t="s">
        <v>350</v>
      </c>
      <c r="I1325" t="str">
        <f t="shared" si="471"/>
        <v>04/02/2026</v>
      </c>
      <c r="J1325" t="str">
        <f t="shared" si="472"/>
        <v>02/02/2026</v>
      </c>
      <c r="K1325">
        <v>46058</v>
      </c>
      <c r="N1325">
        <v>303</v>
      </c>
      <c r="O1325" t="s">
        <v>26</v>
      </c>
      <c r="Q1325">
        <v>320.5</v>
      </c>
      <c r="R1325" t="str">
        <f>"PENSE FARMA 25 (10224)"</f>
        <v>PENSE FARMA 25 (10224)</v>
      </c>
      <c r="S1325" t="s">
        <v>27</v>
      </c>
      <c r="T1325">
        <v>4264</v>
      </c>
      <c r="U1325">
        <v>3640</v>
      </c>
      <c r="V1325" t="s">
        <v>88</v>
      </c>
    </row>
    <row r="1326" spans="1:22">
      <c r="A1326" t="str">
        <f t="shared" si="475"/>
        <v>05/02/2026</v>
      </c>
      <c r="B1326" t="str">
        <f t="shared" si="467"/>
        <v>ENTRADA</v>
      </c>
      <c r="C1326" t="str">
        <f t="shared" si="468"/>
        <v>NFSE</v>
      </c>
      <c r="D1326" t="str">
        <f>"237"</f>
        <v>237</v>
      </c>
      <c r="E1326" t="str">
        <f t="shared" si="469"/>
        <v>1</v>
      </c>
      <c r="F1326" t="str">
        <f t="shared" si="470"/>
        <v>COM</v>
      </c>
      <c r="G1326" t="str">
        <f>"PENSE FARMA 27 (10204)"</f>
        <v>PENSE FARMA 27 (10204)</v>
      </c>
      <c r="H1326" t="str">
        <f>"Serv.Prest. 26/01/2026 a 01/02/2026 - RPS: 2161 - NFSe: 237"</f>
        <v>Serv.Prest. 26/01/2026 a 01/02/2026 - RPS: 2161 - NFSe: 237</v>
      </c>
      <c r="I1326" t="str">
        <f t="shared" si="471"/>
        <v>04/02/2026</v>
      </c>
      <c r="J1326" t="str">
        <f t="shared" si="472"/>
        <v>02/02/2026</v>
      </c>
      <c r="K1326" t="str">
        <f>("05/02/2026")</f>
        <v>05/02/2026</v>
      </c>
      <c r="L1326">
        <v>577.5</v>
      </c>
      <c r="M1326">
        <v>577.5</v>
      </c>
      <c r="N1326">
        <v>303</v>
      </c>
      <c r="O1326" t="str">
        <f>"RECEITAS COM ENTREGAS"</f>
        <v>RECEITAS COM ENTREGAS</v>
      </c>
      <c r="P1326">
        <v>577.5</v>
      </c>
      <c r="S1326" t="str">
        <f>"RECEITAS COM ENTREGAS (303)"</f>
        <v>RECEITAS COM ENTREGAS (303)</v>
      </c>
      <c r="T1326">
        <v>4265</v>
      </c>
      <c r="U1326">
        <v>3641</v>
      </c>
      <c r="V1326" t="s">
        <v>88</v>
      </c>
    </row>
    <row r="1327" spans="1:22">
      <c r="A1327" t="str">
        <f t="shared" si="475"/>
        <v>05/02/2026</v>
      </c>
      <c r="B1327" t="str">
        <f t="shared" ref="B1327:B1362" si="476">"ENTRADA"</f>
        <v>ENTRADA</v>
      </c>
      <c r="C1327" t="str">
        <f t="shared" si="468"/>
        <v>NFSE</v>
      </c>
      <c r="D1327" t="str">
        <f>"237"</f>
        <v>237</v>
      </c>
      <c r="E1327" t="str">
        <f t="shared" si="469"/>
        <v>1</v>
      </c>
      <c r="F1327" t="str">
        <f t="shared" si="470"/>
        <v>COM</v>
      </c>
      <c r="G1327" t="str">
        <f>"PENSE FARMA 27 (10204)"</f>
        <v>PENSE FARMA 27 (10204)</v>
      </c>
      <c r="H1327" t="s">
        <v>351</v>
      </c>
      <c r="I1327" t="str">
        <f t="shared" si="471"/>
        <v>04/02/2026</v>
      </c>
      <c r="J1327" t="str">
        <f t="shared" si="472"/>
        <v>02/02/2026</v>
      </c>
      <c r="K1327">
        <v>46058</v>
      </c>
      <c r="N1327">
        <v>303</v>
      </c>
      <c r="O1327" t="s">
        <v>26</v>
      </c>
      <c r="Q1327">
        <v>192.14</v>
      </c>
      <c r="R1327" t="str">
        <f>"PENSE FARMA 05 (10200)"</f>
        <v>PENSE FARMA 05 (10200)</v>
      </c>
      <c r="S1327" t="s">
        <v>27</v>
      </c>
      <c r="T1327">
        <v>4265</v>
      </c>
      <c r="U1327">
        <v>3641</v>
      </c>
      <c r="V1327" t="s">
        <v>88</v>
      </c>
    </row>
    <row r="1328" spans="1:22">
      <c r="A1328" t="str">
        <f t="shared" si="475"/>
        <v>05/02/2026</v>
      </c>
      <c r="B1328" t="str">
        <f t="shared" si="476"/>
        <v>ENTRADA</v>
      </c>
      <c r="C1328" t="str">
        <f t="shared" ref="C1328:C1362" si="477">"NFSE"</f>
        <v>NFSE</v>
      </c>
      <c r="D1328" t="str">
        <f>"237"</f>
        <v>237</v>
      </c>
      <c r="E1328" t="str">
        <f t="shared" ref="E1328:E1362" si="478">"1"</f>
        <v>1</v>
      </c>
      <c r="F1328" t="str">
        <f t="shared" ref="F1328:F1359" si="479">"COM"</f>
        <v>COM</v>
      </c>
      <c r="G1328" t="str">
        <f>"PENSE FARMA 27 (10204)"</f>
        <v>PENSE FARMA 27 (10204)</v>
      </c>
      <c r="H1328" t="s">
        <v>351</v>
      </c>
      <c r="I1328" t="str">
        <f t="shared" ref="I1328:I1362" si="480">("04/02/2026")</f>
        <v>04/02/2026</v>
      </c>
      <c r="J1328" t="str">
        <f t="shared" si="472"/>
        <v>02/02/2026</v>
      </c>
      <c r="K1328">
        <v>46058</v>
      </c>
      <c r="N1328">
        <v>303</v>
      </c>
      <c r="O1328" t="s">
        <v>26</v>
      </c>
      <c r="Q1328">
        <v>192.13</v>
      </c>
      <c r="R1328" t="str">
        <f>"PENSE FARMA 13 (10202)"</f>
        <v>PENSE FARMA 13 (10202)</v>
      </c>
      <c r="S1328" t="s">
        <v>27</v>
      </c>
      <c r="T1328">
        <v>4265</v>
      </c>
      <c r="U1328">
        <v>3641</v>
      </c>
      <c r="V1328" t="s">
        <v>88</v>
      </c>
    </row>
    <row r="1329" spans="1:22">
      <c r="A1329" t="str">
        <f t="shared" si="475"/>
        <v>05/02/2026</v>
      </c>
      <c r="B1329" t="str">
        <f t="shared" si="476"/>
        <v>ENTRADA</v>
      </c>
      <c r="C1329" t="str">
        <f t="shared" si="477"/>
        <v>NFSE</v>
      </c>
      <c r="D1329" t="str">
        <f>"237"</f>
        <v>237</v>
      </c>
      <c r="E1329" t="str">
        <f t="shared" si="478"/>
        <v>1</v>
      </c>
      <c r="F1329" t="str">
        <f t="shared" si="479"/>
        <v>COM</v>
      </c>
      <c r="G1329" t="str">
        <f>"PENSE FARMA 27 (10204)"</f>
        <v>PENSE FARMA 27 (10204)</v>
      </c>
      <c r="H1329" t="s">
        <v>351</v>
      </c>
      <c r="I1329" t="str">
        <f t="shared" si="480"/>
        <v>04/02/2026</v>
      </c>
      <c r="J1329" t="str">
        <f t="shared" si="472"/>
        <v>02/02/2026</v>
      </c>
      <c r="K1329">
        <v>46058</v>
      </c>
      <c r="N1329">
        <v>303</v>
      </c>
      <c r="O1329" t="s">
        <v>26</v>
      </c>
      <c r="Q1329">
        <v>193.23</v>
      </c>
      <c r="R1329" t="str">
        <f>"PENSE FARMA 27 (10204)"</f>
        <v>PENSE FARMA 27 (10204)</v>
      </c>
      <c r="S1329" t="s">
        <v>27</v>
      </c>
      <c r="T1329">
        <v>4265</v>
      </c>
      <c r="U1329">
        <v>3641</v>
      </c>
      <c r="V1329" t="s">
        <v>88</v>
      </c>
    </row>
    <row r="1330" spans="1:22">
      <c r="A1330" t="str">
        <f t="shared" si="475"/>
        <v>05/02/2026</v>
      </c>
      <c r="B1330" t="str">
        <f t="shared" si="476"/>
        <v>ENTRADA</v>
      </c>
      <c r="C1330" t="str">
        <f t="shared" si="477"/>
        <v>NFSE</v>
      </c>
      <c r="D1330" t="str">
        <f>"238"</f>
        <v>238</v>
      </c>
      <c r="E1330" t="str">
        <f t="shared" si="478"/>
        <v>1</v>
      </c>
      <c r="F1330" t="str">
        <f t="shared" si="479"/>
        <v>COM</v>
      </c>
      <c r="G1330" t="str">
        <f>"PENSE FARMA 09 (10218)"</f>
        <v>PENSE FARMA 09 (10218)</v>
      </c>
      <c r="H1330" t="str">
        <f>"Serv.Prest. 26/01/2026 a 01/02/2026 - RPS: 2162 - NFSe: 238"</f>
        <v>Serv.Prest. 26/01/2026 a 01/02/2026 - RPS: 2162 - NFSe: 238</v>
      </c>
      <c r="I1330" t="str">
        <f t="shared" si="480"/>
        <v>04/02/2026</v>
      </c>
      <c r="J1330" t="str">
        <f t="shared" si="472"/>
        <v>02/02/2026</v>
      </c>
      <c r="K1330" t="str">
        <f>("05/02/2026")</f>
        <v>05/02/2026</v>
      </c>
      <c r="L1330">
        <v>336.54</v>
      </c>
      <c r="M1330">
        <v>336.54</v>
      </c>
      <c r="N1330">
        <v>303</v>
      </c>
      <c r="O1330" t="str">
        <f>"RECEITAS COM ENTREGAS"</f>
        <v>RECEITAS COM ENTREGAS</v>
      </c>
      <c r="P1330">
        <v>336.54</v>
      </c>
      <c r="S1330" t="str">
        <f>"RECEITAS COM ENTREGAS (303)"</f>
        <v>RECEITAS COM ENTREGAS (303)</v>
      </c>
      <c r="T1330">
        <v>4266</v>
      </c>
      <c r="U1330">
        <v>3642</v>
      </c>
      <c r="V1330" t="s">
        <v>88</v>
      </c>
    </row>
    <row r="1331" spans="1:22">
      <c r="A1331" t="str">
        <f t="shared" si="475"/>
        <v>05/02/2026</v>
      </c>
      <c r="B1331" t="str">
        <f t="shared" si="476"/>
        <v>ENTRADA</v>
      </c>
      <c r="C1331" t="str">
        <f t="shared" si="477"/>
        <v>NFSE</v>
      </c>
      <c r="D1331" t="str">
        <f>"238"</f>
        <v>238</v>
      </c>
      <c r="E1331" t="str">
        <f t="shared" si="478"/>
        <v>1</v>
      </c>
      <c r="F1331" t="str">
        <f t="shared" si="479"/>
        <v>COM</v>
      </c>
      <c r="G1331" t="str">
        <f>"PENSE FARMA 09 (10218)"</f>
        <v>PENSE FARMA 09 (10218)</v>
      </c>
      <c r="H1331" t="s">
        <v>352</v>
      </c>
      <c r="I1331" t="str">
        <f t="shared" si="480"/>
        <v>04/02/2026</v>
      </c>
      <c r="J1331" t="str">
        <f t="shared" si="472"/>
        <v>02/02/2026</v>
      </c>
      <c r="K1331">
        <v>46058</v>
      </c>
      <c r="N1331">
        <v>303</v>
      </c>
      <c r="O1331" t="s">
        <v>26</v>
      </c>
      <c r="Q1331">
        <v>168.27</v>
      </c>
      <c r="R1331" t="str">
        <f>"PENSE FARMA 09 (10218)"</f>
        <v>PENSE FARMA 09 (10218)</v>
      </c>
      <c r="S1331" t="s">
        <v>27</v>
      </c>
      <c r="T1331">
        <v>4266</v>
      </c>
      <c r="U1331">
        <v>3642</v>
      </c>
      <c r="V1331" t="s">
        <v>88</v>
      </c>
    </row>
    <row r="1332" spans="1:22">
      <c r="A1332" t="str">
        <f t="shared" si="475"/>
        <v>05/02/2026</v>
      </c>
      <c r="B1332" t="str">
        <f t="shared" si="476"/>
        <v>ENTRADA</v>
      </c>
      <c r="C1332" t="str">
        <f t="shared" si="477"/>
        <v>NFSE</v>
      </c>
      <c r="D1332" t="str">
        <f>"238"</f>
        <v>238</v>
      </c>
      <c r="E1332" t="str">
        <f t="shared" si="478"/>
        <v>1</v>
      </c>
      <c r="F1332" t="str">
        <f t="shared" si="479"/>
        <v>COM</v>
      </c>
      <c r="G1332" t="str">
        <f>"PENSE FARMA 09 (10218)"</f>
        <v>PENSE FARMA 09 (10218)</v>
      </c>
      <c r="H1332" t="s">
        <v>352</v>
      </c>
      <c r="I1332" t="str">
        <f t="shared" si="480"/>
        <v>04/02/2026</v>
      </c>
      <c r="J1332" t="str">
        <f t="shared" si="472"/>
        <v>02/02/2026</v>
      </c>
      <c r="K1332">
        <v>46058</v>
      </c>
      <c r="N1332">
        <v>303</v>
      </c>
      <c r="O1332" t="s">
        <v>26</v>
      </c>
      <c r="Q1332">
        <v>168.27</v>
      </c>
      <c r="R1332" t="str">
        <f>"PENSE FARMA 10 (10219)"</f>
        <v>PENSE FARMA 10 (10219)</v>
      </c>
      <c r="S1332" t="s">
        <v>27</v>
      </c>
      <c r="T1332">
        <v>4266</v>
      </c>
      <c r="U1332">
        <v>3642</v>
      </c>
      <c r="V1332" t="s">
        <v>88</v>
      </c>
    </row>
    <row r="1333" spans="1:22">
      <c r="A1333" t="str">
        <f t="shared" si="475"/>
        <v>05/02/2026</v>
      </c>
      <c r="B1333" t="str">
        <f t="shared" si="476"/>
        <v>ENTRADA</v>
      </c>
      <c r="C1333" t="str">
        <f t="shared" si="477"/>
        <v>NFSE</v>
      </c>
      <c r="D1333" t="str">
        <f>"239"</f>
        <v>239</v>
      </c>
      <c r="E1333" t="str">
        <f t="shared" si="478"/>
        <v>1</v>
      </c>
      <c r="F1333" t="str">
        <f t="shared" si="479"/>
        <v>COM</v>
      </c>
      <c r="G1333" t="str">
        <f>"PENSE FARMA 47 (10232)"</f>
        <v>PENSE FARMA 47 (10232)</v>
      </c>
      <c r="H1333" t="str">
        <f>"Serv.Prest. 26/01/2026 a 01/02/2026 - RPS: 2163 - NFSe: 239"</f>
        <v>Serv.Prest. 26/01/2026 a 01/02/2026 - RPS: 2163 - NFSe: 239</v>
      </c>
      <c r="I1333" t="str">
        <f t="shared" si="480"/>
        <v>04/02/2026</v>
      </c>
      <c r="J1333" t="str">
        <f t="shared" si="472"/>
        <v>02/02/2026</v>
      </c>
      <c r="K1333" t="str">
        <f>("05/02/2026")</f>
        <v>05/02/2026</v>
      </c>
      <c r="L1333">
        <v>320.23</v>
      </c>
      <c r="M1333">
        <v>320.23</v>
      </c>
      <c r="N1333">
        <v>303</v>
      </c>
      <c r="O1333" t="str">
        <f>"RECEITAS COM ENTREGAS"</f>
        <v>RECEITAS COM ENTREGAS</v>
      </c>
      <c r="P1333">
        <v>320.23</v>
      </c>
      <c r="S1333" t="str">
        <f>"RECEITAS COM ENTREGAS (303)"</f>
        <v>RECEITAS COM ENTREGAS (303)</v>
      </c>
      <c r="T1333">
        <v>4267</v>
      </c>
      <c r="U1333">
        <v>3643</v>
      </c>
      <c r="V1333" t="s">
        <v>88</v>
      </c>
    </row>
    <row r="1334" spans="1:22">
      <c r="A1334" t="str">
        <f t="shared" si="475"/>
        <v>05/02/2026</v>
      </c>
      <c r="B1334" t="str">
        <f t="shared" si="476"/>
        <v>ENTRADA</v>
      </c>
      <c r="C1334" t="str">
        <f t="shared" si="477"/>
        <v>NFSE</v>
      </c>
      <c r="D1334" t="str">
        <f>"239"</f>
        <v>239</v>
      </c>
      <c r="E1334" t="str">
        <f t="shared" si="478"/>
        <v>1</v>
      </c>
      <c r="F1334" t="str">
        <f t="shared" si="479"/>
        <v>COM</v>
      </c>
      <c r="G1334" t="str">
        <f>"PENSE FARMA 47 (10232)"</f>
        <v>PENSE FARMA 47 (10232)</v>
      </c>
      <c r="H1334" t="s">
        <v>353</v>
      </c>
      <c r="I1334" t="str">
        <f t="shared" si="480"/>
        <v>04/02/2026</v>
      </c>
      <c r="J1334" t="str">
        <f t="shared" si="472"/>
        <v>02/02/2026</v>
      </c>
      <c r="K1334">
        <v>46058</v>
      </c>
      <c r="N1334">
        <v>303</v>
      </c>
      <c r="O1334" t="s">
        <v>26</v>
      </c>
      <c r="Q1334">
        <v>320.23</v>
      </c>
      <c r="R1334" t="str">
        <f>"PENSE FARMA 47 (10232)"</f>
        <v>PENSE FARMA 47 (10232)</v>
      </c>
      <c r="S1334" t="s">
        <v>27</v>
      </c>
      <c r="T1334">
        <v>4267</v>
      </c>
      <c r="U1334">
        <v>3643</v>
      </c>
      <c r="V1334" t="s">
        <v>88</v>
      </c>
    </row>
    <row r="1335" spans="1:22">
      <c r="A1335" t="str">
        <f t="shared" si="475"/>
        <v>05/02/2026</v>
      </c>
      <c r="B1335" t="str">
        <f t="shared" si="476"/>
        <v>ENTRADA</v>
      </c>
      <c r="C1335" t="str">
        <f t="shared" si="477"/>
        <v>NFSE</v>
      </c>
      <c r="D1335" t="str">
        <f>"240"</f>
        <v>240</v>
      </c>
      <c r="E1335" t="str">
        <f t="shared" si="478"/>
        <v>1</v>
      </c>
      <c r="F1335" t="str">
        <f t="shared" si="479"/>
        <v>COM</v>
      </c>
      <c r="G1335" t="str">
        <f>"PENSE FARMA 15 (10195)"</f>
        <v>PENSE FARMA 15 (10195)</v>
      </c>
      <c r="H1335" t="str">
        <f>"Serv.Prest. 26/01/2026 a 01/02/2026 - RPS: 2164 - NFSe: 240"</f>
        <v>Serv.Prest. 26/01/2026 a 01/02/2026 - RPS: 2164 - NFSe: 240</v>
      </c>
      <c r="I1335" t="str">
        <f t="shared" si="480"/>
        <v>04/02/2026</v>
      </c>
      <c r="J1335" t="str">
        <f t="shared" si="472"/>
        <v>02/02/2026</v>
      </c>
      <c r="K1335" t="str">
        <f>("05/02/2026")</f>
        <v>05/02/2026</v>
      </c>
      <c r="L1335">
        <v>642</v>
      </c>
      <c r="M1335">
        <v>642</v>
      </c>
      <c r="N1335">
        <v>303</v>
      </c>
      <c r="O1335" t="str">
        <f>"RECEITAS COM ENTREGAS"</f>
        <v>RECEITAS COM ENTREGAS</v>
      </c>
      <c r="P1335">
        <v>642</v>
      </c>
      <c r="S1335" t="str">
        <f>"RECEITAS COM ENTREGAS (303)"</f>
        <v>RECEITAS COM ENTREGAS (303)</v>
      </c>
      <c r="T1335">
        <v>4268</v>
      </c>
      <c r="U1335">
        <v>3644</v>
      </c>
      <c r="V1335" t="s">
        <v>88</v>
      </c>
    </row>
    <row r="1336" spans="1:22">
      <c r="A1336" t="str">
        <f t="shared" si="475"/>
        <v>05/02/2026</v>
      </c>
      <c r="B1336" t="str">
        <f t="shared" si="476"/>
        <v>ENTRADA</v>
      </c>
      <c r="C1336" t="str">
        <f t="shared" si="477"/>
        <v>NFSE</v>
      </c>
      <c r="D1336" t="str">
        <f>"240"</f>
        <v>240</v>
      </c>
      <c r="E1336" t="str">
        <f t="shared" si="478"/>
        <v>1</v>
      </c>
      <c r="F1336" t="str">
        <f t="shared" si="479"/>
        <v>COM</v>
      </c>
      <c r="G1336" t="str">
        <f>"PENSE FARMA 15 (10195)"</f>
        <v>PENSE FARMA 15 (10195)</v>
      </c>
      <c r="H1336" t="s">
        <v>354</v>
      </c>
      <c r="I1336" t="str">
        <f t="shared" si="480"/>
        <v>04/02/2026</v>
      </c>
      <c r="J1336" t="str">
        <f t="shared" ref="J1336:J1355" si="481">("02/02/2026")</f>
        <v>02/02/2026</v>
      </c>
      <c r="K1336">
        <v>46058</v>
      </c>
      <c r="N1336">
        <v>303</v>
      </c>
      <c r="O1336" t="s">
        <v>26</v>
      </c>
      <c r="Q1336">
        <v>160.5</v>
      </c>
      <c r="R1336" t="str">
        <f>"PENSE FARMA 15 (10195)"</f>
        <v>PENSE FARMA 15 (10195)</v>
      </c>
      <c r="S1336" t="s">
        <v>27</v>
      </c>
      <c r="T1336">
        <v>4268</v>
      </c>
      <c r="U1336">
        <v>3644</v>
      </c>
      <c r="V1336" t="s">
        <v>88</v>
      </c>
    </row>
    <row r="1337" spans="1:22">
      <c r="A1337" t="str">
        <f t="shared" si="475"/>
        <v>05/02/2026</v>
      </c>
      <c r="B1337" t="str">
        <f t="shared" si="476"/>
        <v>ENTRADA</v>
      </c>
      <c r="C1337" t="str">
        <f t="shared" si="477"/>
        <v>NFSE</v>
      </c>
      <c r="D1337" t="str">
        <f>"240"</f>
        <v>240</v>
      </c>
      <c r="E1337" t="str">
        <f t="shared" si="478"/>
        <v>1</v>
      </c>
      <c r="F1337" t="str">
        <f t="shared" si="479"/>
        <v>COM</v>
      </c>
      <c r="G1337" t="str">
        <f>"PENSE FARMA 15 (10195)"</f>
        <v>PENSE FARMA 15 (10195)</v>
      </c>
      <c r="H1337" t="s">
        <v>354</v>
      </c>
      <c r="I1337" t="str">
        <f t="shared" si="480"/>
        <v>04/02/2026</v>
      </c>
      <c r="J1337" t="str">
        <f t="shared" si="481"/>
        <v>02/02/2026</v>
      </c>
      <c r="K1337">
        <v>46058</v>
      </c>
      <c r="N1337">
        <v>303</v>
      </c>
      <c r="O1337" t="s">
        <v>26</v>
      </c>
      <c r="Q1337">
        <v>160.5</v>
      </c>
      <c r="R1337" t="str">
        <f>"PENSE FARMA 26 (10196)"</f>
        <v>PENSE FARMA 26 (10196)</v>
      </c>
      <c r="S1337" t="s">
        <v>27</v>
      </c>
      <c r="T1337">
        <v>4268</v>
      </c>
      <c r="U1337">
        <v>3644</v>
      </c>
      <c r="V1337" t="s">
        <v>88</v>
      </c>
    </row>
    <row r="1338" spans="1:22">
      <c r="A1338" t="str">
        <f t="shared" si="475"/>
        <v>05/02/2026</v>
      </c>
      <c r="B1338" t="str">
        <f t="shared" si="476"/>
        <v>ENTRADA</v>
      </c>
      <c r="C1338" t="str">
        <f t="shared" si="477"/>
        <v>NFSE</v>
      </c>
      <c r="D1338" t="str">
        <f>"240"</f>
        <v>240</v>
      </c>
      <c r="E1338" t="str">
        <f t="shared" si="478"/>
        <v>1</v>
      </c>
      <c r="F1338" t="str">
        <f t="shared" si="479"/>
        <v>COM</v>
      </c>
      <c r="G1338" t="str">
        <f>"PENSE FARMA 15 (10195)"</f>
        <v>PENSE FARMA 15 (10195)</v>
      </c>
      <c r="H1338" t="s">
        <v>354</v>
      </c>
      <c r="I1338" t="str">
        <f t="shared" si="480"/>
        <v>04/02/2026</v>
      </c>
      <c r="J1338" t="str">
        <f t="shared" si="481"/>
        <v>02/02/2026</v>
      </c>
      <c r="K1338">
        <v>46058</v>
      </c>
      <c r="N1338">
        <v>303</v>
      </c>
      <c r="O1338" t="s">
        <v>26</v>
      </c>
      <c r="Q1338">
        <v>160.5</v>
      </c>
      <c r="R1338" t="str">
        <f>"PENSE FARMA 60 (10197)"</f>
        <v>PENSE FARMA 60 (10197)</v>
      </c>
      <c r="S1338" t="s">
        <v>27</v>
      </c>
      <c r="T1338">
        <v>4268</v>
      </c>
      <c r="U1338">
        <v>3644</v>
      </c>
      <c r="V1338" t="s">
        <v>88</v>
      </c>
    </row>
    <row r="1339" spans="1:22">
      <c r="A1339" t="str">
        <f t="shared" si="475"/>
        <v>05/02/2026</v>
      </c>
      <c r="B1339" t="str">
        <f t="shared" si="476"/>
        <v>ENTRADA</v>
      </c>
      <c r="C1339" t="str">
        <f t="shared" si="477"/>
        <v>NFSE</v>
      </c>
      <c r="D1339" t="str">
        <f>"240"</f>
        <v>240</v>
      </c>
      <c r="E1339" t="str">
        <f t="shared" si="478"/>
        <v>1</v>
      </c>
      <c r="F1339" t="str">
        <f t="shared" si="479"/>
        <v>COM</v>
      </c>
      <c r="G1339" t="str">
        <f>"PENSE FARMA 15 (10195)"</f>
        <v>PENSE FARMA 15 (10195)</v>
      </c>
      <c r="H1339" t="s">
        <v>354</v>
      </c>
      <c r="I1339" t="str">
        <f t="shared" si="480"/>
        <v>04/02/2026</v>
      </c>
      <c r="J1339" t="str">
        <f t="shared" si="481"/>
        <v>02/02/2026</v>
      </c>
      <c r="K1339">
        <v>46058</v>
      </c>
      <c r="N1339">
        <v>303</v>
      </c>
      <c r="O1339" t="s">
        <v>26</v>
      </c>
      <c r="Q1339">
        <v>160.5</v>
      </c>
      <c r="R1339" t="str">
        <f>"PENSE FARMA 61 (10243)"</f>
        <v>PENSE FARMA 61 (10243)</v>
      </c>
      <c r="S1339" t="s">
        <v>27</v>
      </c>
      <c r="T1339">
        <v>4268</v>
      </c>
      <c r="U1339">
        <v>3644</v>
      </c>
      <c r="V1339" t="s">
        <v>88</v>
      </c>
    </row>
    <row r="1340" spans="1:22">
      <c r="A1340" t="str">
        <f t="shared" si="475"/>
        <v>05/02/2026</v>
      </c>
      <c r="B1340" t="str">
        <f t="shared" si="476"/>
        <v>ENTRADA</v>
      </c>
      <c r="C1340" t="str">
        <f t="shared" si="477"/>
        <v>NFSE</v>
      </c>
      <c r="D1340" t="str">
        <f>"241"</f>
        <v>241</v>
      </c>
      <c r="E1340" t="str">
        <f t="shared" si="478"/>
        <v>1</v>
      </c>
      <c r="F1340" t="str">
        <f t="shared" si="479"/>
        <v>COM</v>
      </c>
      <c r="G1340" t="str">
        <f>"PENSE FARMA 19 (10223)"</f>
        <v>PENSE FARMA 19 (10223)</v>
      </c>
      <c r="H1340" t="str">
        <f>"Serv.Prest. 26/01/2026 a 01/02/2026 - RPS: 2165 - NFSe: 241"</f>
        <v>Serv.Prest. 26/01/2026 a 01/02/2026 - RPS: 2165 - NFSe: 241</v>
      </c>
      <c r="I1340" t="str">
        <f t="shared" si="480"/>
        <v>04/02/2026</v>
      </c>
      <c r="J1340" t="str">
        <f t="shared" si="481"/>
        <v>02/02/2026</v>
      </c>
      <c r="K1340" t="str">
        <f>("05/02/2026")</f>
        <v>05/02/2026</v>
      </c>
      <c r="L1340">
        <v>448.95</v>
      </c>
      <c r="M1340">
        <v>448.95</v>
      </c>
      <c r="N1340">
        <v>303</v>
      </c>
      <c r="O1340" t="str">
        <f>"RECEITAS COM ENTREGAS"</f>
        <v>RECEITAS COM ENTREGAS</v>
      </c>
      <c r="P1340">
        <v>448.95</v>
      </c>
      <c r="S1340" t="str">
        <f>"RECEITAS COM ENTREGAS (303)"</f>
        <v>RECEITAS COM ENTREGAS (303)</v>
      </c>
      <c r="T1340">
        <v>4269</v>
      </c>
      <c r="U1340">
        <v>3645</v>
      </c>
      <c r="V1340" t="s">
        <v>88</v>
      </c>
    </row>
    <row r="1341" spans="1:22">
      <c r="A1341" t="str">
        <f t="shared" si="475"/>
        <v>05/02/2026</v>
      </c>
      <c r="B1341" t="str">
        <f t="shared" si="476"/>
        <v>ENTRADA</v>
      </c>
      <c r="C1341" t="str">
        <f t="shared" si="477"/>
        <v>NFSE</v>
      </c>
      <c r="D1341" t="str">
        <f>"241"</f>
        <v>241</v>
      </c>
      <c r="E1341" t="str">
        <f t="shared" si="478"/>
        <v>1</v>
      </c>
      <c r="F1341" t="str">
        <f t="shared" si="479"/>
        <v>COM</v>
      </c>
      <c r="G1341" t="str">
        <f>"PENSE FARMA 19 (10223)"</f>
        <v>PENSE FARMA 19 (10223)</v>
      </c>
      <c r="H1341" t="s">
        <v>355</v>
      </c>
      <c r="I1341" t="str">
        <f t="shared" si="480"/>
        <v>04/02/2026</v>
      </c>
      <c r="J1341" t="str">
        <f t="shared" si="481"/>
        <v>02/02/2026</v>
      </c>
      <c r="K1341">
        <v>46058</v>
      </c>
      <c r="N1341">
        <v>303</v>
      </c>
      <c r="O1341" t="s">
        <v>26</v>
      </c>
      <c r="Q1341">
        <v>448.95</v>
      </c>
      <c r="R1341" t="str">
        <f>"PENSE FARMA 19 (10223)"</f>
        <v>PENSE FARMA 19 (10223)</v>
      </c>
      <c r="S1341" t="s">
        <v>27</v>
      </c>
      <c r="T1341">
        <v>4269</v>
      </c>
      <c r="U1341">
        <v>3645</v>
      </c>
      <c r="V1341" t="s">
        <v>88</v>
      </c>
    </row>
    <row r="1342" spans="1:22">
      <c r="A1342" t="str">
        <f t="shared" si="475"/>
        <v>05/02/2026</v>
      </c>
      <c r="B1342" t="str">
        <f t="shared" si="476"/>
        <v>ENTRADA</v>
      </c>
      <c r="C1342" t="str">
        <f t="shared" si="477"/>
        <v>NFSE</v>
      </c>
      <c r="D1342" t="str">
        <f t="shared" ref="D1342:D1348" si="482">"242"</f>
        <v>242</v>
      </c>
      <c r="E1342" t="str">
        <f t="shared" si="478"/>
        <v>1</v>
      </c>
      <c r="F1342" t="str">
        <f t="shared" si="479"/>
        <v>COM</v>
      </c>
      <c r="G1342" t="str">
        <f t="shared" ref="G1342:G1348" si="483">"PENSE FARMA 36 (10206)"</f>
        <v>PENSE FARMA 36 (10206)</v>
      </c>
      <c r="H1342" t="str">
        <f>"Serv.Prest. 26/01/2026 a 01/02/2026 - RPS: 2166 - NFSe: 242"</f>
        <v>Serv.Prest. 26/01/2026 a 01/02/2026 - RPS: 2166 - NFSe: 242</v>
      </c>
      <c r="I1342" t="str">
        <f t="shared" si="480"/>
        <v>04/02/2026</v>
      </c>
      <c r="J1342" t="str">
        <f t="shared" si="481"/>
        <v>02/02/2026</v>
      </c>
      <c r="K1342" t="str">
        <f>("05/02/2026")</f>
        <v>05/02/2026</v>
      </c>
      <c r="L1342">
        <v>894.35</v>
      </c>
      <c r="M1342">
        <v>894.35</v>
      </c>
      <c r="N1342">
        <v>303</v>
      </c>
      <c r="O1342" t="str">
        <f>"RECEITAS COM ENTREGAS"</f>
        <v>RECEITAS COM ENTREGAS</v>
      </c>
      <c r="P1342">
        <v>894.35</v>
      </c>
      <c r="S1342" t="str">
        <f>"RECEITAS COM ENTREGAS (303)"</f>
        <v>RECEITAS COM ENTREGAS (303)</v>
      </c>
      <c r="T1342">
        <v>4270</v>
      </c>
      <c r="U1342">
        <v>3646</v>
      </c>
      <c r="V1342" t="s">
        <v>88</v>
      </c>
    </row>
    <row r="1343" spans="1:22">
      <c r="A1343" t="str">
        <f t="shared" si="475"/>
        <v>05/02/2026</v>
      </c>
      <c r="B1343" t="str">
        <f t="shared" si="476"/>
        <v>ENTRADA</v>
      </c>
      <c r="C1343" t="str">
        <f t="shared" si="477"/>
        <v>NFSE</v>
      </c>
      <c r="D1343" t="str">
        <f t="shared" si="482"/>
        <v>242</v>
      </c>
      <c r="E1343" t="str">
        <f t="shared" si="478"/>
        <v>1</v>
      </c>
      <c r="F1343" t="str">
        <f t="shared" si="479"/>
        <v>COM</v>
      </c>
      <c r="G1343" t="str">
        <f t="shared" si="483"/>
        <v>PENSE FARMA 36 (10206)</v>
      </c>
      <c r="H1343" t="s">
        <v>356</v>
      </c>
      <c r="I1343" t="str">
        <f t="shared" si="480"/>
        <v>04/02/2026</v>
      </c>
      <c r="J1343" t="str">
        <f t="shared" si="481"/>
        <v>02/02/2026</v>
      </c>
      <c r="K1343">
        <v>46058</v>
      </c>
      <c r="N1343">
        <v>303</v>
      </c>
      <c r="O1343" t="s">
        <v>26</v>
      </c>
      <c r="Q1343">
        <v>148.30000000000001</v>
      </c>
      <c r="R1343" t="str">
        <f>"PENSE FARMA 20 (10203)"</f>
        <v>PENSE FARMA 20 (10203)</v>
      </c>
      <c r="S1343" t="s">
        <v>27</v>
      </c>
      <c r="T1343">
        <v>4270</v>
      </c>
      <c r="U1343">
        <v>3646</v>
      </c>
      <c r="V1343" t="s">
        <v>88</v>
      </c>
    </row>
    <row r="1344" spans="1:22">
      <c r="A1344" t="str">
        <f t="shared" si="475"/>
        <v>05/02/2026</v>
      </c>
      <c r="B1344" t="str">
        <f t="shared" si="476"/>
        <v>ENTRADA</v>
      </c>
      <c r="C1344" t="str">
        <f t="shared" si="477"/>
        <v>NFSE</v>
      </c>
      <c r="D1344" t="str">
        <f t="shared" si="482"/>
        <v>242</v>
      </c>
      <c r="E1344" t="str">
        <f t="shared" si="478"/>
        <v>1</v>
      </c>
      <c r="F1344" t="str">
        <f t="shared" si="479"/>
        <v>COM</v>
      </c>
      <c r="G1344" t="str">
        <f t="shared" si="483"/>
        <v>PENSE FARMA 36 (10206)</v>
      </c>
      <c r="H1344" t="s">
        <v>356</v>
      </c>
      <c r="I1344" t="str">
        <f t="shared" si="480"/>
        <v>04/02/2026</v>
      </c>
      <c r="J1344" t="str">
        <f t="shared" si="481"/>
        <v>02/02/2026</v>
      </c>
      <c r="K1344">
        <v>46058</v>
      </c>
      <c r="N1344">
        <v>303</v>
      </c>
      <c r="O1344" t="s">
        <v>26</v>
      </c>
      <c r="Q1344">
        <v>148.28</v>
      </c>
      <c r="R1344" t="str">
        <f>"PENSE FARMA 36 (10206)"</f>
        <v>PENSE FARMA 36 (10206)</v>
      </c>
      <c r="S1344" t="s">
        <v>27</v>
      </c>
      <c r="T1344">
        <v>4270</v>
      </c>
      <c r="U1344">
        <v>3646</v>
      </c>
      <c r="V1344" t="s">
        <v>88</v>
      </c>
    </row>
    <row r="1345" spans="1:22">
      <c r="A1345" t="str">
        <f t="shared" si="475"/>
        <v>05/02/2026</v>
      </c>
      <c r="B1345" t="str">
        <f t="shared" si="476"/>
        <v>ENTRADA</v>
      </c>
      <c r="C1345" t="str">
        <f t="shared" si="477"/>
        <v>NFSE</v>
      </c>
      <c r="D1345" t="str">
        <f t="shared" si="482"/>
        <v>242</v>
      </c>
      <c r="E1345" t="str">
        <f t="shared" si="478"/>
        <v>1</v>
      </c>
      <c r="F1345" t="str">
        <f t="shared" si="479"/>
        <v>COM</v>
      </c>
      <c r="G1345" t="str">
        <f t="shared" si="483"/>
        <v>PENSE FARMA 36 (10206)</v>
      </c>
      <c r="H1345" t="s">
        <v>356</v>
      </c>
      <c r="I1345" t="str">
        <f t="shared" si="480"/>
        <v>04/02/2026</v>
      </c>
      <c r="J1345" t="str">
        <f t="shared" si="481"/>
        <v>02/02/2026</v>
      </c>
      <c r="K1345">
        <v>46058</v>
      </c>
      <c r="N1345">
        <v>303</v>
      </c>
      <c r="O1345" t="s">
        <v>26</v>
      </c>
      <c r="Q1345">
        <v>148.28</v>
      </c>
      <c r="R1345" t="str">
        <f>"PENSE FARMA 40 (10207)"</f>
        <v>PENSE FARMA 40 (10207)</v>
      </c>
      <c r="S1345" t="s">
        <v>27</v>
      </c>
      <c r="T1345">
        <v>4270</v>
      </c>
      <c r="U1345">
        <v>3646</v>
      </c>
      <c r="V1345" t="s">
        <v>88</v>
      </c>
    </row>
    <row r="1346" spans="1:22">
      <c r="A1346" t="str">
        <f t="shared" si="475"/>
        <v>05/02/2026</v>
      </c>
      <c r="B1346" t="str">
        <f t="shared" si="476"/>
        <v>ENTRADA</v>
      </c>
      <c r="C1346" t="str">
        <f t="shared" si="477"/>
        <v>NFSE</v>
      </c>
      <c r="D1346" t="str">
        <f t="shared" si="482"/>
        <v>242</v>
      </c>
      <c r="E1346" t="str">
        <f t="shared" si="478"/>
        <v>1</v>
      </c>
      <c r="F1346" t="str">
        <f t="shared" si="479"/>
        <v>COM</v>
      </c>
      <c r="G1346" t="str">
        <f t="shared" si="483"/>
        <v>PENSE FARMA 36 (10206)</v>
      </c>
      <c r="H1346" t="s">
        <v>356</v>
      </c>
      <c r="I1346" t="str">
        <f t="shared" si="480"/>
        <v>04/02/2026</v>
      </c>
      <c r="J1346" t="str">
        <f t="shared" si="481"/>
        <v>02/02/2026</v>
      </c>
      <c r="K1346">
        <v>46058</v>
      </c>
      <c r="N1346">
        <v>303</v>
      </c>
      <c r="O1346" t="s">
        <v>26</v>
      </c>
      <c r="Q1346">
        <v>148.28</v>
      </c>
      <c r="R1346" t="str">
        <f>"PENSE FARMA 43 (10208)"</f>
        <v>PENSE FARMA 43 (10208)</v>
      </c>
      <c r="S1346" t="s">
        <v>27</v>
      </c>
      <c r="T1346">
        <v>4270</v>
      </c>
      <c r="U1346">
        <v>3646</v>
      </c>
      <c r="V1346" t="s">
        <v>88</v>
      </c>
    </row>
    <row r="1347" spans="1:22">
      <c r="A1347" t="str">
        <f t="shared" si="475"/>
        <v>05/02/2026</v>
      </c>
      <c r="B1347" t="str">
        <f t="shared" si="476"/>
        <v>ENTRADA</v>
      </c>
      <c r="C1347" t="str">
        <f t="shared" si="477"/>
        <v>NFSE</v>
      </c>
      <c r="D1347" t="str">
        <f t="shared" si="482"/>
        <v>242</v>
      </c>
      <c r="E1347" t="str">
        <f t="shared" si="478"/>
        <v>1</v>
      </c>
      <c r="F1347" t="str">
        <f t="shared" si="479"/>
        <v>COM</v>
      </c>
      <c r="G1347" t="str">
        <f t="shared" si="483"/>
        <v>PENSE FARMA 36 (10206)</v>
      </c>
      <c r="H1347" t="s">
        <v>356</v>
      </c>
      <c r="I1347" t="str">
        <f t="shared" si="480"/>
        <v>04/02/2026</v>
      </c>
      <c r="J1347" t="str">
        <f t="shared" si="481"/>
        <v>02/02/2026</v>
      </c>
      <c r="K1347">
        <v>46058</v>
      </c>
      <c r="N1347">
        <v>303</v>
      </c>
      <c r="O1347" t="s">
        <v>26</v>
      </c>
      <c r="Q1347">
        <v>148.28</v>
      </c>
      <c r="R1347" t="str">
        <f>"PENSE FARMA 59 (10211)"</f>
        <v>PENSE FARMA 59 (10211)</v>
      </c>
      <c r="S1347" t="s">
        <v>27</v>
      </c>
      <c r="T1347">
        <v>4270</v>
      </c>
      <c r="U1347">
        <v>3646</v>
      </c>
      <c r="V1347" t="s">
        <v>88</v>
      </c>
    </row>
    <row r="1348" spans="1:22">
      <c r="A1348" t="str">
        <f t="shared" si="475"/>
        <v>05/02/2026</v>
      </c>
      <c r="B1348" t="str">
        <f t="shared" si="476"/>
        <v>ENTRADA</v>
      </c>
      <c r="C1348" t="str">
        <f t="shared" si="477"/>
        <v>NFSE</v>
      </c>
      <c r="D1348" t="str">
        <f t="shared" si="482"/>
        <v>242</v>
      </c>
      <c r="E1348" t="str">
        <f t="shared" si="478"/>
        <v>1</v>
      </c>
      <c r="F1348" t="str">
        <f t="shared" si="479"/>
        <v>COM</v>
      </c>
      <c r="G1348" t="str">
        <f t="shared" si="483"/>
        <v>PENSE FARMA 36 (10206)</v>
      </c>
      <c r="H1348" t="s">
        <v>356</v>
      </c>
      <c r="I1348" t="str">
        <f t="shared" si="480"/>
        <v>04/02/2026</v>
      </c>
      <c r="J1348" t="str">
        <f t="shared" si="481"/>
        <v>02/02/2026</v>
      </c>
      <c r="K1348">
        <v>46058</v>
      </c>
      <c r="N1348">
        <v>303</v>
      </c>
      <c r="O1348" t="s">
        <v>26</v>
      </c>
      <c r="Q1348">
        <v>152.93</v>
      </c>
      <c r="R1348" t="str">
        <f>"PENSE FARMA DARK STORE 361 (10212)"</f>
        <v>PENSE FARMA DARK STORE 361 (10212)</v>
      </c>
      <c r="S1348" t="s">
        <v>27</v>
      </c>
      <c r="T1348">
        <v>4270</v>
      </c>
      <c r="U1348">
        <v>3646</v>
      </c>
      <c r="V1348" t="s">
        <v>88</v>
      </c>
    </row>
    <row r="1349" spans="1:22">
      <c r="A1349" t="str">
        <f t="shared" si="475"/>
        <v>05/02/2026</v>
      </c>
      <c r="B1349" t="str">
        <f t="shared" si="476"/>
        <v>ENTRADA</v>
      </c>
      <c r="C1349" t="str">
        <f t="shared" si="477"/>
        <v>NFSE</v>
      </c>
      <c r="D1349" t="str">
        <f>"243"</f>
        <v>243</v>
      </c>
      <c r="E1349" t="str">
        <f t="shared" si="478"/>
        <v>1</v>
      </c>
      <c r="F1349" t="str">
        <f t="shared" si="479"/>
        <v>COM</v>
      </c>
      <c r="G1349" t="str">
        <f>"PENSE FARMA 44 (10231)"</f>
        <v>PENSE FARMA 44 (10231)</v>
      </c>
      <c r="H1349" t="str">
        <f>"Serv.Prest. 26/01/2026 a 01/02/2026 - RPS: 2167 - NFSe: 243"</f>
        <v>Serv.Prest. 26/01/2026 a 01/02/2026 - RPS: 2167 - NFSe: 243</v>
      </c>
      <c r="I1349" t="str">
        <f t="shared" si="480"/>
        <v>04/02/2026</v>
      </c>
      <c r="J1349" t="str">
        <f t="shared" si="481"/>
        <v>02/02/2026</v>
      </c>
      <c r="K1349" t="str">
        <f>("05/02/2026")</f>
        <v>05/02/2026</v>
      </c>
      <c r="L1349">
        <v>630.80999999999995</v>
      </c>
      <c r="M1349">
        <v>630.80999999999995</v>
      </c>
      <c r="N1349">
        <v>303</v>
      </c>
      <c r="O1349" t="str">
        <f>"RECEITAS COM ENTREGAS"</f>
        <v>RECEITAS COM ENTREGAS</v>
      </c>
      <c r="P1349">
        <v>630.80999999999995</v>
      </c>
      <c r="S1349" t="str">
        <f>"RECEITAS COM ENTREGAS (303)"</f>
        <v>RECEITAS COM ENTREGAS (303)</v>
      </c>
      <c r="T1349">
        <v>4271</v>
      </c>
      <c r="U1349">
        <v>3647</v>
      </c>
      <c r="V1349" t="s">
        <v>88</v>
      </c>
    </row>
    <row r="1350" spans="1:22">
      <c r="A1350" t="str">
        <f t="shared" si="475"/>
        <v>05/02/2026</v>
      </c>
      <c r="B1350" t="str">
        <f t="shared" si="476"/>
        <v>ENTRADA</v>
      </c>
      <c r="C1350" t="str">
        <f t="shared" si="477"/>
        <v>NFSE</v>
      </c>
      <c r="D1350" t="str">
        <f>"243"</f>
        <v>243</v>
      </c>
      <c r="E1350" t="str">
        <f t="shared" si="478"/>
        <v>1</v>
      </c>
      <c r="F1350" t="str">
        <f t="shared" si="479"/>
        <v>COM</v>
      </c>
      <c r="G1350" t="str">
        <f>"PENSE FARMA 44 (10231)"</f>
        <v>PENSE FARMA 44 (10231)</v>
      </c>
      <c r="H1350" t="s">
        <v>357</v>
      </c>
      <c r="I1350" t="str">
        <f t="shared" si="480"/>
        <v>04/02/2026</v>
      </c>
      <c r="J1350" t="str">
        <f t="shared" si="481"/>
        <v>02/02/2026</v>
      </c>
      <c r="K1350">
        <v>46058</v>
      </c>
      <c r="N1350">
        <v>303</v>
      </c>
      <c r="O1350" t="s">
        <v>26</v>
      </c>
      <c r="Q1350">
        <v>314.89999999999998</v>
      </c>
      <c r="R1350" t="str">
        <f>"PENSE FARMA 44 (10231)"</f>
        <v>PENSE FARMA 44 (10231)</v>
      </c>
      <c r="S1350" t="s">
        <v>27</v>
      </c>
      <c r="T1350">
        <v>4271</v>
      </c>
      <c r="U1350">
        <v>3647</v>
      </c>
      <c r="V1350" t="s">
        <v>88</v>
      </c>
    </row>
    <row r="1351" spans="1:22">
      <c r="A1351" t="str">
        <f t="shared" si="475"/>
        <v>05/02/2026</v>
      </c>
      <c r="B1351" t="str">
        <f t="shared" si="476"/>
        <v>ENTRADA</v>
      </c>
      <c r="C1351" t="str">
        <f t="shared" si="477"/>
        <v>NFSE</v>
      </c>
      <c r="D1351" t="str">
        <f>"243"</f>
        <v>243</v>
      </c>
      <c r="E1351" t="str">
        <f t="shared" si="478"/>
        <v>1</v>
      </c>
      <c r="F1351" t="str">
        <f t="shared" si="479"/>
        <v>COM</v>
      </c>
      <c r="G1351" t="str">
        <f>"PENSE FARMA 44 (10231)"</f>
        <v>PENSE FARMA 44 (10231)</v>
      </c>
      <c r="H1351" t="s">
        <v>357</v>
      </c>
      <c r="I1351" t="str">
        <f t="shared" si="480"/>
        <v>04/02/2026</v>
      </c>
      <c r="J1351" t="str">
        <f t="shared" si="481"/>
        <v>02/02/2026</v>
      </c>
      <c r="K1351">
        <v>46058</v>
      </c>
      <c r="N1351">
        <v>303</v>
      </c>
      <c r="O1351" t="s">
        <v>26</v>
      </c>
      <c r="Q1351">
        <v>315.91000000000003</v>
      </c>
      <c r="R1351" t="str">
        <f>"PENSE FARMA 48 (10233)"</f>
        <v>PENSE FARMA 48 (10233)</v>
      </c>
      <c r="S1351" t="s">
        <v>27</v>
      </c>
      <c r="T1351">
        <v>4271</v>
      </c>
      <c r="U1351">
        <v>3647</v>
      </c>
      <c r="V1351" t="s">
        <v>88</v>
      </c>
    </row>
    <row r="1352" spans="1:22">
      <c r="A1352" t="str">
        <f t="shared" ref="A1352:A1362" si="484">("05/02/2026")</f>
        <v>05/02/2026</v>
      </c>
      <c r="B1352" t="str">
        <f t="shared" si="476"/>
        <v>ENTRADA</v>
      </c>
      <c r="C1352" t="str">
        <f t="shared" si="477"/>
        <v>NFSE</v>
      </c>
      <c r="D1352" t="str">
        <f>"244"</f>
        <v>244</v>
      </c>
      <c r="E1352" t="str">
        <f t="shared" si="478"/>
        <v>1</v>
      </c>
      <c r="F1352" t="str">
        <f t="shared" si="479"/>
        <v>COM</v>
      </c>
      <c r="G1352" t="str">
        <f>"PENSE FARMA 35 (10227)"</f>
        <v>PENSE FARMA 35 (10227)</v>
      </c>
      <c r="H1352" t="str">
        <f>"Serv.Prest. 26/01/2026 a 01/02/2026 - RPS: 2168 - NFSe: 244"</f>
        <v>Serv.Prest. 26/01/2026 a 01/02/2026 - RPS: 2168 - NFSe: 244</v>
      </c>
      <c r="I1352" t="str">
        <f t="shared" si="480"/>
        <v>04/02/2026</v>
      </c>
      <c r="J1352" t="str">
        <f t="shared" si="481"/>
        <v>02/02/2026</v>
      </c>
      <c r="K1352" t="str">
        <f>("05/02/2026")</f>
        <v>05/02/2026</v>
      </c>
      <c r="L1352">
        <v>171.45</v>
      </c>
      <c r="M1352">
        <v>171.45</v>
      </c>
      <c r="N1352">
        <v>303</v>
      </c>
      <c r="O1352" t="str">
        <f>"RECEITAS COM ENTREGAS"</f>
        <v>RECEITAS COM ENTREGAS</v>
      </c>
      <c r="P1352">
        <v>171.45</v>
      </c>
      <c r="S1352" t="str">
        <f>"RECEITAS COM ENTREGAS (303)"</f>
        <v>RECEITAS COM ENTREGAS (303)</v>
      </c>
      <c r="T1352">
        <v>4272</v>
      </c>
      <c r="U1352">
        <v>3648</v>
      </c>
      <c r="V1352" t="s">
        <v>88</v>
      </c>
    </row>
    <row r="1353" spans="1:22">
      <c r="A1353" t="str">
        <f t="shared" si="484"/>
        <v>05/02/2026</v>
      </c>
      <c r="B1353" t="str">
        <f t="shared" si="476"/>
        <v>ENTRADA</v>
      </c>
      <c r="C1353" t="str">
        <f t="shared" si="477"/>
        <v>NFSE</v>
      </c>
      <c r="D1353" t="str">
        <f>"244"</f>
        <v>244</v>
      </c>
      <c r="E1353" t="str">
        <f t="shared" si="478"/>
        <v>1</v>
      </c>
      <c r="F1353" t="str">
        <f t="shared" si="479"/>
        <v>COM</v>
      </c>
      <c r="G1353" t="str">
        <f>"PENSE FARMA 35 (10227)"</f>
        <v>PENSE FARMA 35 (10227)</v>
      </c>
      <c r="H1353" t="s">
        <v>358</v>
      </c>
      <c r="I1353" t="str">
        <f t="shared" si="480"/>
        <v>04/02/2026</v>
      </c>
      <c r="J1353" t="str">
        <f t="shared" si="481"/>
        <v>02/02/2026</v>
      </c>
      <c r="K1353">
        <v>46058</v>
      </c>
      <c r="N1353">
        <v>303</v>
      </c>
      <c r="O1353" t="s">
        <v>26</v>
      </c>
      <c r="Q1353">
        <v>171.45</v>
      </c>
      <c r="R1353" t="str">
        <f>"PENSE FARMA 35 (10227)"</f>
        <v>PENSE FARMA 35 (10227)</v>
      </c>
      <c r="S1353" t="s">
        <v>27</v>
      </c>
      <c r="T1353">
        <v>4272</v>
      </c>
      <c r="U1353">
        <v>3648</v>
      </c>
      <c r="V1353" t="s">
        <v>88</v>
      </c>
    </row>
    <row r="1354" spans="1:22">
      <c r="A1354" t="str">
        <f t="shared" si="484"/>
        <v>05/02/2026</v>
      </c>
      <c r="B1354" t="str">
        <f t="shared" si="476"/>
        <v>ENTRADA</v>
      </c>
      <c r="C1354" t="str">
        <f t="shared" si="477"/>
        <v>NFSE</v>
      </c>
      <c r="D1354" t="str">
        <f>"245"</f>
        <v>245</v>
      </c>
      <c r="E1354" t="str">
        <f t="shared" si="478"/>
        <v>1</v>
      </c>
      <c r="F1354" t="str">
        <f t="shared" si="479"/>
        <v>COM</v>
      </c>
      <c r="G1354" t="str">
        <f>"BRASIL FARMA (10173)"</f>
        <v>BRASIL FARMA (10173)</v>
      </c>
      <c r="H1354" t="str">
        <f>"Serv.Prest. 26/01/2026 a 01/02/2026 - RPS: 2169 - NFSe: 245"</f>
        <v>Serv.Prest. 26/01/2026 a 01/02/2026 - RPS: 2169 - NFSe: 245</v>
      </c>
      <c r="I1354" t="str">
        <f t="shared" si="480"/>
        <v>04/02/2026</v>
      </c>
      <c r="J1354" t="str">
        <f t="shared" si="481"/>
        <v>02/02/2026</v>
      </c>
      <c r="K1354" t="str">
        <f>("05/02/2026")</f>
        <v>05/02/2026</v>
      </c>
      <c r="L1354">
        <v>300.89999999999998</v>
      </c>
      <c r="M1354">
        <v>300.89999999999998</v>
      </c>
      <c r="N1354">
        <v>303</v>
      </c>
      <c r="O1354" t="str">
        <f>"RECEITAS COM ENTREGAS"</f>
        <v>RECEITAS COM ENTREGAS</v>
      </c>
      <c r="P1354">
        <v>300.89999999999998</v>
      </c>
      <c r="S1354" t="str">
        <f>"RECEITAS COM ENTREGAS (303)"</f>
        <v>RECEITAS COM ENTREGAS (303)</v>
      </c>
      <c r="T1354">
        <v>4273</v>
      </c>
      <c r="U1354">
        <v>3649</v>
      </c>
      <c r="V1354" t="s">
        <v>88</v>
      </c>
    </row>
    <row r="1355" spans="1:22">
      <c r="A1355" t="str">
        <f t="shared" si="484"/>
        <v>05/02/2026</v>
      </c>
      <c r="B1355" t="str">
        <f t="shared" si="476"/>
        <v>ENTRADA</v>
      </c>
      <c r="C1355" t="str">
        <f t="shared" si="477"/>
        <v>NFSE</v>
      </c>
      <c r="D1355" t="str">
        <f>"245"</f>
        <v>245</v>
      </c>
      <c r="E1355" t="str">
        <f t="shared" si="478"/>
        <v>1</v>
      </c>
      <c r="F1355" t="str">
        <f t="shared" si="479"/>
        <v>COM</v>
      </c>
      <c r="G1355" t="str">
        <f>"BRASIL FARMA (10173)"</f>
        <v>BRASIL FARMA (10173)</v>
      </c>
      <c r="H1355" t="s">
        <v>359</v>
      </c>
      <c r="I1355" t="str">
        <f t="shared" si="480"/>
        <v>04/02/2026</v>
      </c>
      <c r="J1355" t="str">
        <f t="shared" si="481"/>
        <v>02/02/2026</v>
      </c>
      <c r="K1355">
        <v>46058</v>
      </c>
      <c r="N1355">
        <v>303</v>
      </c>
      <c r="O1355" t="s">
        <v>26</v>
      </c>
      <c r="Q1355">
        <v>300.89999999999998</v>
      </c>
      <c r="R1355" t="str">
        <f>"BRASIL FARMA (10173)"</f>
        <v>BRASIL FARMA (10173)</v>
      </c>
      <c r="S1355" t="s">
        <v>27</v>
      </c>
      <c r="T1355">
        <v>4273</v>
      </c>
      <c r="U1355">
        <v>3649</v>
      </c>
      <c r="V1355" t="s">
        <v>88</v>
      </c>
    </row>
    <row r="1356" spans="1:22">
      <c r="A1356" t="str">
        <f t="shared" si="484"/>
        <v>05/02/2026</v>
      </c>
      <c r="B1356" t="str">
        <f t="shared" si="476"/>
        <v>ENTRADA</v>
      </c>
      <c r="C1356" t="str">
        <f t="shared" si="477"/>
        <v>NFSE</v>
      </c>
      <c r="D1356" t="str">
        <f>"253"</f>
        <v>253</v>
      </c>
      <c r="E1356" t="str">
        <f t="shared" si="478"/>
        <v>1</v>
      </c>
      <c r="F1356" t="str">
        <f t="shared" si="479"/>
        <v>COM</v>
      </c>
      <c r="G1356" t="str">
        <f>"ULTRA POPULAR  UBA 2 (10214)"</f>
        <v>ULTRA POPULAR  UBA 2 (10214)</v>
      </c>
      <c r="H1356" t="str">
        <f>"Serv.Prest. 26/01/2026 a 01/02/2026 - RPS: 2177 - NFSe: 253"</f>
        <v>Serv.Prest. 26/01/2026 a 01/02/2026 - RPS: 2177 - NFSe: 253</v>
      </c>
      <c r="I1356" t="str">
        <f t="shared" si="480"/>
        <v>04/02/2026</v>
      </c>
      <c r="J1356" t="str">
        <f>("03/02/2026")</f>
        <v>03/02/2026</v>
      </c>
      <c r="K1356" t="str">
        <f>("05/02/2026")</f>
        <v>05/02/2026</v>
      </c>
      <c r="L1356">
        <v>107.48</v>
      </c>
      <c r="M1356">
        <v>107.48</v>
      </c>
      <c r="N1356">
        <v>303</v>
      </c>
      <c r="O1356" t="str">
        <f>"RECEITAS COM ENTREGAS"</f>
        <v>RECEITAS COM ENTREGAS</v>
      </c>
      <c r="P1356">
        <v>107.48</v>
      </c>
      <c r="S1356" t="str">
        <f>"RECEITAS COM ENTREGAS (303)"</f>
        <v>RECEITAS COM ENTREGAS (303)</v>
      </c>
      <c r="T1356">
        <v>4274</v>
      </c>
      <c r="U1356">
        <v>3657</v>
      </c>
      <c r="V1356" t="s">
        <v>88</v>
      </c>
    </row>
    <row r="1357" spans="1:22">
      <c r="A1357" t="str">
        <f t="shared" si="484"/>
        <v>05/02/2026</v>
      </c>
      <c r="B1357" t="str">
        <f t="shared" si="476"/>
        <v>ENTRADA</v>
      </c>
      <c r="C1357" t="str">
        <f t="shared" si="477"/>
        <v>NFSE</v>
      </c>
      <c r="D1357" t="str">
        <f>"253"</f>
        <v>253</v>
      </c>
      <c r="E1357" t="str">
        <f t="shared" si="478"/>
        <v>1</v>
      </c>
      <c r="F1357" t="str">
        <f t="shared" si="479"/>
        <v>COM</v>
      </c>
      <c r="G1357" t="str">
        <f>"ULTRA POPULAR  UBA 2 (10214)"</f>
        <v>ULTRA POPULAR  UBA 2 (10214)</v>
      </c>
      <c r="H1357" t="s">
        <v>360</v>
      </c>
      <c r="I1357" t="str">
        <f t="shared" si="480"/>
        <v>04/02/2026</v>
      </c>
      <c r="J1357" t="str">
        <f>("03/02/2026")</f>
        <v>03/02/2026</v>
      </c>
      <c r="K1357">
        <v>46058</v>
      </c>
      <c r="N1357">
        <v>303</v>
      </c>
      <c r="O1357" t="s">
        <v>26</v>
      </c>
      <c r="Q1357">
        <v>70.37</v>
      </c>
      <c r="R1357" t="str">
        <f>"ULTRA POPULAR  UBA 2 (10214)"</f>
        <v>ULTRA POPULAR  UBA 2 (10214)</v>
      </c>
      <c r="S1357" t="s">
        <v>27</v>
      </c>
      <c r="T1357">
        <v>4274</v>
      </c>
      <c r="U1357">
        <v>3657</v>
      </c>
      <c r="V1357" t="s">
        <v>88</v>
      </c>
    </row>
    <row r="1358" spans="1:22">
      <c r="A1358" t="str">
        <f t="shared" si="484"/>
        <v>05/02/2026</v>
      </c>
      <c r="B1358" t="str">
        <f t="shared" si="476"/>
        <v>ENTRADA</v>
      </c>
      <c r="C1358" t="str">
        <f t="shared" si="477"/>
        <v>NFSE</v>
      </c>
      <c r="D1358" t="str">
        <f>"253"</f>
        <v>253</v>
      </c>
      <c r="E1358" t="str">
        <f t="shared" si="478"/>
        <v>1</v>
      </c>
      <c r="F1358" t="str">
        <f t="shared" si="479"/>
        <v>COM</v>
      </c>
      <c r="G1358" t="str">
        <f>"ULTRA POPULAR  UBA 2 (10214)"</f>
        <v>ULTRA POPULAR  UBA 2 (10214)</v>
      </c>
      <c r="H1358" t="s">
        <v>360</v>
      </c>
      <c r="I1358" t="str">
        <f t="shared" si="480"/>
        <v>04/02/2026</v>
      </c>
      <c r="J1358" t="str">
        <f>("03/02/2026")</f>
        <v>03/02/2026</v>
      </c>
      <c r="K1358">
        <v>46058</v>
      </c>
      <c r="N1358">
        <v>303</v>
      </c>
      <c r="O1358" t="s">
        <v>26</v>
      </c>
      <c r="Q1358">
        <v>37.11</v>
      </c>
      <c r="R1358" t="str">
        <f>"UBA 1 (10263)"</f>
        <v>UBA 1 (10263)</v>
      </c>
      <c r="S1358" t="s">
        <v>27</v>
      </c>
      <c r="T1358">
        <v>4274</v>
      </c>
      <c r="U1358">
        <v>3657</v>
      </c>
      <c r="V1358" t="s">
        <v>88</v>
      </c>
    </row>
    <row r="1359" spans="1:22">
      <c r="A1359" t="str">
        <f t="shared" si="484"/>
        <v>05/02/2026</v>
      </c>
      <c r="B1359" t="str">
        <f t="shared" si="476"/>
        <v>ENTRADA</v>
      </c>
      <c r="C1359" t="str">
        <f t="shared" si="477"/>
        <v>NFSE</v>
      </c>
      <c r="D1359" t="str">
        <f>"255"</f>
        <v>255</v>
      </c>
      <c r="E1359" t="str">
        <f t="shared" si="478"/>
        <v>1</v>
      </c>
      <c r="F1359" t="str">
        <f t="shared" si="479"/>
        <v>COM</v>
      </c>
      <c r="G1359" t="str">
        <f>"DROGA ELIDA (10121)"</f>
        <v>DROGA ELIDA (10121)</v>
      </c>
      <c r="H1359" t="str">
        <f>"Serv.Prest. 26/01/2026 a 01/02/2026 - RPS: 2179 - NFSe: 255"</f>
        <v>Serv.Prest. 26/01/2026 a 01/02/2026 - RPS: 2179 - NFSe: 255</v>
      </c>
      <c r="I1359" t="str">
        <f t="shared" si="480"/>
        <v>04/02/2026</v>
      </c>
      <c r="J1359" t="str">
        <f>("03/02/2026")</f>
        <v>03/02/2026</v>
      </c>
      <c r="K1359" t="str">
        <f>("05/02/2026")</f>
        <v>05/02/2026</v>
      </c>
      <c r="L1359">
        <v>328.5</v>
      </c>
      <c r="M1359">
        <v>328.5</v>
      </c>
      <c r="N1359">
        <v>303</v>
      </c>
      <c r="O1359" t="str">
        <f>"RECEITAS COM ENTREGAS"</f>
        <v>RECEITAS COM ENTREGAS</v>
      </c>
      <c r="P1359">
        <v>328.5</v>
      </c>
      <c r="S1359" t="str">
        <f>"RECEITAS COM ENTREGAS (303)"</f>
        <v>RECEITAS COM ENTREGAS (303)</v>
      </c>
      <c r="T1359">
        <v>4275</v>
      </c>
      <c r="U1359">
        <v>3659</v>
      </c>
      <c r="V1359" t="s">
        <v>88</v>
      </c>
    </row>
    <row r="1360" spans="1:22">
      <c r="A1360" t="str">
        <f t="shared" si="484"/>
        <v>05/02/2026</v>
      </c>
      <c r="B1360" t="str">
        <f t="shared" si="476"/>
        <v>ENTRADA</v>
      </c>
      <c r="C1360" t="str">
        <f t="shared" si="477"/>
        <v>NFSE</v>
      </c>
      <c r="D1360" t="str">
        <f>"255"</f>
        <v>255</v>
      </c>
      <c r="E1360" t="str">
        <f t="shared" si="478"/>
        <v>1</v>
      </c>
      <c r="F1360" t="str">
        <f t="shared" ref="F1360:F1389" si="485">"COM"</f>
        <v>COM</v>
      </c>
      <c r="G1360" t="str">
        <f>"DROGA ELIDA (10121)"</f>
        <v>DROGA ELIDA (10121)</v>
      </c>
      <c r="H1360" t="s">
        <v>361</v>
      </c>
      <c r="I1360" t="str">
        <f t="shared" si="480"/>
        <v>04/02/2026</v>
      </c>
      <c r="J1360" t="str">
        <f>("03/02/2026")</f>
        <v>03/02/2026</v>
      </c>
      <c r="K1360">
        <v>46058</v>
      </c>
      <c r="N1360">
        <v>303</v>
      </c>
      <c r="O1360" t="s">
        <v>26</v>
      </c>
      <c r="Q1360">
        <v>328.5</v>
      </c>
      <c r="R1360" t="str">
        <f>"DROGA ELIDA (10121)"</f>
        <v>DROGA ELIDA (10121)</v>
      </c>
      <c r="S1360" t="s">
        <v>27</v>
      </c>
      <c r="T1360">
        <v>4275</v>
      </c>
      <c r="U1360">
        <v>3659</v>
      </c>
      <c r="V1360" t="s">
        <v>88</v>
      </c>
    </row>
    <row r="1361" spans="1:22">
      <c r="A1361" t="str">
        <f t="shared" si="484"/>
        <v>05/02/2026</v>
      </c>
      <c r="B1361" t="str">
        <f t="shared" si="476"/>
        <v>ENTRADA</v>
      </c>
      <c r="C1361" t="str">
        <f t="shared" si="477"/>
        <v>NFSE</v>
      </c>
      <c r="D1361" t="str">
        <f>"256"</f>
        <v>256</v>
      </c>
      <c r="E1361" t="str">
        <f t="shared" si="478"/>
        <v>1</v>
      </c>
      <c r="F1361" t="str">
        <f t="shared" si="485"/>
        <v>COM</v>
      </c>
      <c r="G1361" t="str">
        <f>"PENSE FARMA 22 (10198)"</f>
        <v>PENSE FARMA 22 (10198)</v>
      </c>
      <c r="H1361" t="str">
        <f>"Serv.Prest. 26/01/2026 a 01/02/2026 - RPS: 2180 - NFSe: 256"</f>
        <v>Serv.Prest. 26/01/2026 a 01/02/2026 - RPS: 2180 - NFSe: 256</v>
      </c>
      <c r="I1361" t="str">
        <f t="shared" si="480"/>
        <v>04/02/2026</v>
      </c>
      <c r="J1361" t="str">
        <f>("04/02/2026")</f>
        <v>04/02/2026</v>
      </c>
      <c r="K1361" t="str">
        <f>("05/02/2026")</f>
        <v>05/02/2026</v>
      </c>
      <c r="L1361">
        <v>413.11</v>
      </c>
      <c r="M1361">
        <v>413.11</v>
      </c>
      <c r="N1361">
        <v>303</v>
      </c>
      <c r="O1361" t="str">
        <f>"RECEITAS COM ENTREGAS"</f>
        <v>RECEITAS COM ENTREGAS</v>
      </c>
      <c r="P1361">
        <v>413.11</v>
      </c>
      <c r="S1361" t="str">
        <f>"RECEITAS COM ENTREGAS (303)"</f>
        <v>RECEITAS COM ENTREGAS (303)</v>
      </c>
      <c r="T1361">
        <v>4276</v>
      </c>
      <c r="U1361">
        <v>3661</v>
      </c>
      <c r="V1361" t="s">
        <v>88</v>
      </c>
    </row>
    <row r="1362" spans="1:22">
      <c r="A1362" t="str">
        <f t="shared" si="484"/>
        <v>05/02/2026</v>
      </c>
      <c r="B1362" t="str">
        <f t="shared" si="476"/>
        <v>ENTRADA</v>
      </c>
      <c r="C1362" t="str">
        <f t="shared" si="477"/>
        <v>NFSE</v>
      </c>
      <c r="D1362" t="str">
        <f>"256"</f>
        <v>256</v>
      </c>
      <c r="E1362" t="str">
        <f t="shared" si="478"/>
        <v>1</v>
      </c>
      <c r="F1362" t="str">
        <f t="shared" si="485"/>
        <v>COM</v>
      </c>
      <c r="G1362" t="str">
        <f>"PENSE FARMA 22 (10198)"</f>
        <v>PENSE FARMA 22 (10198)</v>
      </c>
      <c r="H1362" t="s">
        <v>362</v>
      </c>
      <c r="I1362" t="str">
        <f t="shared" si="480"/>
        <v>04/02/2026</v>
      </c>
      <c r="J1362" t="str">
        <f>("04/02/2026")</f>
        <v>04/02/2026</v>
      </c>
      <c r="K1362">
        <v>46058</v>
      </c>
      <c r="N1362">
        <v>303</v>
      </c>
      <c r="O1362" t="s">
        <v>26</v>
      </c>
      <c r="Q1362">
        <v>413.11</v>
      </c>
      <c r="R1362" t="str">
        <f>"PENSE FARMA 22 (10198)"</f>
        <v>PENSE FARMA 22 (10198)</v>
      </c>
      <c r="S1362" t="s">
        <v>27</v>
      </c>
      <c r="T1362">
        <v>4276</v>
      </c>
      <c r="U1362">
        <v>3661</v>
      </c>
      <c r="V1362" t="s">
        <v>88</v>
      </c>
    </row>
    <row r="1363" spans="1:22">
      <c r="A1363" t="str">
        <f t="shared" ref="A1363:A1387" si="486">("06/02/2026")</f>
        <v>06/02/2026</v>
      </c>
      <c r="B1363" t="str">
        <f t="shared" ref="B1363:B1377" si="487">"SAÍDA"</f>
        <v>SAÍDA</v>
      </c>
      <c r="C1363" t="str">
        <f t="shared" ref="C1363:C1372" si="488">"PIX"</f>
        <v>PIX</v>
      </c>
      <c r="D1363" t="str">
        <f>"06012026"</f>
        <v>06012026</v>
      </c>
      <c r="E1363" t="str">
        <f>"2"</f>
        <v>2</v>
      </c>
      <c r="F1363" t="str">
        <f t="shared" si="485"/>
        <v>COM</v>
      </c>
      <c r="G1363" t="str">
        <f>"LILIANE DE FATIMA REZENDE JUSTINO (20013)"</f>
        <v>LILIANE DE FATIMA REZENDE JUSTINO (20013)</v>
      </c>
      <c r="H1363" t="str">
        <f>"REF. PRO-LABORE MES 12/25"</f>
        <v>REF. PRO-LABORE MES 12/25</v>
      </c>
      <c r="I1363" t="str">
        <f t="shared" ref="I1363:I1377" si="489">("06/02/2026")</f>
        <v>06/02/2026</v>
      </c>
      <c r="J1363" t="str">
        <f>("06/01/2026")</f>
        <v>06/01/2026</v>
      </c>
      <c r="K1363" t="str">
        <f>("06/02/2026")</f>
        <v>06/02/2026</v>
      </c>
      <c r="L1363">
        <v>248.09</v>
      </c>
      <c r="M1363">
        <v>248.09</v>
      </c>
      <c r="N1363">
        <v>124</v>
      </c>
      <c r="O1363" t="str">
        <f>"PRO LABORE - LILIANE"</f>
        <v>PRO LABORE - LILIANE</v>
      </c>
      <c r="P1363">
        <v>248.09</v>
      </c>
      <c r="S1363" t="str">
        <f>"CAIXA MOVIMENTAÇÃO OPERACIONAL (132)"</f>
        <v>CAIXA MOVIMENTAÇÃO OPERACIONAL (132)</v>
      </c>
      <c r="T1363">
        <v>4153</v>
      </c>
      <c r="U1363">
        <v>3676</v>
      </c>
      <c r="V1363" t="s">
        <v>72</v>
      </c>
    </row>
    <row r="1364" spans="1:22">
      <c r="A1364" t="str">
        <f t="shared" si="486"/>
        <v>06/02/2026</v>
      </c>
      <c r="B1364" t="str">
        <f t="shared" si="487"/>
        <v>SAÍDA</v>
      </c>
      <c r="C1364" t="str">
        <f t="shared" si="488"/>
        <v>PIX</v>
      </c>
      <c r="D1364" t="str">
        <f>"06012026"</f>
        <v>06012026</v>
      </c>
      <c r="E1364" t="str">
        <f>"2"</f>
        <v>2</v>
      </c>
      <c r="F1364" t="str">
        <f t="shared" si="485"/>
        <v>COM</v>
      </c>
      <c r="G1364" t="str">
        <f>"LILIANE DE FATIMA REZENDE JUSTINO (20013)"</f>
        <v>LILIANE DE FATIMA REZENDE JUSTINO (20013)</v>
      </c>
      <c r="H1364" t="s">
        <v>73</v>
      </c>
      <c r="I1364" t="str">
        <f t="shared" si="489"/>
        <v>06/02/2026</v>
      </c>
      <c r="J1364" t="str">
        <f>("06/01/2026")</f>
        <v>06/01/2026</v>
      </c>
      <c r="K1364">
        <v>46059</v>
      </c>
      <c r="N1364">
        <v>124</v>
      </c>
      <c r="O1364" t="s">
        <v>74</v>
      </c>
      <c r="Q1364">
        <v>248.09</v>
      </c>
      <c r="R1364" t="str">
        <f>"LILIANE DE FATIMA REZENDE JUSTINO (20013)"</f>
        <v>LILIANE DE FATIMA REZENDE JUSTINO (20013)</v>
      </c>
      <c r="S1364" t="s">
        <v>72</v>
      </c>
      <c r="T1364">
        <v>4153</v>
      </c>
      <c r="U1364">
        <v>3676</v>
      </c>
      <c r="V1364" t="s">
        <v>72</v>
      </c>
    </row>
    <row r="1365" spans="1:22">
      <c r="A1365" t="str">
        <f t="shared" si="486"/>
        <v>06/02/2026</v>
      </c>
      <c r="B1365" t="str">
        <f t="shared" si="487"/>
        <v>SAÍDA</v>
      </c>
      <c r="C1365" t="str">
        <f t="shared" si="488"/>
        <v>PIX</v>
      </c>
      <c r="D1365" t="str">
        <f>"1509251000"</f>
        <v>1509251000</v>
      </c>
      <c r="E1365" t="str">
        <f>"6"</f>
        <v>6</v>
      </c>
      <c r="F1365" t="str">
        <f t="shared" si="485"/>
        <v>COM</v>
      </c>
      <c r="G1365" t="str">
        <f>"CONTA SIMPLES SOLUCOES DE PAGAMENTOS LTDA (20019)"</f>
        <v>CONTA SIMPLES SOLUCOES DE PAGAMENTOS LTDA (20019)</v>
      </c>
      <c r="H1365" t="str">
        <f>"MARKETING REDES SOCIAIS - PIX- CHAVE ALEATORIA: 1d5b84cc-db31-469d-b8ee-076ced54c3e9"</f>
        <v>MARKETING REDES SOCIAIS - PIX- CHAVE ALEATORIA: 1d5b84cc-db31-469d-b8ee-076ced54c3e9</v>
      </c>
      <c r="I1365" t="str">
        <f t="shared" si="489"/>
        <v>06/02/2026</v>
      </c>
      <c r="J1365" t="str">
        <f>("06/02/2026")</f>
        <v>06/02/2026</v>
      </c>
      <c r="K1365" t="str">
        <f>("06/02/2026")</f>
        <v>06/02/2026</v>
      </c>
      <c r="L1365">
        <v>1500</v>
      </c>
      <c r="M1365">
        <v>1500</v>
      </c>
      <c r="N1365">
        <v>127</v>
      </c>
      <c r="O1365" t="str">
        <f>"PUBLICIDADE E PROPAGANDAS"</f>
        <v>PUBLICIDADE E PROPAGANDAS</v>
      </c>
      <c r="P1365">
        <v>1500</v>
      </c>
      <c r="S1365" t="str">
        <f>"BANCO CORA (102)"</f>
        <v>BANCO CORA (102)</v>
      </c>
      <c r="T1365">
        <v>4156</v>
      </c>
      <c r="U1365">
        <v>3197</v>
      </c>
      <c r="V1365" t="s">
        <v>22</v>
      </c>
    </row>
    <row r="1366" spans="1:22">
      <c r="A1366" t="str">
        <f t="shared" si="486"/>
        <v>06/02/2026</v>
      </c>
      <c r="B1366" t="str">
        <f t="shared" si="487"/>
        <v>SAÍDA</v>
      </c>
      <c r="C1366" t="str">
        <f t="shared" si="488"/>
        <v>PIX</v>
      </c>
      <c r="D1366" t="str">
        <f>"1509251000"</f>
        <v>1509251000</v>
      </c>
      <c r="E1366" t="str">
        <f>"6"</f>
        <v>6</v>
      </c>
      <c r="F1366" t="str">
        <f t="shared" si="485"/>
        <v>COM</v>
      </c>
      <c r="G1366" t="str">
        <f>"CONTA SIMPLES SOLUCOES DE PAGAMENTOS LTDA (20019)"</f>
        <v>CONTA SIMPLES SOLUCOES DE PAGAMENTOS LTDA (20019)</v>
      </c>
      <c r="H1366" t="s">
        <v>83</v>
      </c>
      <c r="I1366" t="str">
        <f t="shared" si="489"/>
        <v>06/02/2026</v>
      </c>
      <c r="J1366" t="str">
        <f>("06/02/2026")</f>
        <v>06/02/2026</v>
      </c>
      <c r="K1366">
        <v>46059</v>
      </c>
      <c r="N1366">
        <v>127</v>
      </c>
      <c r="O1366" t="s">
        <v>84</v>
      </c>
      <c r="Q1366">
        <v>1500</v>
      </c>
      <c r="R1366" t="str">
        <f>"CONTA SIMPLES SOLUCOES DE PAGAMENTOS LTDA (20019)"</f>
        <v>CONTA SIMPLES SOLUCOES DE PAGAMENTOS LTDA (20019)</v>
      </c>
      <c r="S1366" t="s">
        <v>22</v>
      </c>
      <c r="T1366">
        <v>4156</v>
      </c>
      <c r="U1366">
        <v>3197</v>
      </c>
      <c r="V1366" t="s">
        <v>22</v>
      </c>
    </row>
    <row r="1367" spans="1:22">
      <c r="A1367" t="str">
        <f t="shared" si="486"/>
        <v>06/02/2026</v>
      </c>
      <c r="B1367" t="str">
        <f t="shared" si="487"/>
        <v>SAÍDA</v>
      </c>
      <c r="C1367" t="str">
        <f t="shared" si="488"/>
        <v>PIX</v>
      </c>
      <c r="D1367" t="str">
        <f t="shared" ref="D1367:D1372" si="490">"06012026"</f>
        <v>06012026</v>
      </c>
      <c r="E1367" t="str">
        <f>"2"</f>
        <v>2</v>
      </c>
      <c r="F1367" t="str">
        <f t="shared" si="485"/>
        <v>COM</v>
      </c>
      <c r="G1367" t="str">
        <f>"LILIANE DE FATIMA REZENDE JUSTINO (20013)"</f>
        <v>LILIANE DE FATIMA REZENDE JUSTINO (20013)</v>
      </c>
      <c r="H1367" t="str">
        <f>"REF. PRO-LABORE MES 12/25"</f>
        <v>REF. PRO-LABORE MES 12/25</v>
      </c>
      <c r="I1367" t="str">
        <f t="shared" si="489"/>
        <v>06/02/2026</v>
      </c>
      <c r="J1367" t="str">
        <f t="shared" ref="J1367:J1372" si="491">("06/01/2026")</f>
        <v>06/01/2026</v>
      </c>
      <c r="K1367" t="str">
        <f>("06/02/2026")</f>
        <v>06/02/2026</v>
      </c>
      <c r="L1367">
        <v>23085.24</v>
      </c>
      <c r="M1367">
        <v>23085.24</v>
      </c>
      <c r="N1367">
        <v>124</v>
      </c>
      <c r="O1367" t="str">
        <f>"PRO LABORE - LILIANE"</f>
        <v>PRO LABORE - LILIANE</v>
      </c>
      <c r="P1367">
        <v>23085.24</v>
      </c>
      <c r="S1367" t="str">
        <f>"BANCO CORA (102)"</f>
        <v>BANCO CORA (102)</v>
      </c>
      <c r="T1367">
        <v>4157</v>
      </c>
      <c r="U1367">
        <v>3201</v>
      </c>
      <c r="V1367" t="s">
        <v>22</v>
      </c>
    </row>
    <row r="1368" spans="1:22">
      <c r="A1368" t="str">
        <f t="shared" si="486"/>
        <v>06/02/2026</v>
      </c>
      <c r="B1368" t="str">
        <f t="shared" si="487"/>
        <v>SAÍDA</v>
      </c>
      <c r="C1368" t="str">
        <f t="shared" si="488"/>
        <v>PIX</v>
      </c>
      <c r="D1368" t="str">
        <f t="shared" si="490"/>
        <v>06012026</v>
      </c>
      <c r="E1368" t="str">
        <f>"2"</f>
        <v>2</v>
      </c>
      <c r="F1368" t="str">
        <f t="shared" si="485"/>
        <v>COM</v>
      </c>
      <c r="G1368" t="str">
        <f>"LILIANE DE FATIMA REZENDE JUSTINO (20013)"</f>
        <v>LILIANE DE FATIMA REZENDE JUSTINO (20013)</v>
      </c>
      <c r="H1368" t="s">
        <v>73</v>
      </c>
      <c r="I1368" t="str">
        <f t="shared" si="489"/>
        <v>06/02/2026</v>
      </c>
      <c r="J1368" t="str">
        <f t="shared" si="491"/>
        <v>06/01/2026</v>
      </c>
      <c r="K1368">
        <v>46059</v>
      </c>
      <c r="N1368">
        <v>124</v>
      </c>
      <c r="O1368" t="s">
        <v>74</v>
      </c>
      <c r="Q1368">
        <v>23085.24</v>
      </c>
      <c r="R1368" t="str">
        <f>"LILIANE DE FATIMA REZENDE JUSTINO (20013)"</f>
        <v>LILIANE DE FATIMA REZENDE JUSTINO (20013)</v>
      </c>
      <c r="S1368" t="s">
        <v>22</v>
      </c>
      <c r="T1368">
        <v>4157</v>
      </c>
      <c r="U1368">
        <v>3201</v>
      </c>
      <c r="V1368" t="s">
        <v>22</v>
      </c>
    </row>
    <row r="1369" spans="1:22">
      <c r="A1369" t="str">
        <f t="shared" si="486"/>
        <v>06/02/2026</v>
      </c>
      <c r="B1369" t="str">
        <f t="shared" si="487"/>
        <v>SAÍDA</v>
      </c>
      <c r="C1369" t="str">
        <f t="shared" si="488"/>
        <v>PIX</v>
      </c>
      <c r="D1369" t="str">
        <f t="shared" si="490"/>
        <v>06012026</v>
      </c>
      <c r="E1369" t="str">
        <f>"3"</f>
        <v>3</v>
      </c>
      <c r="F1369" t="str">
        <f t="shared" si="485"/>
        <v>COM</v>
      </c>
      <c r="G1369" t="str">
        <f>"LILIANE DE FATIMA REZENDE JUSTINO (20013)"</f>
        <v>LILIANE DE FATIMA REZENDE JUSTINO (20013)</v>
      </c>
      <c r="H1369" t="str">
        <f>"REF. PREST. SERVICO LILIANE"</f>
        <v>REF. PREST. SERVICO LILIANE</v>
      </c>
      <c r="I1369" t="str">
        <f t="shared" si="489"/>
        <v>06/02/2026</v>
      </c>
      <c r="J1369" t="str">
        <f t="shared" si="491"/>
        <v>06/01/2026</v>
      </c>
      <c r="K1369" t="str">
        <f>("06/02/2026")</f>
        <v>06/02/2026</v>
      </c>
      <c r="L1369">
        <v>1500</v>
      </c>
      <c r="M1369">
        <v>1500</v>
      </c>
      <c r="N1369">
        <v>124</v>
      </c>
      <c r="O1369" t="str">
        <f>"PRO LABORE - LILIANE"</f>
        <v>PRO LABORE - LILIANE</v>
      </c>
      <c r="P1369">
        <v>1500</v>
      </c>
      <c r="S1369" t="str">
        <f>"BANCO CORA (102)"</f>
        <v>BANCO CORA (102)</v>
      </c>
      <c r="T1369">
        <v>4158</v>
      </c>
      <c r="U1369">
        <v>3214</v>
      </c>
      <c r="V1369" t="s">
        <v>22</v>
      </c>
    </row>
    <row r="1370" spans="1:22">
      <c r="A1370" t="str">
        <f t="shared" si="486"/>
        <v>06/02/2026</v>
      </c>
      <c r="B1370" t="str">
        <f t="shared" si="487"/>
        <v>SAÍDA</v>
      </c>
      <c r="C1370" t="str">
        <f t="shared" si="488"/>
        <v>PIX</v>
      </c>
      <c r="D1370" t="str">
        <f t="shared" si="490"/>
        <v>06012026</v>
      </c>
      <c r="E1370" t="str">
        <f>"3"</f>
        <v>3</v>
      </c>
      <c r="F1370" t="str">
        <f t="shared" si="485"/>
        <v>COM</v>
      </c>
      <c r="G1370" t="str">
        <f>"LILIANE DE FATIMA REZENDE JUSTINO (20013)"</f>
        <v>LILIANE DE FATIMA REZENDE JUSTINO (20013)</v>
      </c>
      <c r="H1370" t="s">
        <v>85</v>
      </c>
      <c r="I1370" t="str">
        <f t="shared" si="489"/>
        <v>06/02/2026</v>
      </c>
      <c r="J1370" t="str">
        <f t="shared" si="491"/>
        <v>06/01/2026</v>
      </c>
      <c r="K1370">
        <v>46059</v>
      </c>
      <c r="N1370">
        <v>124</v>
      </c>
      <c r="O1370" t="s">
        <v>74</v>
      </c>
      <c r="Q1370">
        <v>1500</v>
      </c>
      <c r="R1370" t="str">
        <f>"LILIANE DE FATIMA REZENDE JUSTINO (20013)"</f>
        <v>LILIANE DE FATIMA REZENDE JUSTINO (20013)</v>
      </c>
      <c r="S1370" t="s">
        <v>22</v>
      </c>
      <c r="T1370">
        <v>4158</v>
      </c>
      <c r="U1370">
        <v>3214</v>
      </c>
      <c r="V1370" t="s">
        <v>22</v>
      </c>
    </row>
    <row r="1371" spans="1:22">
      <c r="A1371" t="str">
        <f t="shared" si="486"/>
        <v>06/02/2026</v>
      </c>
      <c r="B1371" t="str">
        <f t="shared" si="487"/>
        <v>SAÍDA</v>
      </c>
      <c r="C1371" t="str">
        <f t="shared" si="488"/>
        <v>PIX</v>
      </c>
      <c r="D1371" t="str">
        <f t="shared" si="490"/>
        <v>06012026</v>
      </c>
      <c r="E1371" t="str">
        <f>"2"</f>
        <v>2</v>
      </c>
      <c r="F1371" t="str">
        <f t="shared" si="485"/>
        <v>COM</v>
      </c>
      <c r="G1371" t="str">
        <f>"MARCELO REZENDE ARANTES (20014)"</f>
        <v>MARCELO REZENDE ARANTES (20014)</v>
      </c>
      <c r="H1371" t="str">
        <f>"REF. PRO-LABORE MES 12/2025"</f>
        <v>REF. PRO-LABORE MES 12/2025</v>
      </c>
      <c r="I1371" t="str">
        <f t="shared" si="489"/>
        <v>06/02/2026</v>
      </c>
      <c r="J1371" t="str">
        <f t="shared" si="491"/>
        <v>06/01/2026</v>
      </c>
      <c r="K1371" t="str">
        <f>("06/02/2026")</f>
        <v>06/02/2026</v>
      </c>
      <c r="L1371">
        <v>10000</v>
      </c>
      <c r="M1371">
        <v>10000</v>
      </c>
      <c r="N1371">
        <v>108</v>
      </c>
      <c r="O1371" t="str">
        <f>"PRO LABORE - MARCELO"</f>
        <v>PRO LABORE - MARCELO</v>
      </c>
      <c r="P1371">
        <v>10000</v>
      </c>
      <c r="S1371" t="str">
        <f>"BANCO CORA (102)"</f>
        <v>BANCO CORA (102)</v>
      </c>
      <c r="T1371">
        <v>4159</v>
      </c>
      <c r="U1371">
        <v>3229</v>
      </c>
      <c r="V1371" t="s">
        <v>22</v>
      </c>
    </row>
    <row r="1372" spans="1:22">
      <c r="A1372" t="str">
        <f t="shared" si="486"/>
        <v>06/02/2026</v>
      </c>
      <c r="B1372" t="str">
        <f t="shared" si="487"/>
        <v>SAÍDA</v>
      </c>
      <c r="C1372" t="str">
        <f t="shared" si="488"/>
        <v>PIX</v>
      </c>
      <c r="D1372" t="str">
        <f t="shared" si="490"/>
        <v>06012026</v>
      </c>
      <c r="E1372" t="str">
        <f>"2"</f>
        <v>2</v>
      </c>
      <c r="F1372" t="str">
        <f t="shared" si="485"/>
        <v>COM</v>
      </c>
      <c r="G1372" t="str">
        <f>"MARCELO REZENDE ARANTES (20014)"</f>
        <v>MARCELO REZENDE ARANTES (20014)</v>
      </c>
      <c r="H1372" t="s">
        <v>78</v>
      </c>
      <c r="I1372" t="str">
        <f t="shared" si="489"/>
        <v>06/02/2026</v>
      </c>
      <c r="J1372" t="str">
        <f t="shared" si="491"/>
        <v>06/01/2026</v>
      </c>
      <c r="K1372">
        <v>46059</v>
      </c>
      <c r="N1372">
        <v>108</v>
      </c>
      <c r="O1372" t="s">
        <v>79</v>
      </c>
      <c r="Q1372">
        <v>10000</v>
      </c>
      <c r="R1372" t="str">
        <f>"MARCELO REZENDE ARANTES (20014)"</f>
        <v>MARCELO REZENDE ARANTES (20014)</v>
      </c>
      <c r="S1372" t="s">
        <v>22</v>
      </c>
      <c r="T1372">
        <v>4159</v>
      </c>
      <c r="U1372">
        <v>3229</v>
      </c>
      <c r="V1372" t="s">
        <v>22</v>
      </c>
    </row>
    <row r="1373" spans="1:22">
      <c r="A1373" t="str">
        <f t="shared" si="486"/>
        <v>06/02/2026</v>
      </c>
      <c r="B1373" t="str">
        <f t="shared" si="487"/>
        <v>SAÍDA</v>
      </c>
      <c r="C1373" t="str">
        <f>"BOLETO"</f>
        <v>BOLETO</v>
      </c>
      <c r="D1373" t="str">
        <f>"958"</f>
        <v>958</v>
      </c>
      <c r="E1373" t="str">
        <f>"3"</f>
        <v>3</v>
      </c>
      <c r="F1373" t="str">
        <f t="shared" si="485"/>
        <v>COM</v>
      </c>
      <c r="G1373" t="str">
        <f>"GRPRO TECNOLOGIA INTEGRADA E ASSESSORIA EM NEGOCIO LTDA (20129)"</f>
        <v>GRPRO TECNOLOGIA INTEGRADA E ASSESSORIA EM NEGOCIO LTDA (20129)</v>
      </c>
      <c r="H1373" t="str">
        <f>"PLATAFORMA GRPRO WHIZ TECNOLOGIA JANEIRO/2026"</f>
        <v>PLATAFORMA GRPRO WHIZ TECNOLOGIA JANEIRO/2026</v>
      </c>
      <c r="I1373" t="str">
        <f t="shared" si="489"/>
        <v>06/02/2026</v>
      </c>
      <c r="J1373" t="str">
        <f>("05/01/2026")</f>
        <v>05/01/2026</v>
      </c>
      <c r="K1373" t="str">
        <f>("06/02/2026")</f>
        <v>06/02/2026</v>
      </c>
      <c r="L1373">
        <v>642</v>
      </c>
      <c r="M1373">
        <v>642</v>
      </c>
      <c r="N1373">
        <v>104</v>
      </c>
      <c r="O1373" t="str">
        <f>"SOFTWARE / LICENÇAS"</f>
        <v>SOFTWARE / LICENÇAS</v>
      </c>
      <c r="P1373">
        <v>642</v>
      </c>
      <c r="S1373" t="str">
        <f>"BANCO CORA (102)"</f>
        <v>BANCO CORA (102)</v>
      </c>
      <c r="T1373">
        <v>4161</v>
      </c>
      <c r="U1373">
        <v>3432</v>
      </c>
      <c r="V1373" t="s">
        <v>22</v>
      </c>
    </row>
    <row r="1374" spans="1:22">
      <c r="A1374" t="str">
        <f t="shared" si="486"/>
        <v>06/02/2026</v>
      </c>
      <c r="B1374" t="str">
        <f t="shared" si="487"/>
        <v>SAÍDA</v>
      </c>
      <c r="C1374" t="str">
        <f>"BOLETO"</f>
        <v>BOLETO</v>
      </c>
      <c r="D1374" t="str">
        <f>"958"</f>
        <v>958</v>
      </c>
      <c r="E1374" t="str">
        <f>"3"</f>
        <v>3</v>
      </c>
      <c r="F1374" t="str">
        <f t="shared" si="485"/>
        <v>COM</v>
      </c>
      <c r="G1374" t="str">
        <f>"GRPRO TECNOLOGIA INTEGRADA E ASSESSORIA EM NEGOCIO LTDA (20129)"</f>
        <v>GRPRO TECNOLOGIA INTEGRADA E ASSESSORIA EM NEGOCIO LTDA (20129)</v>
      </c>
      <c r="H1374" t="s">
        <v>363</v>
      </c>
      <c r="I1374" t="str">
        <f t="shared" si="489"/>
        <v>06/02/2026</v>
      </c>
      <c r="J1374" t="str">
        <f>("05/01/2026")</f>
        <v>05/01/2026</v>
      </c>
      <c r="K1374">
        <v>46059</v>
      </c>
      <c r="N1374">
        <v>104</v>
      </c>
      <c r="O1374" t="s">
        <v>145</v>
      </c>
      <c r="Q1374">
        <v>642</v>
      </c>
      <c r="R1374" t="str">
        <f>"GRPRO TECNOLOGIA INTEGRADA E ASSESSORIA EM NEGOCIO LTDA (20129)"</f>
        <v>GRPRO TECNOLOGIA INTEGRADA E ASSESSORIA EM NEGOCIO LTDA (20129)</v>
      </c>
      <c r="S1374" t="s">
        <v>22</v>
      </c>
      <c r="T1374">
        <v>4161</v>
      </c>
      <c r="U1374">
        <v>3432</v>
      </c>
      <c r="V1374" t="s">
        <v>22</v>
      </c>
    </row>
    <row r="1375" spans="1:22">
      <c r="A1375" t="str">
        <f t="shared" si="486"/>
        <v>06/02/2026</v>
      </c>
      <c r="B1375" t="str">
        <f t="shared" si="487"/>
        <v>SAÍDA</v>
      </c>
      <c r="C1375" t="str">
        <f>"BOLETO"</f>
        <v>BOLETO</v>
      </c>
      <c r="D1375" t="str">
        <f>"958"</f>
        <v>958</v>
      </c>
      <c r="E1375" t="str">
        <f>"2"</f>
        <v>2</v>
      </c>
      <c r="F1375" t="str">
        <f t="shared" si="485"/>
        <v>COM</v>
      </c>
      <c r="G1375" t="str">
        <f>"GRPRO TECNOLOGIA INTEGRADA E ASSESSORIA EM NEGOCIO LTDA (20129)"</f>
        <v>GRPRO TECNOLOGIA INTEGRADA E ASSESSORIA EM NEGOCIO LTDA (20129)</v>
      </c>
      <c r="H1375" t="str">
        <f>"PLATAFORMA GRPRO JANEIRO/2026"</f>
        <v>PLATAFORMA GRPRO JANEIRO/2026</v>
      </c>
      <c r="I1375" t="str">
        <f t="shared" si="489"/>
        <v>06/02/2026</v>
      </c>
      <c r="J1375" t="str">
        <f>("05/01/2026")</f>
        <v>05/01/2026</v>
      </c>
      <c r="K1375" t="str">
        <f>("06/02/2026")</f>
        <v>06/02/2026</v>
      </c>
      <c r="L1375">
        <v>2057</v>
      </c>
      <c r="M1375">
        <v>2057</v>
      </c>
      <c r="N1375">
        <v>104</v>
      </c>
      <c r="O1375" t="str">
        <f>"SOFTWARE / LICENÇAS"</f>
        <v>SOFTWARE / LICENÇAS</v>
      </c>
      <c r="P1375">
        <v>2057</v>
      </c>
      <c r="S1375" t="str">
        <f>"BANCO CORA (102)"</f>
        <v>BANCO CORA (102)</v>
      </c>
      <c r="T1375">
        <v>4203</v>
      </c>
      <c r="U1375">
        <v>3419</v>
      </c>
      <c r="V1375" t="s">
        <v>22</v>
      </c>
    </row>
    <row r="1376" spans="1:22">
      <c r="A1376" t="str">
        <f t="shared" si="486"/>
        <v>06/02/2026</v>
      </c>
      <c r="B1376" t="str">
        <f t="shared" si="487"/>
        <v>SAÍDA</v>
      </c>
      <c r="C1376" t="str">
        <f>"BOLETO"</f>
        <v>BOLETO</v>
      </c>
      <c r="D1376" t="str">
        <f>"958"</f>
        <v>958</v>
      </c>
      <c r="E1376" t="str">
        <f>"2"</f>
        <v>2</v>
      </c>
      <c r="F1376" t="str">
        <f t="shared" si="485"/>
        <v>COM</v>
      </c>
      <c r="G1376" t="str">
        <f>"GRPRO TECNOLOGIA INTEGRADA E ASSESSORIA EM NEGOCIO LTDA (20129)"</f>
        <v>GRPRO TECNOLOGIA INTEGRADA E ASSESSORIA EM NEGOCIO LTDA (20129)</v>
      </c>
      <c r="H1376" t="s">
        <v>364</v>
      </c>
      <c r="I1376" t="str">
        <f t="shared" si="489"/>
        <v>06/02/2026</v>
      </c>
      <c r="J1376" t="str">
        <f>("05/01/2026")</f>
        <v>05/01/2026</v>
      </c>
      <c r="K1376">
        <v>46059</v>
      </c>
      <c r="N1376">
        <v>104</v>
      </c>
      <c r="O1376" t="s">
        <v>145</v>
      </c>
      <c r="Q1376">
        <v>2057</v>
      </c>
      <c r="R1376" t="str">
        <f>"GRPRO TECNOLOGIA INTEGRADA E ASSESSORIA EM NEGOCIO LTDA (20129)"</f>
        <v>GRPRO TECNOLOGIA INTEGRADA E ASSESSORIA EM NEGOCIO LTDA (20129)</v>
      </c>
      <c r="S1376" t="s">
        <v>22</v>
      </c>
      <c r="T1376">
        <v>4203</v>
      </c>
      <c r="U1376">
        <v>3419</v>
      </c>
      <c r="V1376" t="s">
        <v>22</v>
      </c>
    </row>
    <row r="1377" spans="1:22">
      <c r="A1377" t="str">
        <f t="shared" si="486"/>
        <v>06/02/2026</v>
      </c>
      <c r="B1377" t="str">
        <f t="shared" si="487"/>
        <v>SAÍDA</v>
      </c>
      <c r="C1377" t="str">
        <f>"BOLETO"</f>
        <v>BOLETO</v>
      </c>
      <c r="D1377" t="str">
        <f>"903"</f>
        <v>903</v>
      </c>
      <c r="E1377" t="str">
        <f>"4"</f>
        <v>4</v>
      </c>
      <c r="F1377" t="str">
        <f t="shared" si="485"/>
        <v>COM</v>
      </c>
      <c r="G1377" t="str">
        <f>"GRPRO TECNOLOGIA INTEGRADA E ASSESSORIA EM NEGOCIO LTDA (20129)"</f>
        <v>GRPRO TECNOLOGIA INTEGRADA E ASSESSORIA EM NEGOCIO LTDA (20129)</v>
      </c>
      <c r="H1377" t="str">
        <f>"PLATAFORMA GRPRO TREINAMENTO DEZEMBRO/2025"</f>
        <v>PLATAFORMA GRPRO TREINAMENTO DEZEMBRO/2025</v>
      </c>
      <c r="I1377" t="str">
        <f t="shared" si="489"/>
        <v>06/02/2026</v>
      </c>
      <c r="J1377" t="str">
        <f>("02/12/2025")</f>
        <v>02/12/2025</v>
      </c>
      <c r="K1377" t="str">
        <f>("06/02/2026")</f>
        <v>06/02/2026</v>
      </c>
      <c r="L1377">
        <v>570</v>
      </c>
      <c r="M1377">
        <v>570</v>
      </c>
      <c r="N1377">
        <v>104</v>
      </c>
      <c r="O1377" t="str">
        <f>"SOFTWARE / LICENÇAS"</f>
        <v>SOFTWARE / LICENÇAS</v>
      </c>
      <c r="S1377" t="str">
        <f>"BANCO CORA (102)"</f>
        <v>BANCO CORA (102)</v>
      </c>
      <c r="T1377">
        <v>4203</v>
      </c>
      <c r="U1377">
        <v>3445</v>
      </c>
      <c r="V1377" t="s">
        <v>22</v>
      </c>
    </row>
    <row r="1378" spans="1:22">
      <c r="A1378" t="str">
        <f t="shared" si="486"/>
        <v>06/02/2026</v>
      </c>
      <c r="B1378" t="str">
        <f t="shared" ref="B1378:B1387" si="492">"ENTRADA"</f>
        <v>ENTRADA</v>
      </c>
      <c r="C1378" t="str">
        <f t="shared" ref="C1378:C1387" si="493">"NFSE"</f>
        <v>NFSE</v>
      </c>
      <c r="D1378" t="str">
        <f>"226"</f>
        <v>226</v>
      </c>
      <c r="E1378" t="str">
        <f t="shared" ref="E1378:E1387" si="494">"1"</f>
        <v>1</v>
      </c>
      <c r="F1378" t="str">
        <f t="shared" si="485"/>
        <v>COM</v>
      </c>
      <c r="G1378" t="str">
        <f>"DROGARIA POUPA MINAS (DOIS AMIGOS) 5 (10140)"</f>
        <v>DROGARIA POUPA MINAS (DOIS AMIGOS) 5 (10140)</v>
      </c>
      <c r="H1378" t="str">
        <f>"Serv.Prest. 26/01/2026 a 01/02/2026 - RPS: 2150 - NFSe: 226"</f>
        <v>Serv.Prest. 26/01/2026 a 01/02/2026 - RPS: 2150 - NFSe: 226</v>
      </c>
      <c r="I1378" t="str">
        <f t="shared" ref="I1378:I1383" si="495">("05/02/2026")</f>
        <v>05/02/2026</v>
      </c>
      <c r="J1378" t="str">
        <f>("02/02/2026")</f>
        <v>02/02/2026</v>
      </c>
      <c r="K1378" t="str">
        <f>("06/02/2026")</f>
        <v>06/02/2026</v>
      </c>
      <c r="L1378">
        <v>814.73</v>
      </c>
      <c r="M1378">
        <v>814.73</v>
      </c>
      <c r="N1378">
        <v>303</v>
      </c>
      <c r="O1378" t="str">
        <f>"RECEITAS COM ENTREGAS"</f>
        <v>RECEITAS COM ENTREGAS</v>
      </c>
      <c r="P1378">
        <v>814.73</v>
      </c>
      <c r="S1378" t="str">
        <f>"RECEITAS COM ENTREGAS (303)"</f>
        <v>RECEITAS COM ENTREGAS (303)</v>
      </c>
      <c r="T1378">
        <v>4277</v>
      </c>
      <c r="U1378">
        <v>3630</v>
      </c>
      <c r="V1378" t="s">
        <v>88</v>
      </c>
    </row>
    <row r="1379" spans="1:22">
      <c r="A1379" t="str">
        <f t="shared" si="486"/>
        <v>06/02/2026</v>
      </c>
      <c r="B1379" t="str">
        <f t="shared" si="492"/>
        <v>ENTRADA</v>
      </c>
      <c r="C1379" t="str">
        <f t="shared" si="493"/>
        <v>NFSE</v>
      </c>
      <c r="D1379" t="str">
        <f>"226"</f>
        <v>226</v>
      </c>
      <c r="E1379" t="str">
        <f t="shared" si="494"/>
        <v>1</v>
      </c>
      <c r="F1379" t="str">
        <f t="shared" si="485"/>
        <v>COM</v>
      </c>
      <c r="G1379" t="str">
        <f>"DROGARIA POUPA MINAS (DOIS AMIGOS) 5 (10140)"</f>
        <v>DROGARIA POUPA MINAS (DOIS AMIGOS) 5 (10140)</v>
      </c>
      <c r="H1379" t="s">
        <v>365</v>
      </c>
      <c r="I1379" t="str">
        <f t="shared" si="495"/>
        <v>05/02/2026</v>
      </c>
      <c r="J1379" t="str">
        <f>("02/02/2026")</f>
        <v>02/02/2026</v>
      </c>
      <c r="K1379">
        <v>46059</v>
      </c>
      <c r="N1379">
        <v>303</v>
      </c>
      <c r="O1379" t="s">
        <v>26</v>
      </c>
      <c r="Q1379">
        <v>814.73</v>
      </c>
      <c r="R1379" t="str">
        <f>"DROGARIA POUPA MINAS (ULTRAMINAS) 1 (10181)"</f>
        <v>DROGARIA POUPA MINAS (ULTRAMINAS) 1 (10181)</v>
      </c>
      <c r="S1379" t="s">
        <v>27</v>
      </c>
      <c r="T1379">
        <v>4277</v>
      </c>
      <c r="U1379">
        <v>3630</v>
      </c>
      <c r="V1379" t="s">
        <v>88</v>
      </c>
    </row>
    <row r="1380" spans="1:22">
      <c r="A1380" t="str">
        <f t="shared" si="486"/>
        <v>06/02/2026</v>
      </c>
      <c r="B1380" t="str">
        <f t="shared" si="492"/>
        <v>ENTRADA</v>
      </c>
      <c r="C1380" t="str">
        <f t="shared" si="493"/>
        <v>NFSE</v>
      </c>
      <c r="D1380" t="str">
        <f>"227"</f>
        <v>227</v>
      </c>
      <c r="E1380" t="str">
        <f t="shared" si="494"/>
        <v>1</v>
      </c>
      <c r="F1380" t="str">
        <f t="shared" si="485"/>
        <v>COM</v>
      </c>
      <c r="G1380" t="str">
        <f>"DROGARIA POUPA MINAS (ULTRAMINAS) 3 (10129)"</f>
        <v>DROGARIA POUPA MINAS (ULTRAMINAS) 3 (10129)</v>
      </c>
      <c r="H1380" t="str">
        <f>"Serv.Prest. 26/01/2026 a 01/02/2026 - RPS: 2151 - NFSe: 227"</f>
        <v>Serv.Prest. 26/01/2026 a 01/02/2026 - RPS: 2151 - NFSe: 227</v>
      </c>
      <c r="I1380" t="str">
        <f t="shared" si="495"/>
        <v>05/02/2026</v>
      </c>
      <c r="J1380" t="str">
        <f>("02/02/2026")</f>
        <v>02/02/2026</v>
      </c>
      <c r="K1380" t="str">
        <f>("06/02/2026")</f>
        <v>06/02/2026</v>
      </c>
      <c r="L1380">
        <v>171.6</v>
      </c>
      <c r="M1380">
        <v>171.6</v>
      </c>
      <c r="N1380">
        <v>303</v>
      </c>
      <c r="O1380" t="str">
        <f>"RECEITAS COM ENTREGAS"</f>
        <v>RECEITAS COM ENTREGAS</v>
      </c>
      <c r="P1380">
        <v>171.6</v>
      </c>
      <c r="S1380" t="str">
        <f>"RECEITAS COM ENTREGAS (303)"</f>
        <v>RECEITAS COM ENTREGAS (303)</v>
      </c>
      <c r="T1380">
        <v>4278</v>
      </c>
      <c r="U1380">
        <v>3631</v>
      </c>
      <c r="V1380" t="s">
        <v>88</v>
      </c>
    </row>
    <row r="1381" spans="1:22">
      <c r="A1381" t="str">
        <f t="shared" si="486"/>
        <v>06/02/2026</v>
      </c>
      <c r="B1381" t="str">
        <f t="shared" si="492"/>
        <v>ENTRADA</v>
      </c>
      <c r="C1381" t="str">
        <f t="shared" si="493"/>
        <v>NFSE</v>
      </c>
      <c r="D1381" t="str">
        <f>"227"</f>
        <v>227</v>
      </c>
      <c r="E1381" t="str">
        <f t="shared" si="494"/>
        <v>1</v>
      </c>
      <c r="F1381" t="str">
        <f t="shared" si="485"/>
        <v>COM</v>
      </c>
      <c r="G1381" t="str">
        <f>"DROGARIA POUPA MINAS (ULTRAMINAS) 3 (10129)"</f>
        <v>DROGARIA POUPA MINAS (ULTRAMINAS) 3 (10129)</v>
      </c>
      <c r="H1381" t="s">
        <v>366</v>
      </c>
      <c r="I1381" t="str">
        <f t="shared" si="495"/>
        <v>05/02/2026</v>
      </c>
      <c r="J1381" t="str">
        <f>("02/02/2026")</f>
        <v>02/02/2026</v>
      </c>
      <c r="K1381">
        <v>46059</v>
      </c>
      <c r="N1381">
        <v>303</v>
      </c>
      <c r="O1381" t="s">
        <v>26</v>
      </c>
      <c r="Q1381">
        <v>171.6</v>
      </c>
      <c r="R1381" t="str">
        <f>"DROGARIA POUPA MINAS (ULTRAMINAS) 3 (10129)"</f>
        <v>DROGARIA POUPA MINAS (ULTRAMINAS) 3 (10129)</v>
      </c>
      <c r="S1381" t="s">
        <v>27</v>
      </c>
      <c r="T1381">
        <v>4278</v>
      </c>
      <c r="U1381">
        <v>3631</v>
      </c>
      <c r="V1381" t="s">
        <v>88</v>
      </c>
    </row>
    <row r="1382" spans="1:22">
      <c r="A1382" t="str">
        <f t="shared" si="486"/>
        <v>06/02/2026</v>
      </c>
      <c r="B1382" t="str">
        <f t="shared" si="492"/>
        <v>ENTRADA</v>
      </c>
      <c r="C1382" t="str">
        <f t="shared" si="493"/>
        <v>NFSE</v>
      </c>
      <c r="D1382" t="str">
        <f>"254"</f>
        <v>254</v>
      </c>
      <c r="E1382" t="str">
        <f t="shared" si="494"/>
        <v>1</v>
      </c>
      <c r="F1382" t="str">
        <f t="shared" si="485"/>
        <v>COM</v>
      </c>
      <c r="G1382" t="str">
        <f>"DROGARIA POUPA MINAS (DOIS AMIGOS) 5 (10140)"</f>
        <v>DROGARIA POUPA MINAS (DOIS AMIGOS) 5 (10140)</v>
      </c>
      <c r="H1382" t="str">
        <f>"Serv.Prest. 01/01/2026 a 31/01/2026 - RPS: 2178 - NFSe: 254"</f>
        <v>Serv.Prest. 01/01/2026 a 31/01/2026 - RPS: 2178 - NFSe: 254</v>
      </c>
      <c r="I1382" t="str">
        <f t="shared" si="495"/>
        <v>05/02/2026</v>
      </c>
      <c r="J1382" t="str">
        <f>("03/02/2026")</f>
        <v>03/02/2026</v>
      </c>
      <c r="K1382" t="str">
        <f>("06/02/2026")</f>
        <v>06/02/2026</v>
      </c>
      <c r="L1382">
        <v>612</v>
      </c>
      <c r="M1382">
        <v>612</v>
      </c>
      <c r="N1382">
        <v>303</v>
      </c>
      <c r="O1382" t="str">
        <f>"RECEITAS COM ENTREGAS"</f>
        <v>RECEITAS COM ENTREGAS</v>
      </c>
      <c r="P1382">
        <v>612</v>
      </c>
      <c r="S1382" t="str">
        <f>"RECEITAS COM ENTREGAS (303)"</f>
        <v>RECEITAS COM ENTREGAS (303)</v>
      </c>
      <c r="T1382">
        <v>4279</v>
      </c>
      <c r="U1382">
        <v>3658</v>
      </c>
      <c r="V1382" t="s">
        <v>88</v>
      </c>
    </row>
    <row r="1383" spans="1:22">
      <c r="A1383" t="str">
        <f t="shared" si="486"/>
        <v>06/02/2026</v>
      </c>
      <c r="B1383" t="str">
        <f t="shared" si="492"/>
        <v>ENTRADA</v>
      </c>
      <c r="C1383" t="str">
        <f t="shared" si="493"/>
        <v>NFSE</v>
      </c>
      <c r="D1383" t="str">
        <f>"254"</f>
        <v>254</v>
      </c>
      <c r="E1383" t="str">
        <f t="shared" si="494"/>
        <v>1</v>
      </c>
      <c r="F1383" t="str">
        <f t="shared" si="485"/>
        <v>COM</v>
      </c>
      <c r="G1383" t="str">
        <f>"DROGARIA POUPA MINAS (DOIS AMIGOS) 5 (10140)"</f>
        <v>DROGARIA POUPA MINAS (DOIS AMIGOS) 5 (10140)</v>
      </c>
      <c r="H1383" t="s">
        <v>367</v>
      </c>
      <c r="I1383" t="str">
        <f t="shared" si="495"/>
        <v>05/02/2026</v>
      </c>
      <c r="J1383" t="str">
        <f>("03/02/2026")</f>
        <v>03/02/2026</v>
      </c>
      <c r="K1383">
        <v>46059</v>
      </c>
      <c r="N1383">
        <v>303</v>
      </c>
      <c r="O1383" t="s">
        <v>26</v>
      </c>
      <c r="Q1383">
        <v>612</v>
      </c>
      <c r="R1383" t="str">
        <f>"DROGARIA POUPA MINAS (ULTRAMINAS) 1 (10181)"</f>
        <v>DROGARIA POUPA MINAS (ULTRAMINAS) 1 (10181)</v>
      </c>
      <c r="S1383" t="s">
        <v>27</v>
      </c>
      <c r="T1383">
        <v>4279</v>
      </c>
      <c r="U1383">
        <v>3658</v>
      </c>
      <c r="V1383" t="s">
        <v>88</v>
      </c>
    </row>
    <row r="1384" spans="1:22">
      <c r="A1384" t="str">
        <f t="shared" si="486"/>
        <v>06/02/2026</v>
      </c>
      <c r="B1384" t="str">
        <f t="shared" si="492"/>
        <v>ENTRADA</v>
      </c>
      <c r="C1384" t="str">
        <f t="shared" si="493"/>
        <v>NFSE</v>
      </c>
      <c r="D1384" t="str">
        <f>"216"</f>
        <v>216</v>
      </c>
      <c r="E1384" t="str">
        <f t="shared" si="494"/>
        <v>1</v>
      </c>
      <c r="F1384" t="str">
        <f t="shared" si="485"/>
        <v>COM</v>
      </c>
      <c r="G1384" t="str">
        <f>"JAL FARMACIA E DROGARIA LJ 1 (10137)"</f>
        <v>JAL FARMACIA E DROGARIA LJ 1 (10137)</v>
      </c>
      <c r="H1384" t="str">
        <f>"Serv.Prest. 26/01/2026 a 01/02/2026 - RPS: 2140 - NFSe: 216"</f>
        <v>Serv.Prest. 26/01/2026 a 01/02/2026 - RPS: 2140 - NFSe: 216</v>
      </c>
      <c r="I1384" t="str">
        <f>("04/02/2026")</f>
        <v>04/02/2026</v>
      </c>
      <c r="J1384" t="str">
        <f>("02/02/2026")</f>
        <v>02/02/2026</v>
      </c>
      <c r="K1384" t="str">
        <f>("06/02/2026")</f>
        <v>06/02/2026</v>
      </c>
      <c r="L1384">
        <v>393</v>
      </c>
      <c r="M1384">
        <v>404.79</v>
      </c>
      <c r="N1384">
        <v>303</v>
      </c>
      <c r="O1384" t="str">
        <f>"RECEITAS COM ENTREGAS"</f>
        <v>RECEITAS COM ENTREGAS</v>
      </c>
      <c r="P1384">
        <v>404.79</v>
      </c>
      <c r="S1384" t="str">
        <f>"RECEITAS COM ENTREGAS (303)"</f>
        <v>RECEITAS COM ENTREGAS (303)</v>
      </c>
      <c r="T1384">
        <v>4280</v>
      </c>
      <c r="U1384">
        <v>3620</v>
      </c>
      <c r="V1384" t="s">
        <v>88</v>
      </c>
    </row>
    <row r="1385" spans="1:22">
      <c r="A1385" t="str">
        <f t="shared" si="486"/>
        <v>06/02/2026</v>
      </c>
      <c r="B1385" t="str">
        <f t="shared" si="492"/>
        <v>ENTRADA</v>
      </c>
      <c r="C1385" t="str">
        <f t="shared" si="493"/>
        <v>NFSE</v>
      </c>
      <c r="D1385" t="str">
        <f>"216"</f>
        <v>216</v>
      </c>
      <c r="E1385" t="str">
        <f t="shared" si="494"/>
        <v>1</v>
      </c>
      <c r="F1385" t="str">
        <f t="shared" si="485"/>
        <v>COM</v>
      </c>
      <c r="G1385" t="str">
        <f>"JAL FARMACIA E DROGARIA LJ 1 (10137)"</f>
        <v>JAL FARMACIA E DROGARIA LJ 1 (10137)</v>
      </c>
      <c r="H1385" t="s">
        <v>368</v>
      </c>
      <c r="I1385" t="str">
        <f>("04/02/2026")</f>
        <v>04/02/2026</v>
      </c>
      <c r="J1385" t="str">
        <f>("02/02/2026")</f>
        <v>02/02/2026</v>
      </c>
      <c r="K1385">
        <v>46059</v>
      </c>
      <c r="N1385">
        <v>303</v>
      </c>
      <c r="O1385" t="s">
        <v>26</v>
      </c>
      <c r="Q1385">
        <v>404.79</v>
      </c>
      <c r="R1385" t="str">
        <f>"JAL FARMACIA E DROGARIA LJ 1 (10137)"</f>
        <v>JAL FARMACIA E DROGARIA LJ 1 (10137)</v>
      </c>
      <c r="S1385" t="s">
        <v>27</v>
      </c>
      <c r="T1385">
        <v>4280</v>
      </c>
      <c r="U1385">
        <v>3620</v>
      </c>
      <c r="V1385" t="s">
        <v>88</v>
      </c>
    </row>
    <row r="1386" spans="1:22">
      <c r="A1386" t="str">
        <f t="shared" si="486"/>
        <v>06/02/2026</v>
      </c>
      <c r="B1386" t="str">
        <f t="shared" si="492"/>
        <v>ENTRADA</v>
      </c>
      <c r="C1386" t="str">
        <f t="shared" si="493"/>
        <v>NFSE</v>
      </c>
      <c r="D1386" t="str">
        <f>"247"</f>
        <v>247</v>
      </c>
      <c r="E1386" t="str">
        <f t="shared" si="494"/>
        <v>1</v>
      </c>
      <c r="F1386" t="str">
        <f t="shared" si="485"/>
        <v>COM</v>
      </c>
      <c r="G1386" t="str">
        <f>"FARMACIA ECONOMIZE (10103)"</f>
        <v>FARMACIA ECONOMIZE (10103)</v>
      </c>
      <c r="H1386" t="str">
        <f>"Serv.Prest. 26/01/2026 a 01/02/2026 - RPS: 2171 - NFSe: 247"</f>
        <v>Serv.Prest. 26/01/2026 a 01/02/2026 - RPS: 2171 - NFSe: 247</v>
      </c>
      <c r="I1386" t="str">
        <f>("04/02/2026")</f>
        <v>04/02/2026</v>
      </c>
      <c r="J1386" t="str">
        <f>("03/02/2026")</f>
        <v>03/02/2026</v>
      </c>
      <c r="K1386" t="str">
        <f>("06/02/2026")</f>
        <v>06/02/2026</v>
      </c>
      <c r="L1386">
        <v>24.77</v>
      </c>
      <c r="M1386">
        <v>25.5</v>
      </c>
      <c r="N1386">
        <v>303</v>
      </c>
      <c r="O1386" t="str">
        <f>"RECEITAS COM ENTREGAS"</f>
        <v>RECEITAS COM ENTREGAS</v>
      </c>
      <c r="P1386">
        <v>25.5</v>
      </c>
      <c r="S1386" t="str">
        <f>"RECEITAS COM ENTREGAS (303)"</f>
        <v>RECEITAS COM ENTREGAS (303)</v>
      </c>
      <c r="T1386">
        <v>4281</v>
      </c>
      <c r="U1386">
        <v>3651</v>
      </c>
      <c r="V1386" t="s">
        <v>88</v>
      </c>
    </row>
    <row r="1387" spans="1:22">
      <c r="A1387" t="str">
        <f t="shared" si="486"/>
        <v>06/02/2026</v>
      </c>
      <c r="B1387" t="str">
        <f t="shared" si="492"/>
        <v>ENTRADA</v>
      </c>
      <c r="C1387" t="str">
        <f t="shared" si="493"/>
        <v>NFSE</v>
      </c>
      <c r="D1387" t="str">
        <f>"247"</f>
        <v>247</v>
      </c>
      <c r="E1387" t="str">
        <f t="shared" si="494"/>
        <v>1</v>
      </c>
      <c r="F1387" t="str">
        <f t="shared" si="485"/>
        <v>COM</v>
      </c>
      <c r="G1387" t="str">
        <f>"FARMACIA ECONOMIZE (10103)"</f>
        <v>FARMACIA ECONOMIZE (10103)</v>
      </c>
      <c r="H1387" t="s">
        <v>369</v>
      </c>
      <c r="I1387" t="str">
        <f>("04/02/2026")</f>
        <v>04/02/2026</v>
      </c>
      <c r="J1387" t="str">
        <f>("03/02/2026")</f>
        <v>03/02/2026</v>
      </c>
      <c r="K1387">
        <v>46059</v>
      </c>
      <c r="N1387">
        <v>303</v>
      </c>
      <c r="O1387" t="s">
        <v>26</v>
      </c>
      <c r="Q1387">
        <v>25.5</v>
      </c>
      <c r="R1387" t="str">
        <f>"FARMACIA ECONOMIZE (10103)"</f>
        <v>FARMACIA ECONOMIZE (10103)</v>
      </c>
      <c r="S1387" t="s">
        <v>27</v>
      </c>
      <c r="T1387">
        <v>4281</v>
      </c>
      <c r="U1387">
        <v>3651</v>
      </c>
      <c r="V1387" t="s">
        <v>88</v>
      </c>
    </row>
    <row r="1388" spans="1:22">
      <c r="A1388" t="str">
        <f>("09/02/2026")</f>
        <v>09/02/2026</v>
      </c>
      <c r="B1388" t="str">
        <f>"SAÍDA"</f>
        <v>SAÍDA</v>
      </c>
      <c r="C1388" t="str">
        <f>"BOLETO"</f>
        <v>BOLETO</v>
      </c>
      <c r="D1388" t="str">
        <f>"011125"</f>
        <v>011125</v>
      </c>
      <c r="E1388" t="str">
        <f>"4"</f>
        <v>4</v>
      </c>
      <c r="F1388" t="str">
        <f t="shared" si="485"/>
        <v>COM</v>
      </c>
      <c r="G1388" t="str">
        <f>"CORA SOCIEDADE DE CREDITO, FINANCIAMENTO E INVESTIMENTO (20035)"</f>
        <v>CORA SOCIEDADE DE CREDITO, FINANCIAMENTO E INVESTIMENTO (20035)</v>
      </c>
      <c r="H1388" t="str">
        <f>"TAXA BOLETO CORA"</f>
        <v>TAXA BOLETO CORA</v>
      </c>
      <c r="I1388" t="str">
        <f>("15/02/2026")</f>
        <v>15/02/2026</v>
      </c>
      <c r="J1388" t="str">
        <f>("01/02/2026")</f>
        <v>01/02/2026</v>
      </c>
      <c r="K1388" t="str">
        <f>("09/02/2026")</f>
        <v>09/02/2026</v>
      </c>
      <c r="L1388">
        <v>44.9</v>
      </c>
      <c r="M1388">
        <v>44.9</v>
      </c>
      <c r="N1388">
        <v>401</v>
      </c>
      <c r="O1388" t="str">
        <f>"IOF/JUROS/DESP.FINANCEIRA"</f>
        <v>IOF/JUROS/DESP.FINANCEIRA</v>
      </c>
      <c r="P1388">
        <v>44.9</v>
      </c>
      <c r="S1388" t="str">
        <f>"BANCO CORA (102)"</f>
        <v>BANCO CORA (102)</v>
      </c>
      <c r="T1388">
        <v>4204</v>
      </c>
      <c r="U1388">
        <v>3741</v>
      </c>
      <c r="V1388" t="s">
        <v>22</v>
      </c>
    </row>
    <row r="1389" spans="1:22">
      <c r="A1389" t="str">
        <f>("09/02/2026")</f>
        <v>09/02/2026</v>
      </c>
      <c r="B1389" t="str">
        <f>"SAÍDA"</f>
        <v>SAÍDA</v>
      </c>
      <c r="C1389" t="str">
        <f>"BOLETO"</f>
        <v>BOLETO</v>
      </c>
      <c r="D1389" t="str">
        <f>"011125"</f>
        <v>011125</v>
      </c>
      <c r="E1389" t="str">
        <f>"4"</f>
        <v>4</v>
      </c>
      <c r="F1389" t="str">
        <f t="shared" si="485"/>
        <v>COM</v>
      </c>
      <c r="G1389" t="str">
        <f>"CORA SOCIEDADE DE CREDITO, FINANCIAMENTO E INVESTIMENTO (20035)"</f>
        <v>CORA SOCIEDADE DE CREDITO, FINANCIAMENTO E INVESTIMENTO (20035)</v>
      </c>
      <c r="H1389" t="s">
        <v>121</v>
      </c>
      <c r="I1389" t="str">
        <f>("15/02/2026")</f>
        <v>15/02/2026</v>
      </c>
      <c r="J1389" t="str">
        <f>("01/02/2026")</f>
        <v>01/02/2026</v>
      </c>
      <c r="K1389">
        <v>46062</v>
      </c>
      <c r="N1389">
        <v>401</v>
      </c>
      <c r="O1389" t="s">
        <v>58</v>
      </c>
      <c r="Q1389">
        <v>44.9</v>
      </c>
      <c r="R1389" t="str">
        <f>"CORA SOCIEDADE DE CREDITO, FINANCIAMENTO E INVESTIMENTO (20035)"</f>
        <v>CORA SOCIEDADE DE CREDITO, FINANCIAMENTO E INVESTIMENTO (20035)</v>
      </c>
      <c r="S1389" t="s">
        <v>22</v>
      </c>
      <c r="T1389">
        <v>4204</v>
      </c>
      <c r="U1389">
        <v>3741</v>
      </c>
      <c r="V1389" t="s">
        <v>22</v>
      </c>
    </row>
    <row r="1390" spans="1:22">
      <c r="A1390" t="str">
        <f>("09/02/2026")</f>
        <v>09/02/2026</v>
      </c>
      <c r="B1390" t="str">
        <f>"ENTRADA"</f>
        <v>ENTRADA</v>
      </c>
      <c r="C1390" t="str">
        <f>""</f>
        <v/>
      </c>
      <c r="D1390" t="str">
        <f>""</f>
        <v/>
      </c>
      <c r="F1390" t="str">
        <f>"CXA"</f>
        <v>CXA</v>
      </c>
      <c r="G1390" t="str">
        <f>""</f>
        <v/>
      </c>
      <c r="H1390" t="str">
        <f>"RECEBIMENTO DE SETUP - DROGARIA SANTA TEREZINHA "</f>
        <v xml:space="preserve">RECEBIMENTO DE SETUP - DROGARIA SANTA TEREZINHA </v>
      </c>
      <c r="I1390" t="str">
        <f t="shared" ref="I1390:K1392" si="496">("09/02/2026")</f>
        <v>09/02/2026</v>
      </c>
      <c r="J1390" t="str">
        <f t="shared" si="496"/>
        <v>09/02/2026</v>
      </c>
      <c r="K1390" t="str">
        <f t="shared" si="496"/>
        <v>09/02/2026</v>
      </c>
      <c r="L1390">
        <v>2500</v>
      </c>
      <c r="M1390">
        <v>2500</v>
      </c>
      <c r="N1390">
        <v>117</v>
      </c>
      <c r="O1390" t="str">
        <f>"RECEITAS COM SETUP"</f>
        <v>RECEITAS COM SETUP</v>
      </c>
      <c r="P1390">
        <v>2500</v>
      </c>
      <c r="S1390" t="str">
        <f>"RECEITAS COM SETUP (117)"</f>
        <v>RECEITAS COM SETUP (117)</v>
      </c>
      <c r="T1390">
        <v>4205</v>
      </c>
      <c r="U1390">
        <v>0</v>
      </c>
      <c r="V1390" t="s">
        <v>120</v>
      </c>
    </row>
    <row r="1391" spans="1:22">
      <c r="A1391" t="str">
        <f>("09/02/2026")</f>
        <v>09/02/2026</v>
      </c>
      <c r="B1391" t="str">
        <f t="shared" ref="B1391:B1402" si="497">"SAÍDA"</f>
        <v>SAÍDA</v>
      </c>
      <c r="C1391" t="str">
        <f>"JUROS"</f>
        <v>JUROS</v>
      </c>
      <c r="D1391" t="str">
        <f>""</f>
        <v/>
      </c>
      <c r="F1391" t="str">
        <f>"CXA"</f>
        <v>CXA</v>
      </c>
      <c r="G1391" t="str">
        <f>""</f>
        <v/>
      </c>
      <c r="H1391" t="str">
        <f>"TARIFA MANUTENÇAO DE CONTA"</f>
        <v>TARIFA MANUTENÇAO DE CONTA</v>
      </c>
      <c r="I1391" t="str">
        <f t="shared" si="496"/>
        <v>09/02/2026</v>
      </c>
      <c r="J1391" t="str">
        <f t="shared" si="496"/>
        <v>09/02/2026</v>
      </c>
      <c r="K1391" t="str">
        <f t="shared" si="496"/>
        <v>09/02/2026</v>
      </c>
      <c r="L1391">
        <v>58.5</v>
      </c>
      <c r="M1391">
        <v>58.5</v>
      </c>
      <c r="N1391">
        <v>401</v>
      </c>
      <c r="O1391" t="str">
        <f>"IOF/JUROS/DESP.FINANCEIRA"</f>
        <v>IOF/JUROS/DESP.FINANCEIRA</v>
      </c>
      <c r="P1391">
        <v>58.5</v>
      </c>
      <c r="S1391" t="str">
        <f>"BANCO SICREDI (131)"</f>
        <v>BANCO SICREDI (131)</v>
      </c>
      <c r="T1391">
        <v>4231</v>
      </c>
      <c r="U1391">
        <v>0</v>
      </c>
      <c r="V1391" t="s">
        <v>54</v>
      </c>
    </row>
    <row r="1392" spans="1:22">
      <c r="A1392" t="str">
        <f>("09/02/2026")</f>
        <v>09/02/2026</v>
      </c>
      <c r="B1392" t="str">
        <f t="shared" si="497"/>
        <v>SAÍDA</v>
      </c>
      <c r="C1392" t="str">
        <f>"JUROS"</f>
        <v>JUROS</v>
      </c>
      <c r="D1392" t="str">
        <f>""</f>
        <v/>
      </c>
      <c r="F1392" t="str">
        <f>"CXA"</f>
        <v>CXA</v>
      </c>
      <c r="G1392" t="str">
        <f>""</f>
        <v/>
      </c>
      <c r="H1392" t="str">
        <f>"TARIFA BOLETOS BANCARIOS"</f>
        <v>TARIFA BOLETOS BANCARIOS</v>
      </c>
      <c r="I1392" t="str">
        <f t="shared" si="496"/>
        <v>09/02/2026</v>
      </c>
      <c r="J1392" t="str">
        <f t="shared" si="496"/>
        <v>09/02/2026</v>
      </c>
      <c r="K1392" t="str">
        <f t="shared" si="496"/>
        <v>09/02/2026</v>
      </c>
      <c r="L1392">
        <v>43.09</v>
      </c>
      <c r="M1392">
        <v>43.09</v>
      </c>
      <c r="N1392">
        <v>401</v>
      </c>
      <c r="O1392" t="str">
        <f>"IOF/JUROS/DESP.FINANCEIRA"</f>
        <v>IOF/JUROS/DESP.FINANCEIRA</v>
      </c>
      <c r="P1392">
        <v>43.09</v>
      </c>
      <c r="S1392" t="str">
        <f>"BANCO SICREDI (131)"</f>
        <v>BANCO SICREDI (131)</v>
      </c>
      <c r="T1392">
        <v>4232</v>
      </c>
      <c r="U1392">
        <v>0</v>
      </c>
      <c r="V1392" t="s">
        <v>54</v>
      </c>
    </row>
    <row r="1393" spans="1:22">
      <c r="A1393" t="str">
        <f t="shared" ref="A1393:A1422" si="498">("10/02/2026")</f>
        <v>10/02/2026</v>
      </c>
      <c r="B1393" t="str">
        <f t="shared" si="497"/>
        <v>SAÍDA</v>
      </c>
      <c r="C1393" t="str">
        <f>"PIX"</f>
        <v>PIX</v>
      </c>
      <c r="D1393" t="str">
        <f>"19112535"</f>
        <v>19112535</v>
      </c>
      <c r="E1393" t="str">
        <f>"4"</f>
        <v>4</v>
      </c>
      <c r="F1393" t="str">
        <f t="shared" ref="F1393:F1416" si="499">"COM"</f>
        <v>COM</v>
      </c>
      <c r="G1393" t="str">
        <f>"LILIANE DE FATIMA REZENDE JUSTINO (20013)"</f>
        <v>LILIANE DE FATIMA REZENDE JUSTINO (20013)</v>
      </c>
      <c r="H1393" t="str">
        <f>"REEMBOLSO - MENSALIDADE CANVA"</f>
        <v>REEMBOLSO - MENSALIDADE CANVA</v>
      </c>
      <c r="I1393" t="str">
        <f t="shared" ref="I1393:I1402" si="500">("10/02/2026")</f>
        <v>10/02/2026</v>
      </c>
      <c r="J1393" t="str">
        <f>("18/11/2025")</f>
        <v>18/11/2025</v>
      </c>
      <c r="K1393" t="str">
        <f>("10/02/2026")</f>
        <v>10/02/2026</v>
      </c>
      <c r="L1393">
        <v>35</v>
      </c>
      <c r="M1393">
        <v>35</v>
      </c>
      <c r="N1393">
        <v>104</v>
      </c>
      <c r="O1393" t="str">
        <f>"SOFTWARE / LICENÇAS"</f>
        <v>SOFTWARE / LICENÇAS</v>
      </c>
      <c r="P1393">
        <v>35</v>
      </c>
      <c r="S1393" t="str">
        <f>"BANCO CORA (102)"</f>
        <v>BANCO CORA (102)</v>
      </c>
      <c r="T1393">
        <v>4170</v>
      </c>
      <c r="U1393">
        <v>2680</v>
      </c>
      <c r="V1393" t="s">
        <v>22</v>
      </c>
    </row>
    <row r="1394" spans="1:22">
      <c r="A1394" t="str">
        <f t="shared" si="498"/>
        <v>10/02/2026</v>
      </c>
      <c r="B1394" t="str">
        <f t="shared" si="497"/>
        <v>SAÍDA</v>
      </c>
      <c r="C1394" t="str">
        <f>"PIX"</f>
        <v>PIX</v>
      </c>
      <c r="D1394" t="str">
        <f>"19112535"</f>
        <v>19112535</v>
      </c>
      <c r="E1394" t="str">
        <f>"4"</f>
        <v>4</v>
      </c>
      <c r="F1394" t="str">
        <f t="shared" si="499"/>
        <v>COM</v>
      </c>
      <c r="G1394" t="str">
        <f>"LILIANE DE FATIMA REZENDE JUSTINO (20013)"</f>
        <v>LILIANE DE FATIMA REZENDE JUSTINO (20013)</v>
      </c>
      <c r="H1394" t="s">
        <v>191</v>
      </c>
      <c r="I1394" t="str">
        <f t="shared" si="500"/>
        <v>10/02/2026</v>
      </c>
      <c r="J1394" t="str">
        <f>("18/11/2025")</f>
        <v>18/11/2025</v>
      </c>
      <c r="K1394">
        <v>46063</v>
      </c>
      <c r="N1394">
        <v>104</v>
      </c>
      <c r="O1394" t="s">
        <v>145</v>
      </c>
      <c r="Q1394">
        <v>35</v>
      </c>
      <c r="R1394" t="str">
        <f>"LILIANE DE FATIMA REZENDE JUSTINO (20013)"</f>
        <v>LILIANE DE FATIMA REZENDE JUSTINO (20013)</v>
      </c>
      <c r="S1394" t="s">
        <v>22</v>
      </c>
      <c r="T1394">
        <v>4170</v>
      </c>
      <c r="U1394">
        <v>2680</v>
      </c>
      <c r="V1394" t="s">
        <v>22</v>
      </c>
    </row>
    <row r="1395" spans="1:22">
      <c r="A1395" t="str">
        <f t="shared" si="498"/>
        <v>10/02/2026</v>
      </c>
      <c r="B1395" t="str">
        <f t="shared" si="497"/>
        <v>SAÍDA</v>
      </c>
      <c r="C1395" t="str">
        <f>"PIX"</f>
        <v>PIX</v>
      </c>
      <c r="D1395" t="str">
        <f>"1012253290"</f>
        <v>1012253290</v>
      </c>
      <c r="E1395" t="str">
        <f>"3"</f>
        <v>3</v>
      </c>
      <c r="F1395" t="str">
        <f t="shared" si="499"/>
        <v>COM</v>
      </c>
      <c r="G1395" t="str">
        <f>"LILIANE DE FATIMA REZENDE JUSTINO (20013)"</f>
        <v>LILIANE DE FATIMA REZENDE JUSTINO (20013)</v>
      </c>
      <c r="H1395" t="str">
        <f>"ASSINATURA CAPCUT"</f>
        <v>ASSINATURA CAPCUT</v>
      </c>
      <c r="I1395" t="str">
        <f t="shared" si="500"/>
        <v>10/02/2026</v>
      </c>
      <c r="J1395" t="str">
        <f>("18/11/2025")</f>
        <v>18/11/2025</v>
      </c>
      <c r="K1395" t="str">
        <f>("10/02/2026")</f>
        <v>10/02/2026</v>
      </c>
      <c r="L1395">
        <v>32.9</v>
      </c>
      <c r="M1395">
        <v>32.9</v>
      </c>
      <c r="N1395">
        <v>104</v>
      </c>
      <c r="O1395" t="str">
        <f>"SOFTWARE / LICENÇAS"</f>
        <v>SOFTWARE / LICENÇAS</v>
      </c>
      <c r="P1395">
        <v>32.9</v>
      </c>
      <c r="S1395" t="str">
        <f>"BANCO CORA (102)"</f>
        <v>BANCO CORA (102)</v>
      </c>
      <c r="T1395">
        <v>4171</v>
      </c>
      <c r="U1395">
        <v>2693</v>
      </c>
      <c r="V1395" t="s">
        <v>22</v>
      </c>
    </row>
    <row r="1396" spans="1:22">
      <c r="A1396" t="str">
        <f t="shared" si="498"/>
        <v>10/02/2026</v>
      </c>
      <c r="B1396" t="str">
        <f t="shared" si="497"/>
        <v>SAÍDA</v>
      </c>
      <c r="C1396" t="str">
        <f>"PIX"</f>
        <v>PIX</v>
      </c>
      <c r="D1396" t="str">
        <f>"1012253290"</f>
        <v>1012253290</v>
      </c>
      <c r="E1396" t="str">
        <f>"3"</f>
        <v>3</v>
      </c>
      <c r="F1396" t="str">
        <f t="shared" si="499"/>
        <v>COM</v>
      </c>
      <c r="G1396" t="str">
        <f>"LILIANE DE FATIMA REZENDE JUSTINO (20013)"</f>
        <v>LILIANE DE FATIMA REZENDE JUSTINO (20013)</v>
      </c>
      <c r="H1396" t="s">
        <v>370</v>
      </c>
      <c r="I1396" t="str">
        <f t="shared" si="500"/>
        <v>10/02/2026</v>
      </c>
      <c r="J1396" t="str">
        <f>("18/11/2025")</f>
        <v>18/11/2025</v>
      </c>
      <c r="K1396">
        <v>46063</v>
      </c>
      <c r="N1396">
        <v>104</v>
      </c>
      <c r="O1396" t="s">
        <v>145</v>
      </c>
      <c r="Q1396">
        <v>32.9</v>
      </c>
      <c r="R1396" t="str">
        <f>"LILIANE DE FATIMA REZENDE JUSTINO (20013)"</f>
        <v>LILIANE DE FATIMA REZENDE JUSTINO (20013)</v>
      </c>
      <c r="S1396" t="s">
        <v>22</v>
      </c>
      <c r="T1396">
        <v>4171</v>
      </c>
      <c r="U1396">
        <v>2693</v>
      </c>
      <c r="V1396" t="s">
        <v>22</v>
      </c>
    </row>
    <row r="1397" spans="1:22">
      <c r="A1397" t="str">
        <f t="shared" si="498"/>
        <v>10/02/2026</v>
      </c>
      <c r="B1397" t="str">
        <f t="shared" si="497"/>
        <v>SAÍDA</v>
      </c>
      <c r="C1397" t="str">
        <f>"BOLETO"</f>
        <v>BOLETO</v>
      </c>
      <c r="D1397" t="str">
        <f>"10791437"</f>
        <v>10791437</v>
      </c>
      <c r="E1397" t="str">
        <f>"2"</f>
        <v>2</v>
      </c>
      <c r="F1397" t="str">
        <f t="shared" si="499"/>
        <v>COM</v>
      </c>
      <c r="G1397" t="str">
        <f>"UNIODONTO REGIONAL COOPERATIVA ODONTOLOGICA LTDA. (20024)"</f>
        <v>UNIODONTO REGIONAL COOPERATIVA ODONTOLOGICA LTDA. (20024)</v>
      </c>
      <c r="H1397" t="str">
        <f>"UNIODONTO REGIONAL "</f>
        <v xml:space="preserve">UNIODONTO REGIONAL </v>
      </c>
      <c r="I1397" t="str">
        <f t="shared" si="500"/>
        <v>10/02/2026</v>
      </c>
      <c r="J1397" t="str">
        <f>("16/01/2026")</f>
        <v>16/01/2026</v>
      </c>
      <c r="K1397" t="str">
        <f>("10/02/2026")</f>
        <v>10/02/2026</v>
      </c>
      <c r="L1397">
        <v>1640.7</v>
      </c>
      <c r="M1397">
        <v>1640.7</v>
      </c>
      <c r="N1397">
        <v>192</v>
      </c>
      <c r="O1397" t="str">
        <f>"PLANOS E SEGUROS"</f>
        <v>PLANOS E SEGUROS</v>
      </c>
      <c r="P1397">
        <v>1640.7</v>
      </c>
      <c r="S1397" t="str">
        <f>"BANCO CORA (102)"</f>
        <v>BANCO CORA (102)</v>
      </c>
      <c r="T1397">
        <v>4172</v>
      </c>
      <c r="U1397">
        <v>3598</v>
      </c>
      <c r="V1397" t="s">
        <v>22</v>
      </c>
    </row>
    <row r="1398" spans="1:22">
      <c r="A1398" t="str">
        <f t="shared" si="498"/>
        <v>10/02/2026</v>
      </c>
      <c r="B1398" t="str">
        <f t="shared" si="497"/>
        <v>SAÍDA</v>
      </c>
      <c r="C1398" t="str">
        <f>"BOLETO"</f>
        <v>BOLETO</v>
      </c>
      <c r="D1398" t="str">
        <f>"10791437"</f>
        <v>10791437</v>
      </c>
      <c r="E1398" t="str">
        <f>"2"</f>
        <v>2</v>
      </c>
      <c r="F1398" t="str">
        <f t="shared" si="499"/>
        <v>COM</v>
      </c>
      <c r="G1398" t="str">
        <f>"UNIODONTO REGIONAL COOPERATIVA ODONTOLOGICA LTDA. (20024)"</f>
        <v>UNIODONTO REGIONAL COOPERATIVA ODONTOLOGICA LTDA. (20024)</v>
      </c>
      <c r="H1398" t="s">
        <v>371</v>
      </c>
      <c r="I1398" t="str">
        <f t="shared" si="500"/>
        <v>10/02/2026</v>
      </c>
      <c r="J1398" t="str">
        <f>("16/01/2026")</f>
        <v>16/01/2026</v>
      </c>
      <c r="K1398">
        <v>46063</v>
      </c>
      <c r="N1398">
        <v>192</v>
      </c>
      <c r="O1398" t="s">
        <v>24</v>
      </c>
      <c r="Q1398">
        <v>1640.7</v>
      </c>
      <c r="R1398" t="str">
        <f>"UNIODONTO REGIONAL COOPERATIVA ODONTOLOGICA LTDA. (20024)"</f>
        <v>UNIODONTO REGIONAL COOPERATIVA ODONTOLOGICA LTDA. (20024)</v>
      </c>
      <c r="S1398" t="s">
        <v>22</v>
      </c>
      <c r="T1398">
        <v>4172</v>
      </c>
      <c r="U1398">
        <v>3598</v>
      </c>
      <c r="V1398" t="s">
        <v>22</v>
      </c>
    </row>
    <row r="1399" spans="1:22">
      <c r="A1399" t="str">
        <f t="shared" si="498"/>
        <v>10/02/2026</v>
      </c>
      <c r="B1399" t="str">
        <f t="shared" si="497"/>
        <v>SAÍDA</v>
      </c>
      <c r="C1399" t="str">
        <f>"BOLETO"</f>
        <v>BOLETO</v>
      </c>
      <c r="D1399" t="str">
        <f>"741810881"</f>
        <v>741810881</v>
      </c>
      <c r="E1399" t="str">
        <f>"1"</f>
        <v>1</v>
      </c>
      <c r="F1399" t="str">
        <f t="shared" si="499"/>
        <v>COM</v>
      </c>
      <c r="G1399" t="str">
        <f>"49 EDUCACAO LTDA (20139)"</f>
        <v>49 EDUCACAO LTDA (20139)</v>
      </c>
      <c r="H1399" t="str">
        <f>"TREINAMENTO DE GESTÃO "</f>
        <v xml:space="preserve">TREINAMENTO DE GESTÃO </v>
      </c>
      <c r="I1399" t="str">
        <f t="shared" si="500"/>
        <v>10/02/2026</v>
      </c>
      <c r="J1399" t="str">
        <f>("10/02/2026")</f>
        <v>10/02/2026</v>
      </c>
      <c r="K1399" t="str">
        <f>("10/02/2026")</f>
        <v>10/02/2026</v>
      </c>
      <c r="L1399">
        <v>6000</v>
      </c>
      <c r="M1399">
        <v>6000</v>
      </c>
      <c r="N1399">
        <v>110</v>
      </c>
      <c r="O1399" t="str">
        <f>"CURSOS E TREINAMENTOS"</f>
        <v>CURSOS E TREINAMENTOS</v>
      </c>
      <c r="P1399">
        <v>6000</v>
      </c>
      <c r="S1399" t="str">
        <f>"BANCO CORA (102)"</f>
        <v>BANCO CORA (102)</v>
      </c>
      <c r="T1399">
        <v>4173</v>
      </c>
      <c r="U1399">
        <v>3729</v>
      </c>
      <c r="V1399" t="s">
        <v>22</v>
      </c>
    </row>
    <row r="1400" spans="1:22">
      <c r="A1400" t="str">
        <f t="shared" si="498"/>
        <v>10/02/2026</v>
      </c>
      <c r="B1400" t="str">
        <f t="shared" si="497"/>
        <v>SAÍDA</v>
      </c>
      <c r="C1400" t="str">
        <f>"BOLETO"</f>
        <v>BOLETO</v>
      </c>
      <c r="D1400" t="str">
        <f>"741810881"</f>
        <v>741810881</v>
      </c>
      <c r="E1400" t="str">
        <f>"1"</f>
        <v>1</v>
      </c>
      <c r="F1400" t="str">
        <f t="shared" si="499"/>
        <v>COM</v>
      </c>
      <c r="G1400" t="str">
        <f>"49 EDUCACAO LTDA (20139)"</f>
        <v>49 EDUCACAO LTDA (20139)</v>
      </c>
      <c r="H1400" t="s">
        <v>372</v>
      </c>
      <c r="I1400" t="str">
        <f t="shared" si="500"/>
        <v>10/02/2026</v>
      </c>
      <c r="J1400" t="str">
        <f>("10/02/2026")</f>
        <v>10/02/2026</v>
      </c>
      <c r="K1400">
        <v>46063</v>
      </c>
      <c r="N1400">
        <v>110</v>
      </c>
      <c r="O1400" t="s">
        <v>373</v>
      </c>
      <c r="Q1400">
        <v>6000</v>
      </c>
      <c r="R1400" t="str">
        <f>"49 EDUCACAO LTDA (20139)"</f>
        <v>49 EDUCACAO LTDA (20139)</v>
      </c>
      <c r="S1400" t="s">
        <v>22</v>
      </c>
      <c r="T1400">
        <v>4173</v>
      </c>
      <c r="U1400">
        <v>3729</v>
      </c>
      <c r="V1400" t="s">
        <v>22</v>
      </c>
    </row>
    <row r="1401" spans="1:22">
      <c r="A1401" t="str">
        <f t="shared" si="498"/>
        <v>10/02/2026</v>
      </c>
      <c r="B1401" t="str">
        <f t="shared" si="497"/>
        <v>SAÍDA</v>
      </c>
      <c r="C1401" t="str">
        <f>"PIX"</f>
        <v>PIX</v>
      </c>
      <c r="D1401" t="str">
        <f>"100202026"</f>
        <v>100202026</v>
      </c>
      <c r="E1401" t="str">
        <f>""</f>
        <v/>
      </c>
      <c r="F1401" t="str">
        <f t="shared" si="499"/>
        <v>COM</v>
      </c>
      <c r="G1401" t="str">
        <f>"GUSTAVO CESAR DE REZENDE (20060)"</f>
        <v>GUSTAVO CESAR DE REZENDE (20060)</v>
      </c>
      <c r="H1401" t="str">
        <f>"DESPESAS COM VIAGEM OPERACIONAL TEOFILO OTONI "</f>
        <v xml:space="preserve">DESPESAS COM VIAGEM OPERACIONAL TEOFILO OTONI </v>
      </c>
      <c r="I1401" t="str">
        <f t="shared" si="500"/>
        <v>10/02/2026</v>
      </c>
      <c r="J1401" t="str">
        <f>("10/02/2026")</f>
        <v>10/02/2026</v>
      </c>
      <c r="K1401" t="str">
        <f>("10/02/2026")</f>
        <v>10/02/2026</v>
      </c>
      <c r="L1401">
        <v>1876.22</v>
      </c>
      <c r="M1401">
        <v>1876.22</v>
      </c>
      <c r="N1401">
        <v>128</v>
      </c>
      <c r="O1401" t="str">
        <f>"DESPESAS COM VIAGENS"</f>
        <v>DESPESAS COM VIAGENS</v>
      </c>
      <c r="P1401">
        <v>1876.22</v>
      </c>
      <c r="S1401" t="str">
        <f>"BANCO CORA (102)"</f>
        <v>BANCO CORA (102)</v>
      </c>
      <c r="T1401">
        <v>4174</v>
      </c>
      <c r="U1401">
        <v>3734</v>
      </c>
      <c r="V1401" t="s">
        <v>22</v>
      </c>
    </row>
    <row r="1402" spans="1:22">
      <c r="A1402" t="str">
        <f t="shared" si="498"/>
        <v>10/02/2026</v>
      </c>
      <c r="B1402" t="str">
        <f t="shared" si="497"/>
        <v>SAÍDA</v>
      </c>
      <c r="C1402" t="str">
        <f>"PIX"</f>
        <v>PIX</v>
      </c>
      <c r="D1402" t="str">
        <f>"100202026"</f>
        <v>100202026</v>
      </c>
      <c r="E1402" t="str">
        <f>""</f>
        <v/>
      </c>
      <c r="F1402" t="str">
        <f t="shared" si="499"/>
        <v>COM</v>
      </c>
      <c r="G1402" t="str">
        <f>"GUSTAVO CESAR DE REZENDE (20060)"</f>
        <v>GUSTAVO CESAR DE REZENDE (20060)</v>
      </c>
      <c r="H1402" t="s">
        <v>374</v>
      </c>
      <c r="I1402" t="str">
        <f t="shared" si="500"/>
        <v>10/02/2026</v>
      </c>
      <c r="J1402" t="str">
        <f>("10/02/2026")</f>
        <v>10/02/2026</v>
      </c>
      <c r="K1402">
        <v>46063</v>
      </c>
      <c r="N1402">
        <v>128</v>
      </c>
      <c r="O1402" t="s">
        <v>60</v>
      </c>
      <c r="Q1402">
        <v>1876.22</v>
      </c>
      <c r="R1402" t="str">
        <f>"GUSTAVO CESAR DE REZENDE (20060)"</f>
        <v>GUSTAVO CESAR DE REZENDE (20060)</v>
      </c>
      <c r="S1402" t="s">
        <v>22</v>
      </c>
      <c r="T1402">
        <v>4174</v>
      </c>
      <c r="U1402">
        <v>3734</v>
      </c>
      <c r="V1402" t="s">
        <v>22</v>
      </c>
    </row>
    <row r="1403" spans="1:22">
      <c r="A1403" t="str">
        <f t="shared" si="498"/>
        <v>10/02/2026</v>
      </c>
      <c r="B1403" t="str">
        <f t="shared" ref="B1403:B1416" si="501">"ENTRADA"</f>
        <v>ENTRADA</v>
      </c>
      <c r="C1403" t="str">
        <f t="shared" ref="C1403:C1414" si="502">"NFSE"</f>
        <v>NFSE</v>
      </c>
      <c r="D1403" t="str">
        <f t="shared" ref="D1403:D1411" si="503">"165"</f>
        <v>165</v>
      </c>
      <c r="E1403" t="str">
        <f t="shared" ref="E1403:E1414" si="504">"1"</f>
        <v>1</v>
      </c>
      <c r="F1403" t="str">
        <f t="shared" si="499"/>
        <v>COM</v>
      </c>
      <c r="G1403" t="str">
        <f t="shared" ref="G1403:G1411" si="505">"PAGMENOS - LJ 608 (10135)"</f>
        <v>PAGMENOS - LJ 608 (10135)</v>
      </c>
      <c r="H1403" t="str">
        <f>"Serv.Prest. 19/01/2026 a 25/01/2026 - RPS: 2090 - NFSe: 165"</f>
        <v>Serv.Prest. 19/01/2026 a 25/01/2026 - RPS: 2090 - NFSe: 165</v>
      </c>
      <c r="I1403" t="str">
        <f t="shared" ref="I1403:I1414" si="506">("04/02/2026")</f>
        <v>04/02/2026</v>
      </c>
      <c r="J1403" t="str">
        <f t="shared" ref="J1403:J1414" si="507">("26/01/2026")</f>
        <v>26/01/2026</v>
      </c>
      <c r="K1403" t="str">
        <f>("10/02/2026")</f>
        <v>10/02/2026</v>
      </c>
      <c r="L1403">
        <v>1341.66</v>
      </c>
      <c r="M1403">
        <v>1341.66</v>
      </c>
      <c r="N1403">
        <v>303</v>
      </c>
      <c r="O1403" t="str">
        <f>"RECEITAS COM ENTREGAS"</f>
        <v>RECEITAS COM ENTREGAS</v>
      </c>
      <c r="P1403">
        <v>1341.66</v>
      </c>
      <c r="S1403" t="str">
        <f>"RECEITAS COM ENTREGAS (303)"</f>
        <v>RECEITAS COM ENTREGAS (303)</v>
      </c>
      <c r="T1403">
        <v>4206</v>
      </c>
      <c r="U1403">
        <v>3557</v>
      </c>
      <c r="V1403" t="s">
        <v>22</v>
      </c>
    </row>
    <row r="1404" spans="1:22">
      <c r="A1404" t="str">
        <f t="shared" si="498"/>
        <v>10/02/2026</v>
      </c>
      <c r="B1404" t="str">
        <f t="shared" si="501"/>
        <v>ENTRADA</v>
      </c>
      <c r="C1404" t="str">
        <f t="shared" si="502"/>
        <v>NFSE</v>
      </c>
      <c r="D1404" t="str">
        <f t="shared" si="503"/>
        <v>165</v>
      </c>
      <c r="E1404" t="str">
        <f t="shared" si="504"/>
        <v>1</v>
      </c>
      <c r="F1404" t="str">
        <f t="shared" si="499"/>
        <v>COM</v>
      </c>
      <c r="G1404" t="str">
        <f t="shared" si="505"/>
        <v>PAGMENOS - LJ 608 (10135)</v>
      </c>
      <c r="H1404" t="s">
        <v>375</v>
      </c>
      <c r="I1404" t="str">
        <f t="shared" si="506"/>
        <v>04/02/2026</v>
      </c>
      <c r="J1404" t="str">
        <f t="shared" si="507"/>
        <v>26/01/2026</v>
      </c>
      <c r="K1404">
        <v>46063</v>
      </c>
      <c r="N1404">
        <v>303</v>
      </c>
      <c r="O1404" t="s">
        <v>26</v>
      </c>
      <c r="Q1404">
        <v>220.3</v>
      </c>
      <c r="R1404" t="str">
        <f>"PAGMENOS - LJ 608 (10135)"</f>
        <v>PAGMENOS - LJ 608 (10135)</v>
      </c>
      <c r="S1404" t="s">
        <v>27</v>
      </c>
      <c r="T1404">
        <v>4206</v>
      </c>
      <c r="U1404">
        <v>3557</v>
      </c>
      <c r="V1404" t="s">
        <v>22</v>
      </c>
    </row>
    <row r="1405" spans="1:22">
      <c r="A1405" t="str">
        <f t="shared" si="498"/>
        <v>10/02/2026</v>
      </c>
      <c r="B1405" t="str">
        <f t="shared" si="501"/>
        <v>ENTRADA</v>
      </c>
      <c r="C1405" t="str">
        <f t="shared" si="502"/>
        <v>NFSE</v>
      </c>
      <c r="D1405" t="str">
        <f t="shared" si="503"/>
        <v>165</v>
      </c>
      <c r="E1405" t="str">
        <f t="shared" si="504"/>
        <v>1</v>
      </c>
      <c r="F1405" t="str">
        <f t="shared" si="499"/>
        <v>COM</v>
      </c>
      <c r="G1405" t="str">
        <f t="shared" si="505"/>
        <v>PAGMENOS - LJ 608 (10135)</v>
      </c>
      <c r="H1405" t="s">
        <v>375</v>
      </c>
      <c r="I1405" t="str">
        <f t="shared" si="506"/>
        <v>04/02/2026</v>
      </c>
      <c r="J1405" t="str">
        <f t="shared" si="507"/>
        <v>26/01/2026</v>
      </c>
      <c r="K1405">
        <v>46063</v>
      </c>
      <c r="N1405">
        <v>303</v>
      </c>
      <c r="O1405" t="s">
        <v>26</v>
      </c>
      <c r="Q1405">
        <v>330.32</v>
      </c>
      <c r="R1405" t="str">
        <f>"PAGMENOS - LJ 657 (10136)"</f>
        <v>PAGMENOS - LJ 657 (10136)</v>
      </c>
      <c r="S1405" t="s">
        <v>27</v>
      </c>
      <c r="T1405">
        <v>4206</v>
      </c>
      <c r="U1405">
        <v>3557</v>
      </c>
      <c r="V1405" t="s">
        <v>22</v>
      </c>
    </row>
    <row r="1406" spans="1:22">
      <c r="A1406" t="str">
        <f t="shared" si="498"/>
        <v>10/02/2026</v>
      </c>
      <c r="B1406" t="str">
        <f t="shared" si="501"/>
        <v>ENTRADA</v>
      </c>
      <c r="C1406" t="str">
        <f t="shared" si="502"/>
        <v>NFSE</v>
      </c>
      <c r="D1406" t="str">
        <f t="shared" si="503"/>
        <v>165</v>
      </c>
      <c r="E1406" t="str">
        <f t="shared" si="504"/>
        <v>1</v>
      </c>
      <c r="F1406" t="str">
        <f t="shared" si="499"/>
        <v>COM</v>
      </c>
      <c r="G1406" t="str">
        <f t="shared" si="505"/>
        <v>PAGMENOS - LJ 608 (10135)</v>
      </c>
      <c r="H1406" t="s">
        <v>375</v>
      </c>
      <c r="I1406" t="str">
        <f t="shared" si="506"/>
        <v>04/02/2026</v>
      </c>
      <c r="J1406" t="str">
        <f t="shared" si="507"/>
        <v>26/01/2026</v>
      </c>
      <c r="K1406">
        <v>46063</v>
      </c>
      <c r="N1406">
        <v>303</v>
      </c>
      <c r="O1406" t="s">
        <v>26</v>
      </c>
      <c r="Q1406">
        <v>22.94</v>
      </c>
      <c r="R1406" t="str">
        <f>"PAGMENOS - LJ 326 (10264)"</f>
        <v>PAGMENOS - LJ 326 (10264)</v>
      </c>
      <c r="S1406" t="s">
        <v>27</v>
      </c>
      <c r="T1406">
        <v>4206</v>
      </c>
      <c r="U1406">
        <v>3557</v>
      </c>
      <c r="V1406" t="s">
        <v>22</v>
      </c>
    </row>
    <row r="1407" spans="1:22">
      <c r="A1407" t="str">
        <f t="shared" si="498"/>
        <v>10/02/2026</v>
      </c>
      <c r="B1407" t="str">
        <f t="shared" si="501"/>
        <v>ENTRADA</v>
      </c>
      <c r="C1407" t="str">
        <f t="shared" si="502"/>
        <v>NFSE</v>
      </c>
      <c r="D1407" t="str">
        <f t="shared" si="503"/>
        <v>165</v>
      </c>
      <c r="E1407" t="str">
        <f t="shared" si="504"/>
        <v>1</v>
      </c>
      <c r="F1407" t="str">
        <f t="shared" si="499"/>
        <v>COM</v>
      </c>
      <c r="G1407" t="str">
        <f t="shared" si="505"/>
        <v>PAGMENOS - LJ 608 (10135)</v>
      </c>
      <c r="H1407" t="s">
        <v>375</v>
      </c>
      <c r="I1407" t="str">
        <f t="shared" si="506"/>
        <v>04/02/2026</v>
      </c>
      <c r="J1407" t="str">
        <f t="shared" si="507"/>
        <v>26/01/2026</v>
      </c>
      <c r="K1407">
        <v>46063</v>
      </c>
      <c r="N1407">
        <v>303</v>
      </c>
      <c r="O1407" t="s">
        <v>26</v>
      </c>
      <c r="Q1407">
        <v>159.66</v>
      </c>
      <c r="R1407" t="str">
        <f>"PAGMENOS - LJ 431 (10265)"</f>
        <v>PAGMENOS - LJ 431 (10265)</v>
      </c>
      <c r="S1407" t="s">
        <v>27</v>
      </c>
      <c r="T1407">
        <v>4206</v>
      </c>
      <c r="U1407">
        <v>3557</v>
      </c>
      <c r="V1407" t="s">
        <v>22</v>
      </c>
    </row>
    <row r="1408" spans="1:22">
      <c r="A1408" t="str">
        <f t="shared" si="498"/>
        <v>10/02/2026</v>
      </c>
      <c r="B1408" t="str">
        <f t="shared" si="501"/>
        <v>ENTRADA</v>
      </c>
      <c r="C1408" t="str">
        <f t="shared" si="502"/>
        <v>NFSE</v>
      </c>
      <c r="D1408" t="str">
        <f t="shared" si="503"/>
        <v>165</v>
      </c>
      <c r="E1408" t="str">
        <f t="shared" si="504"/>
        <v>1</v>
      </c>
      <c r="F1408" t="str">
        <f t="shared" si="499"/>
        <v>COM</v>
      </c>
      <c r="G1408" t="str">
        <f t="shared" si="505"/>
        <v>PAGMENOS - LJ 608 (10135)</v>
      </c>
      <c r="H1408" t="s">
        <v>375</v>
      </c>
      <c r="I1408" t="str">
        <f t="shared" si="506"/>
        <v>04/02/2026</v>
      </c>
      <c r="J1408" t="str">
        <f t="shared" si="507"/>
        <v>26/01/2026</v>
      </c>
      <c r="K1408">
        <v>46063</v>
      </c>
      <c r="N1408">
        <v>303</v>
      </c>
      <c r="O1408" t="s">
        <v>26</v>
      </c>
      <c r="Q1408">
        <v>225.13</v>
      </c>
      <c r="R1408" t="str">
        <f>"PAGMENOS - LJ 768 (10266)"</f>
        <v>PAGMENOS - LJ 768 (10266)</v>
      </c>
      <c r="S1408" t="s">
        <v>27</v>
      </c>
      <c r="T1408">
        <v>4206</v>
      </c>
      <c r="U1408">
        <v>3557</v>
      </c>
      <c r="V1408" t="s">
        <v>22</v>
      </c>
    </row>
    <row r="1409" spans="1:22">
      <c r="A1409" t="str">
        <f t="shared" si="498"/>
        <v>10/02/2026</v>
      </c>
      <c r="B1409" t="str">
        <f t="shared" si="501"/>
        <v>ENTRADA</v>
      </c>
      <c r="C1409" t="str">
        <f t="shared" si="502"/>
        <v>NFSE</v>
      </c>
      <c r="D1409" t="str">
        <f t="shared" si="503"/>
        <v>165</v>
      </c>
      <c r="E1409" t="str">
        <f t="shared" si="504"/>
        <v>1</v>
      </c>
      <c r="F1409" t="str">
        <f t="shared" si="499"/>
        <v>COM</v>
      </c>
      <c r="G1409" t="str">
        <f t="shared" si="505"/>
        <v>PAGMENOS - LJ 608 (10135)</v>
      </c>
      <c r="H1409" t="s">
        <v>375</v>
      </c>
      <c r="I1409" t="str">
        <f t="shared" si="506"/>
        <v>04/02/2026</v>
      </c>
      <c r="J1409" t="str">
        <f t="shared" si="507"/>
        <v>26/01/2026</v>
      </c>
      <c r="K1409">
        <v>46063</v>
      </c>
      <c r="N1409">
        <v>303</v>
      </c>
      <c r="O1409" t="s">
        <v>26</v>
      </c>
      <c r="Q1409">
        <v>25.63</v>
      </c>
      <c r="R1409" t="str">
        <f>"PAGUE MENOS 356 (10291)"</f>
        <v>PAGUE MENOS 356 (10291)</v>
      </c>
      <c r="S1409" t="s">
        <v>27</v>
      </c>
      <c r="T1409">
        <v>4206</v>
      </c>
      <c r="U1409">
        <v>3557</v>
      </c>
      <c r="V1409" t="s">
        <v>22</v>
      </c>
    </row>
    <row r="1410" spans="1:22">
      <c r="A1410" t="str">
        <f t="shared" si="498"/>
        <v>10/02/2026</v>
      </c>
      <c r="B1410" t="str">
        <f t="shared" si="501"/>
        <v>ENTRADA</v>
      </c>
      <c r="C1410" t="str">
        <f t="shared" si="502"/>
        <v>NFSE</v>
      </c>
      <c r="D1410" t="str">
        <f t="shared" si="503"/>
        <v>165</v>
      </c>
      <c r="E1410" t="str">
        <f t="shared" si="504"/>
        <v>1</v>
      </c>
      <c r="F1410" t="str">
        <f t="shared" si="499"/>
        <v>COM</v>
      </c>
      <c r="G1410" t="str">
        <f t="shared" si="505"/>
        <v>PAGMENOS - LJ 608 (10135)</v>
      </c>
      <c r="H1410" t="s">
        <v>375</v>
      </c>
      <c r="I1410" t="str">
        <f t="shared" si="506"/>
        <v>04/02/2026</v>
      </c>
      <c r="J1410" t="str">
        <f t="shared" si="507"/>
        <v>26/01/2026</v>
      </c>
      <c r="K1410">
        <v>46063</v>
      </c>
      <c r="N1410">
        <v>303</v>
      </c>
      <c r="O1410" t="s">
        <v>26</v>
      </c>
      <c r="Q1410">
        <v>353.39</v>
      </c>
      <c r="R1410" t="str">
        <f>"PAGUE MENOS 426 (10292)"</f>
        <v>PAGUE MENOS 426 (10292)</v>
      </c>
      <c r="S1410" t="s">
        <v>27</v>
      </c>
      <c r="T1410">
        <v>4206</v>
      </c>
      <c r="U1410">
        <v>3557</v>
      </c>
      <c r="V1410" t="s">
        <v>22</v>
      </c>
    </row>
    <row r="1411" spans="1:22">
      <c r="A1411" t="str">
        <f t="shared" si="498"/>
        <v>10/02/2026</v>
      </c>
      <c r="B1411" t="str">
        <f t="shared" si="501"/>
        <v>ENTRADA</v>
      </c>
      <c r="C1411" t="str">
        <f t="shared" si="502"/>
        <v>NFSE</v>
      </c>
      <c r="D1411" t="str">
        <f t="shared" si="503"/>
        <v>165</v>
      </c>
      <c r="E1411" t="str">
        <f t="shared" si="504"/>
        <v>1</v>
      </c>
      <c r="F1411" t="str">
        <f t="shared" si="499"/>
        <v>COM</v>
      </c>
      <c r="G1411" t="str">
        <f t="shared" si="505"/>
        <v>PAGMENOS - LJ 608 (10135)</v>
      </c>
      <c r="H1411" t="s">
        <v>375</v>
      </c>
      <c r="I1411" t="str">
        <f t="shared" si="506"/>
        <v>04/02/2026</v>
      </c>
      <c r="J1411" t="str">
        <f t="shared" si="507"/>
        <v>26/01/2026</v>
      </c>
      <c r="K1411">
        <v>46063</v>
      </c>
      <c r="N1411">
        <v>303</v>
      </c>
      <c r="O1411" t="s">
        <v>26</v>
      </c>
      <c r="Q1411">
        <v>4.29</v>
      </c>
      <c r="R1411" t="str">
        <f>"PAGUE MENOS 540 (10293)"</f>
        <v>PAGUE MENOS 540 (10293)</v>
      </c>
      <c r="S1411" t="s">
        <v>27</v>
      </c>
      <c r="T1411">
        <v>4206</v>
      </c>
      <c r="U1411">
        <v>3557</v>
      </c>
      <c r="V1411" t="s">
        <v>22</v>
      </c>
    </row>
    <row r="1412" spans="1:22">
      <c r="A1412" t="str">
        <f t="shared" si="498"/>
        <v>10/02/2026</v>
      </c>
      <c r="B1412" t="str">
        <f t="shared" si="501"/>
        <v>ENTRADA</v>
      </c>
      <c r="C1412" t="str">
        <f t="shared" si="502"/>
        <v>NFSE</v>
      </c>
      <c r="D1412" t="str">
        <f>"176"</f>
        <v>176</v>
      </c>
      <c r="E1412" t="str">
        <f t="shared" si="504"/>
        <v>1</v>
      </c>
      <c r="F1412" t="str">
        <f t="shared" si="499"/>
        <v>COM</v>
      </c>
      <c r="G1412" t="str">
        <f>"PAGUE MENOS 332 (10290)"</f>
        <v>PAGUE MENOS 332 (10290)</v>
      </c>
      <c r="H1412" t="str">
        <f>"Serv.Prest. 19/01/2026 a 25/01/2026 - RPS: 2101 - NFSe: 176"</f>
        <v>Serv.Prest. 19/01/2026 a 25/01/2026 - RPS: 2101 - NFSe: 176</v>
      </c>
      <c r="I1412" t="str">
        <f t="shared" si="506"/>
        <v>04/02/2026</v>
      </c>
      <c r="J1412" t="str">
        <f t="shared" si="507"/>
        <v>26/01/2026</v>
      </c>
      <c r="K1412" t="str">
        <f>("10/02/2026")</f>
        <v>10/02/2026</v>
      </c>
      <c r="L1412">
        <v>142.5</v>
      </c>
      <c r="M1412">
        <v>142.5</v>
      </c>
      <c r="N1412">
        <v>303</v>
      </c>
      <c r="O1412" t="str">
        <f>"RECEITAS COM ENTREGAS"</f>
        <v>RECEITAS COM ENTREGAS</v>
      </c>
      <c r="P1412">
        <v>142.5</v>
      </c>
      <c r="S1412" t="str">
        <f>"RECEITAS COM ENTREGAS (303)"</f>
        <v>RECEITAS COM ENTREGAS (303)</v>
      </c>
      <c r="T1412">
        <v>4207</v>
      </c>
      <c r="U1412">
        <v>3568</v>
      </c>
      <c r="V1412" t="s">
        <v>22</v>
      </c>
    </row>
    <row r="1413" spans="1:22">
      <c r="A1413" t="str">
        <f t="shared" si="498"/>
        <v>10/02/2026</v>
      </c>
      <c r="B1413" t="str">
        <f t="shared" si="501"/>
        <v>ENTRADA</v>
      </c>
      <c r="C1413" t="str">
        <f t="shared" si="502"/>
        <v>NFSE</v>
      </c>
      <c r="D1413" t="str">
        <f>"176"</f>
        <v>176</v>
      </c>
      <c r="E1413" t="str">
        <f t="shared" si="504"/>
        <v>1</v>
      </c>
      <c r="F1413" t="str">
        <f t="shared" si="499"/>
        <v>COM</v>
      </c>
      <c r="G1413" t="str">
        <f>"PAGUE MENOS 332 (10290)"</f>
        <v>PAGUE MENOS 332 (10290)</v>
      </c>
      <c r="H1413" t="s">
        <v>376</v>
      </c>
      <c r="I1413" t="str">
        <f t="shared" si="506"/>
        <v>04/02/2026</v>
      </c>
      <c r="J1413" t="str">
        <f t="shared" si="507"/>
        <v>26/01/2026</v>
      </c>
      <c r="K1413">
        <v>46063</v>
      </c>
      <c r="N1413">
        <v>303</v>
      </c>
      <c r="O1413" t="s">
        <v>26</v>
      </c>
      <c r="Q1413">
        <v>78.37</v>
      </c>
      <c r="R1413" t="str">
        <f>"PAGUE MENOS 288 (10289)"</f>
        <v>PAGUE MENOS 288 (10289)</v>
      </c>
      <c r="S1413" t="s">
        <v>27</v>
      </c>
      <c r="T1413">
        <v>4207</v>
      </c>
      <c r="U1413">
        <v>3568</v>
      </c>
      <c r="V1413" t="s">
        <v>22</v>
      </c>
    </row>
    <row r="1414" spans="1:22">
      <c r="A1414" t="str">
        <f t="shared" si="498"/>
        <v>10/02/2026</v>
      </c>
      <c r="B1414" t="str">
        <f t="shared" si="501"/>
        <v>ENTRADA</v>
      </c>
      <c r="C1414" t="str">
        <f t="shared" si="502"/>
        <v>NFSE</v>
      </c>
      <c r="D1414" t="str">
        <f>"176"</f>
        <v>176</v>
      </c>
      <c r="E1414" t="str">
        <f t="shared" si="504"/>
        <v>1</v>
      </c>
      <c r="F1414" t="str">
        <f t="shared" si="499"/>
        <v>COM</v>
      </c>
      <c r="G1414" t="str">
        <f>"PAGUE MENOS 332 (10290)"</f>
        <v>PAGUE MENOS 332 (10290)</v>
      </c>
      <c r="H1414" t="s">
        <v>376</v>
      </c>
      <c r="I1414" t="str">
        <f t="shared" si="506"/>
        <v>04/02/2026</v>
      </c>
      <c r="J1414" t="str">
        <f t="shared" si="507"/>
        <v>26/01/2026</v>
      </c>
      <c r="K1414">
        <v>46063</v>
      </c>
      <c r="N1414">
        <v>303</v>
      </c>
      <c r="O1414" t="s">
        <v>26</v>
      </c>
      <c r="Q1414">
        <v>64.13</v>
      </c>
      <c r="R1414" t="str">
        <f>"PAGUE MENOS 332 (10290)"</f>
        <v>PAGUE MENOS 332 (10290)</v>
      </c>
      <c r="S1414" t="s">
        <v>27</v>
      </c>
      <c r="T1414">
        <v>4207</v>
      </c>
      <c r="U1414">
        <v>3568</v>
      </c>
      <c r="V1414" t="s">
        <v>22</v>
      </c>
    </row>
    <row r="1415" spans="1:22">
      <c r="A1415" t="str">
        <f t="shared" si="498"/>
        <v>10/02/2026</v>
      </c>
      <c r="B1415" t="str">
        <f t="shared" si="501"/>
        <v>ENTRADA</v>
      </c>
      <c r="C1415" t="str">
        <f>"BOLETO"</f>
        <v>BOLETO</v>
      </c>
      <c r="D1415" t="str">
        <f>"1002"</f>
        <v>1002</v>
      </c>
      <c r="E1415" t="str">
        <f>"26"</f>
        <v>26</v>
      </c>
      <c r="F1415" t="str">
        <f t="shared" si="499"/>
        <v>COM</v>
      </c>
      <c r="G1415" t="str">
        <f>"CLEBER DE SOUZA RODRIGUES &amp; CIA LTDA (10283)"</f>
        <v>CLEBER DE SOUZA RODRIGUES &amp; CIA LTDA (10283)</v>
      </c>
      <c r="H1415" t="str">
        <f>"PAGAMENTO SETUP"</f>
        <v>PAGAMENTO SETUP</v>
      </c>
      <c r="I1415" t="str">
        <f>("10/02/2026")</f>
        <v>10/02/2026</v>
      </c>
      <c r="J1415" t="str">
        <f>("10/02/2026")</f>
        <v>10/02/2026</v>
      </c>
      <c r="K1415" t="str">
        <f>("10/02/2026")</f>
        <v>10/02/2026</v>
      </c>
      <c r="L1415">
        <v>1500</v>
      </c>
      <c r="M1415">
        <v>1500</v>
      </c>
      <c r="N1415">
        <v>117</v>
      </c>
      <c r="O1415" t="str">
        <f>"RECEITAS COM SETUP"</f>
        <v>RECEITAS COM SETUP</v>
      </c>
      <c r="P1415">
        <v>1500</v>
      </c>
      <c r="S1415" t="str">
        <f>"RECEITAS COM SETUP (117)"</f>
        <v>RECEITAS COM SETUP (117)</v>
      </c>
      <c r="T1415">
        <v>4208</v>
      </c>
      <c r="U1415">
        <v>3817</v>
      </c>
      <c r="V1415" t="s">
        <v>22</v>
      </c>
    </row>
    <row r="1416" spans="1:22">
      <c r="A1416" t="str">
        <f t="shared" si="498"/>
        <v>10/02/2026</v>
      </c>
      <c r="B1416" t="str">
        <f t="shared" si="501"/>
        <v>ENTRADA</v>
      </c>
      <c r="C1416" t="str">
        <f>"BOLETO"</f>
        <v>BOLETO</v>
      </c>
      <c r="D1416" t="str">
        <f>"1002"</f>
        <v>1002</v>
      </c>
      <c r="E1416" t="str">
        <f>"26"</f>
        <v>26</v>
      </c>
      <c r="F1416" t="str">
        <f t="shared" si="499"/>
        <v>COM</v>
      </c>
      <c r="G1416" t="str">
        <f>"CLEBER DE SOUZA RODRIGUES &amp; CIA LTDA (10283)"</f>
        <v>CLEBER DE SOUZA RODRIGUES &amp; CIA LTDA (10283)</v>
      </c>
      <c r="H1416" t="s">
        <v>118</v>
      </c>
      <c r="I1416" t="str">
        <f t="shared" ref="I1416:J1418" si="508">("10/02/2026")</f>
        <v>10/02/2026</v>
      </c>
      <c r="J1416" t="str">
        <f t="shared" si="508"/>
        <v>10/02/2026</v>
      </c>
      <c r="K1416">
        <v>46063</v>
      </c>
      <c r="N1416">
        <v>117</v>
      </c>
      <c r="O1416" t="s">
        <v>119</v>
      </c>
      <c r="Q1416">
        <v>1500</v>
      </c>
      <c r="R1416" t="str">
        <f>"BEM TE FAZ 01 (10283)"</f>
        <v>BEM TE FAZ 01 (10283)</v>
      </c>
      <c r="S1416" t="s">
        <v>120</v>
      </c>
      <c r="T1416">
        <v>4208</v>
      </c>
      <c r="U1416">
        <v>3817</v>
      </c>
      <c r="V1416" t="s">
        <v>22</v>
      </c>
    </row>
    <row r="1417" spans="1:22">
      <c r="A1417" t="str">
        <f t="shared" si="498"/>
        <v>10/02/2026</v>
      </c>
      <c r="B1417" t="str">
        <f>"SAÍDA"</f>
        <v>SAÍDA</v>
      </c>
      <c r="C1417" t="str">
        <f>"JUROS"</f>
        <v>JUROS</v>
      </c>
      <c r="D1417" t="str">
        <f>""</f>
        <v/>
      </c>
      <c r="F1417" t="str">
        <f>"CXA"</f>
        <v>CXA</v>
      </c>
      <c r="G1417" t="str">
        <f>""</f>
        <v/>
      </c>
      <c r="H1417" t="str">
        <f>"TARIFA BOLETOS BANCARIOS"</f>
        <v>TARIFA BOLETOS BANCARIOS</v>
      </c>
      <c r="I1417" t="str">
        <f t="shared" si="508"/>
        <v>10/02/2026</v>
      </c>
      <c r="J1417" t="str">
        <f t="shared" si="508"/>
        <v>10/02/2026</v>
      </c>
      <c r="K1417" t="str">
        <f>("10/02/2026")</f>
        <v>10/02/2026</v>
      </c>
      <c r="L1417">
        <v>37.78</v>
      </c>
      <c r="M1417">
        <v>37.78</v>
      </c>
      <c r="N1417">
        <v>401</v>
      </c>
      <c r="O1417" t="str">
        <f>"IOF/JUROS/DESP.FINANCEIRA"</f>
        <v>IOF/JUROS/DESP.FINANCEIRA</v>
      </c>
      <c r="P1417">
        <v>37.78</v>
      </c>
      <c r="S1417" t="str">
        <f>"BANCO SICREDI (131)"</f>
        <v>BANCO SICREDI (131)</v>
      </c>
      <c r="T1417">
        <v>4233</v>
      </c>
      <c r="U1417">
        <v>0</v>
      </c>
      <c r="V1417" t="s">
        <v>54</v>
      </c>
    </row>
    <row r="1418" spans="1:22">
      <c r="A1418" t="str">
        <f t="shared" si="498"/>
        <v>10/02/2026</v>
      </c>
      <c r="B1418" t="str">
        <f>"SAÍDA"</f>
        <v>SAÍDA</v>
      </c>
      <c r="C1418" t="str">
        <f>"JUROS"</f>
        <v>JUROS</v>
      </c>
      <c r="D1418" t="str">
        <f>""</f>
        <v/>
      </c>
      <c r="F1418" t="str">
        <f>"CXA"</f>
        <v>CXA</v>
      </c>
      <c r="G1418" t="str">
        <f>""</f>
        <v/>
      </c>
      <c r="H1418" t="str">
        <f>"CESTA RELACIONAMENTO"</f>
        <v>CESTA RELACIONAMENTO</v>
      </c>
      <c r="I1418" t="str">
        <f t="shared" si="508"/>
        <v>10/02/2026</v>
      </c>
      <c r="J1418" t="str">
        <f t="shared" si="508"/>
        <v>10/02/2026</v>
      </c>
      <c r="K1418" t="str">
        <f>("10/02/2026")</f>
        <v>10/02/2026</v>
      </c>
      <c r="L1418">
        <v>60.98</v>
      </c>
      <c r="M1418">
        <v>60.98</v>
      </c>
      <c r="N1418">
        <v>401</v>
      </c>
      <c r="O1418" t="str">
        <f>"IOF/JUROS/DESP.FINANCEIRA"</f>
        <v>IOF/JUROS/DESP.FINANCEIRA</v>
      </c>
      <c r="P1418">
        <v>60.98</v>
      </c>
      <c r="S1418" t="str">
        <f>"BANCO SICREDI (131)"</f>
        <v>BANCO SICREDI (131)</v>
      </c>
      <c r="T1418">
        <v>4234</v>
      </c>
      <c r="U1418">
        <v>0</v>
      </c>
      <c r="V1418" t="s">
        <v>54</v>
      </c>
    </row>
    <row r="1419" spans="1:22">
      <c r="A1419" t="str">
        <f t="shared" si="498"/>
        <v>10/02/2026</v>
      </c>
      <c r="B1419" t="str">
        <f t="shared" ref="B1419:B1450" si="509">"ENTRADA"</f>
        <v>ENTRADA</v>
      </c>
      <c r="C1419" t="str">
        <f t="shared" ref="C1419:C1450" si="510">"NFSE"</f>
        <v>NFSE</v>
      </c>
      <c r="D1419" t="str">
        <f>"279"</f>
        <v>279</v>
      </c>
      <c r="E1419" t="str">
        <f t="shared" ref="E1419:E1450" si="511">"1"</f>
        <v>1</v>
      </c>
      <c r="F1419" t="str">
        <f t="shared" ref="F1419:F1450" si="512">"COM"</f>
        <v>COM</v>
      </c>
      <c r="G1419" t="str">
        <f>"DROGARIA MORENO LTDA (10171)"</f>
        <v>DROGARIA MORENO LTDA (10171)</v>
      </c>
      <c r="H1419" t="str">
        <f>"Serv.Prest. 02/02/2026 a 08/02/2026 - RPS: 2201 - NFSe: 279"</f>
        <v>Serv.Prest. 02/02/2026 a 08/02/2026 - RPS: 2201 - NFSe: 279</v>
      </c>
      <c r="I1419" t="str">
        <f t="shared" ref="I1419:I1450" si="513">("11/02/2026")</f>
        <v>11/02/2026</v>
      </c>
      <c r="J1419" t="str">
        <f>("09/02/2026")</f>
        <v>09/02/2026</v>
      </c>
      <c r="K1419" t="str">
        <f>("10/02/2026")</f>
        <v>10/02/2026</v>
      </c>
      <c r="L1419">
        <v>427.5</v>
      </c>
      <c r="M1419">
        <v>427.5</v>
      </c>
      <c r="N1419">
        <v>303</v>
      </c>
      <c r="O1419" t="str">
        <f>"RECEITAS COM ENTREGAS"</f>
        <v>RECEITAS COM ENTREGAS</v>
      </c>
      <c r="P1419">
        <v>427.5</v>
      </c>
      <c r="S1419" t="str">
        <f>"RECEITAS COM ENTREGAS (303)"</f>
        <v>RECEITAS COM ENTREGAS (303)</v>
      </c>
      <c r="T1419">
        <v>4282</v>
      </c>
      <c r="U1419">
        <v>3696</v>
      </c>
      <c r="V1419" t="s">
        <v>88</v>
      </c>
    </row>
    <row r="1420" spans="1:22">
      <c r="A1420" t="str">
        <f t="shared" si="498"/>
        <v>10/02/2026</v>
      </c>
      <c r="B1420" t="str">
        <f t="shared" si="509"/>
        <v>ENTRADA</v>
      </c>
      <c r="C1420" t="str">
        <f t="shared" si="510"/>
        <v>NFSE</v>
      </c>
      <c r="D1420" t="str">
        <f>"279"</f>
        <v>279</v>
      </c>
      <c r="E1420" t="str">
        <f t="shared" si="511"/>
        <v>1</v>
      </c>
      <c r="F1420" t="str">
        <f t="shared" si="512"/>
        <v>COM</v>
      </c>
      <c r="G1420" t="str">
        <f>"DROGARIA MORENO LTDA (10171)"</f>
        <v>DROGARIA MORENO LTDA (10171)</v>
      </c>
      <c r="H1420" t="s">
        <v>377</v>
      </c>
      <c r="I1420" t="str">
        <f t="shared" si="513"/>
        <v>11/02/2026</v>
      </c>
      <c r="J1420" t="str">
        <f>("09/02/2026")</f>
        <v>09/02/2026</v>
      </c>
      <c r="K1420">
        <v>46063</v>
      </c>
      <c r="N1420">
        <v>303</v>
      </c>
      <c r="O1420" t="s">
        <v>26</v>
      </c>
      <c r="Q1420">
        <v>427.5</v>
      </c>
      <c r="R1420" t="str">
        <f>"DROGARIA MORENO LTDA (10171)"</f>
        <v>DROGARIA MORENO LTDA (10171)</v>
      </c>
      <c r="S1420" t="s">
        <v>27</v>
      </c>
      <c r="T1420">
        <v>4282</v>
      </c>
      <c r="U1420">
        <v>3696</v>
      </c>
      <c r="V1420" t="s">
        <v>88</v>
      </c>
    </row>
    <row r="1421" spans="1:22">
      <c r="A1421" t="str">
        <f t="shared" si="498"/>
        <v>10/02/2026</v>
      </c>
      <c r="B1421" t="str">
        <f t="shared" si="509"/>
        <v>ENTRADA</v>
      </c>
      <c r="C1421" t="str">
        <f t="shared" si="510"/>
        <v>NFSE</v>
      </c>
      <c r="D1421" t="str">
        <f>"288"</f>
        <v>288</v>
      </c>
      <c r="E1421" t="str">
        <f t="shared" si="511"/>
        <v>1</v>
      </c>
      <c r="F1421" t="str">
        <f t="shared" si="512"/>
        <v>COM</v>
      </c>
      <c r="G1421" t="str">
        <f>"DROGARIA ISABELLA (10276)"</f>
        <v>DROGARIA ISABELLA (10276)</v>
      </c>
      <c r="H1421" t="str">
        <f>"Serv.Prest. 02/02/2026 a 08/02/2026 - RPS: 2210 - NFSe: 288"</f>
        <v>Serv.Prest. 02/02/2026 a 08/02/2026 - RPS: 2210 - NFSe: 288</v>
      </c>
      <c r="I1421" t="str">
        <f t="shared" si="513"/>
        <v>11/02/2026</v>
      </c>
      <c r="J1421" t="str">
        <f>("09/02/2026")</f>
        <v>09/02/2026</v>
      </c>
      <c r="K1421" t="str">
        <f>("10/02/2026")</f>
        <v>10/02/2026</v>
      </c>
      <c r="L1421">
        <v>313.2</v>
      </c>
      <c r="M1421">
        <v>313.2</v>
      </c>
      <c r="N1421">
        <v>303</v>
      </c>
      <c r="O1421" t="str">
        <f>"RECEITAS COM ENTREGAS"</f>
        <v>RECEITAS COM ENTREGAS</v>
      </c>
      <c r="P1421">
        <v>313.2</v>
      </c>
      <c r="S1421" t="str">
        <f>"RECEITAS COM ENTREGAS (303)"</f>
        <v>RECEITAS COM ENTREGAS (303)</v>
      </c>
      <c r="T1421">
        <v>4283</v>
      </c>
      <c r="U1421">
        <v>3705</v>
      </c>
      <c r="V1421" t="s">
        <v>88</v>
      </c>
    </row>
    <row r="1422" spans="1:22">
      <c r="A1422" t="str">
        <f t="shared" si="498"/>
        <v>10/02/2026</v>
      </c>
      <c r="B1422" t="str">
        <f t="shared" si="509"/>
        <v>ENTRADA</v>
      </c>
      <c r="C1422" t="str">
        <f t="shared" si="510"/>
        <v>NFSE</v>
      </c>
      <c r="D1422" t="str">
        <f>"288"</f>
        <v>288</v>
      </c>
      <c r="E1422" t="str">
        <f t="shared" si="511"/>
        <v>1</v>
      </c>
      <c r="F1422" t="str">
        <f t="shared" si="512"/>
        <v>COM</v>
      </c>
      <c r="G1422" t="str">
        <f>"DROGARIA ISABELLA (10276)"</f>
        <v>DROGARIA ISABELLA (10276)</v>
      </c>
      <c r="H1422" t="s">
        <v>378</v>
      </c>
      <c r="I1422" t="str">
        <f t="shared" si="513"/>
        <v>11/02/2026</v>
      </c>
      <c r="J1422" t="str">
        <f>("09/02/2026")</f>
        <v>09/02/2026</v>
      </c>
      <c r="K1422">
        <v>46063</v>
      </c>
      <c r="N1422">
        <v>303</v>
      </c>
      <c r="O1422" t="s">
        <v>26</v>
      </c>
      <c r="Q1422">
        <v>313.2</v>
      </c>
      <c r="R1422" t="str">
        <f>"DROGARIA ISABELLA (10276)"</f>
        <v>DROGARIA ISABELLA (10276)</v>
      </c>
      <c r="S1422" t="s">
        <v>27</v>
      </c>
      <c r="T1422">
        <v>4283</v>
      </c>
      <c r="U1422">
        <v>3705</v>
      </c>
      <c r="V1422" t="s">
        <v>88</v>
      </c>
    </row>
    <row r="1423" spans="1:22">
      <c r="A1423" t="str">
        <f t="shared" ref="A1423:A1454" si="514">("11/02/2026")</f>
        <v>11/02/2026</v>
      </c>
      <c r="B1423" t="str">
        <f t="shared" si="509"/>
        <v>ENTRADA</v>
      </c>
      <c r="C1423" t="str">
        <f t="shared" si="510"/>
        <v>NFSE</v>
      </c>
      <c r="D1423" t="str">
        <f t="shared" ref="D1423:D1440" si="515">"248"</f>
        <v>248</v>
      </c>
      <c r="E1423" t="str">
        <f t="shared" si="511"/>
        <v>1</v>
      </c>
      <c r="F1423" t="str">
        <f t="shared" si="512"/>
        <v>COM</v>
      </c>
      <c r="G1423" t="str">
        <f t="shared" ref="G1423:G1440" si="516">"FARMÁCIA INDIANA LJ 30 (10127)"</f>
        <v>FARMÁCIA INDIANA LJ 30 (10127)</v>
      </c>
      <c r="H1423" t="str">
        <f>"Serv.Prest. 26/01/2026 a 01/02/2026 - RPS: 2172 - NFSe: 248"</f>
        <v>Serv.Prest. 26/01/2026 a 01/02/2026 - RPS: 2172 - NFSe: 248</v>
      </c>
      <c r="I1423" t="str">
        <f t="shared" si="513"/>
        <v>11/02/2026</v>
      </c>
      <c r="J1423" t="str">
        <f t="shared" ref="J1423:J1454" si="517">("03/02/2026")</f>
        <v>03/02/2026</v>
      </c>
      <c r="K1423" t="str">
        <f>("11/02/2026")</f>
        <v>11/02/2026</v>
      </c>
      <c r="L1423">
        <v>3125.93</v>
      </c>
      <c r="M1423">
        <v>3125.93</v>
      </c>
      <c r="N1423">
        <v>303</v>
      </c>
      <c r="O1423" t="str">
        <f>"RECEITAS COM ENTREGAS"</f>
        <v>RECEITAS COM ENTREGAS</v>
      </c>
      <c r="P1423">
        <v>3125.93</v>
      </c>
      <c r="S1423" t="str">
        <f>"RECEITAS COM ENTREGAS (303)"</f>
        <v>RECEITAS COM ENTREGAS (303)</v>
      </c>
      <c r="T1423">
        <v>4209</v>
      </c>
      <c r="U1423">
        <v>3652</v>
      </c>
      <c r="V1423" t="s">
        <v>22</v>
      </c>
    </row>
    <row r="1424" spans="1:22">
      <c r="A1424" t="str">
        <f t="shared" si="514"/>
        <v>11/02/2026</v>
      </c>
      <c r="B1424" t="str">
        <f t="shared" si="509"/>
        <v>ENTRADA</v>
      </c>
      <c r="C1424" t="str">
        <f t="shared" si="510"/>
        <v>NFSE</v>
      </c>
      <c r="D1424" t="str">
        <f t="shared" si="515"/>
        <v>248</v>
      </c>
      <c r="E1424" t="str">
        <f t="shared" si="511"/>
        <v>1</v>
      </c>
      <c r="F1424" t="str">
        <f t="shared" si="512"/>
        <v>COM</v>
      </c>
      <c r="G1424" t="str">
        <f t="shared" si="516"/>
        <v>FARMÁCIA INDIANA LJ 30 (10127)</v>
      </c>
      <c r="H1424" t="s">
        <v>379</v>
      </c>
      <c r="I1424" t="str">
        <f t="shared" si="513"/>
        <v>11/02/2026</v>
      </c>
      <c r="J1424" t="str">
        <f t="shared" si="517"/>
        <v>03/02/2026</v>
      </c>
      <c r="K1424">
        <v>46064</v>
      </c>
      <c r="N1424">
        <v>303</v>
      </c>
      <c r="O1424" t="s">
        <v>26</v>
      </c>
      <c r="Q1424">
        <v>343.55</v>
      </c>
      <c r="R1424" t="str">
        <f>"FARMÁCIA INDIANA LJ 34 (10014)"</f>
        <v>FARMÁCIA INDIANA LJ 34 (10014)</v>
      </c>
      <c r="S1424" t="s">
        <v>27</v>
      </c>
      <c r="T1424">
        <v>4209</v>
      </c>
      <c r="U1424">
        <v>3652</v>
      </c>
      <c r="V1424" t="s">
        <v>22</v>
      </c>
    </row>
    <row r="1425" spans="1:22">
      <c r="A1425" t="str">
        <f t="shared" si="514"/>
        <v>11/02/2026</v>
      </c>
      <c r="B1425" t="str">
        <f t="shared" si="509"/>
        <v>ENTRADA</v>
      </c>
      <c r="C1425" t="str">
        <f t="shared" si="510"/>
        <v>NFSE</v>
      </c>
      <c r="D1425" t="str">
        <f t="shared" si="515"/>
        <v>248</v>
      </c>
      <c r="E1425" t="str">
        <f t="shared" si="511"/>
        <v>1</v>
      </c>
      <c r="F1425" t="str">
        <f t="shared" si="512"/>
        <v>COM</v>
      </c>
      <c r="G1425" t="str">
        <f t="shared" si="516"/>
        <v>FARMÁCIA INDIANA LJ 30 (10127)</v>
      </c>
      <c r="H1425" t="s">
        <v>379</v>
      </c>
      <c r="I1425" t="str">
        <f t="shared" si="513"/>
        <v>11/02/2026</v>
      </c>
      <c r="J1425" t="str">
        <f t="shared" si="517"/>
        <v>03/02/2026</v>
      </c>
      <c r="K1425">
        <v>46064</v>
      </c>
      <c r="N1425">
        <v>303</v>
      </c>
      <c r="O1425" t="s">
        <v>26</v>
      </c>
      <c r="Q1425">
        <v>167.86</v>
      </c>
      <c r="R1425" t="str">
        <f>"FARMÁCIA INDIANA LJ 35 (10015)"</f>
        <v>FARMÁCIA INDIANA LJ 35 (10015)</v>
      </c>
      <c r="S1425" t="s">
        <v>27</v>
      </c>
      <c r="T1425">
        <v>4209</v>
      </c>
      <c r="U1425">
        <v>3652</v>
      </c>
      <c r="V1425" t="s">
        <v>22</v>
      </c>
    </row>
    <row r="1426" spans="1:22">
      <c r="A1426" t="str">
        <f t="shared" si="514"/>
        <v>11/02/2026</v>
      </c>
      <c r="B1426" t="str">
        <f t="shared" si="509"/>
        <v>ENTRADA</v>
      </c>
      <c r="C1426" t="str">
        <f t="shared" si="510"/>
        <v>NFSE</v>
      </c>
      <c r="D1426" t="str">
        <f t="shared" si="515"/>
        <v>248</v>
      </c>
      <c r="E1426" t="str">
        <f t="shared" si="511"/>
        <v>1</v>
      </c>
      <c r="F1426" t="str">
        <f t="shared" si="512"/>
        <v>COM</v>
      </c>
      <c r="G1426" t="str">
        <f t="shared" si="516"/>
        <v>FARMÁCIA INDIANA LJ 30 (10127)</v>
      </c>
      <c r="H1426" t="s">
        <v>379</v>
      </c>
      <c r="I1426" t="str">
        <f t="shared" si="513"/>
        <v>11/02/2026</v>
      </c>
      <c r="J1426" t="str">
        <f t="shared" si="517"/>
        <v>03/02/2026</v>
      </c>
      <c r="K1426">
        <v>46064</v>
      </c>
      <c r="N1426">
        <v>303</v>
      </c>
      <c r="O1426" t="s">
        <v>26</v>
      </c>
      <c r="Q1426">
        <v>246.95</v>
      </c>
      <c r="R1426" t="str">
        <f>"FARMÁCIA INDIANA LJ 48 (10018)"</f>
        <v>FARMÁCIA INDIANA LJ 48 (10018)</v>
      </c>
      <c r="S1426" t="s">
        <v>27</v>
      </c>
      <c r="T1426">
        <v>4209</v>
      </c>
      <c r="U1426">
        <v>3652</v>
      </c>
      <c r="V1426" t="s">
        <v>22</v>
      </c>
    </row>
    <row r="1427" spans="1:22">
      <c r="A1427" t="str">
        <f t="shared" si="514"/>
        <v>11/02/2026</v>
      </c>
      <c r="B1427" t="str">
        <f t="shared" si="509"/>
        <v>ENTRADA</v>
      </c>
      <c r="C1427" t="str">
        <f t="shared" si="510"/>
        <v>NFSE</v>
      </c>
      <c r="D1427" t="str">
        <f t="shared" si="515"/>
        <v>248</v>
      </c>
      <c r="E1427" t="str">
        <f t="shared" si="511"/>
        <v>1</v>
      </c>
      <c r="F1427" t="str">
        <f t="shared" si="512"/>
        <v>COM</v>
      </c>
      <c r="G1427" t="str">
        <f t="shared" si="516"/>
        <v>FARMÁCIA INDIANA LJ 30 (10127)</v>
      </c>
      <c r="H1427" t="s">
        <v>379</v>
      </c>
      <c r="I1427" t="str">
        <f t="shared" si="513"/>
        <v>11/02/2026</v>
      </c>
      <c r="J1427" t="str">
        <f t="shared" si="517"/>
        <v>03/02/2026</v>
      </c>
      <c r="K1427">
        <v>46064</v>
      </c>
      <c r="N1427">
        <v>303</v>
      </c>
      <c r="O1427" t="s">
        <v>26</v>
      </c>
      <c r="Q1427">
        <v>348.85</v>
      </c>
      <c r="R1427" t="str">
        <f>"FARMÁCIA INDIANA LJ 65 (10030)"</f>
        <v>FARMÁCIA INDIANA LJ 65 (10030)</v>
      </c>
      <c r="S1427" t="s">
        <v>27</v>
      </c>
      <c r="T1427">
        <v>4209</v>
      </c>
      <c r="U1427">
        <v>3652</v>
      </c>
      <c r="V1427" t="s">
        <v>22</v>
      </c>
    </row>
    <row r="1428" spans="1:22">
      <c r="A1428" t="str">
        <f t="shared" si="514"/>
        <v>11/02/2026</v>
      </c>
      <c r="B1428" t="str">
        <f t="shared" si="509"/>
        <v>ENTRADA</v>
      </c>
      <c r="C1428" t="str">
        <f t="shared" si="510"/>
        <v>NFSE</v>
      </c>
      <c r="D1428" t="str">
        <f t="shared" si="515"/>
        <v>248</v>
      </c>
      <c r="E1428" t="str">
        <f t="shared" si="511"/>
        <v>1</v>
      </c>
      <c r="F1428" t="str">
        <f t="shared" si="512"/>
        <v>COM</v>
      </c>
      <c r="G1428" t="str">
        <f t="shared" si="516"/>
        <v>FARMÁCIA INDIANA LJ 30 (10127)</v>
      </c>
      <c r="H1428" t="s">
        <v>379</v>
      </c>
      <c r="I1428" t="str">
        <f t="shared" si="513"/>
        <v>11/02/2026</v>
      </c>
      <c r="J1428" t="str">
        <f t="shared" si="517"/>
        <v>03/02/2026</v>
      </c>
      <c r="K1428">
        <v>46064</v>
      </c>
      <c r="N1428">
        <v>303</v>
      </c>
      <c r="O1428" t="s">
        <v>26</v>
      </c>
      <c r="Q1428">
        <v>85.65</v>
      </c>
      <c r="R1428" t="str">
        <f>"FARMÁCIA INDIANA LJ 77 (10034)"</f>
        <v>FARMÁCIA INDIANA LJ 77 (10034)</v>
      </c>
      <c r="S1428" t="s">
        <v>27</v>
      </c>
      <c r="T1428">
        <v>4209</v>
      </c>
      <c r="U1428">
        <v>3652</v>
      </c>
      <c r="V1428" t="s">
        <v>22</v>
      </c>
    </row>
    <row r="1429" spans="1:22">
      <c r="A1429" t="str">
        <f t="shared" si="514"/>
        <v>11/02/2026</v>
      </c>
      <c r="B1429" t="str">
        <f t="shared" si="509"/>
        <v>ENTRADA</v>
      </c>
      <c r="C1429" t="str">
        <f t="shared" si="510"/>
        <v>NFSE</v>
      </c>
      <c r="D1429" t="str">
        <f t="shared" si="515"/>
        <v>248</v>
      </c>
      <c r="E1429" t="str">
        <f t="shared" si="511"/>
        <v>1</v>
      </c>
      <c r="F1429" t="str">
        <f t="shared" si="512"/>
        <v>COM</v>
      </c>
      <c r="G1429" t="str">
        <f t="shared" si="516"/>
        <v>FARMÁCIA INDIANA LJ 30 (10127)</v>
      </c>
      <c r="H1429" t="s">
        <v>379</v>
      </c>
      <c r="I1429" t="str">
        <f t="shared" si="513"/>
        <v>11/02/2026</v>
      </c>
      <c r="J1429" t="str">
        <f t="shared" si="517"/>
        <v>03/02/2026</v>
      </c>
      <c r="K1429">
        <v>46064</v>
      </c>
      <c r="N1429">
        <v>303</v>
      </c>
      <c r="O1429" t="s">
        <v>26</v>
      </c>
      <c r="Q1429">
        <v>548.91</v>
      </c>
      <c r="R1429" t="str">
        <f>"FARMÁCIA INDIANA LJ 91 (10037)"</f>
        <v>FARMÁCIA INDIANA LJ 91 (10037)</v>
      </c>
      <c r="S1429" t="s">
        <v>27</v>
      </c>
      <c r="T1429">
        <v>4209</v>
      </c>
      <c r="U1429">
        <v>3652</v>
      </c>
      <c r="V1429" t="s">
        <v>22</v>
      </c>
    </row>
    <row r="1430" spans="1:22">
      <c r="A1430" t="str">
        <f t="shared" si="514"/>
        <v>11/02/2026</v>
      </c>
      <c r="B1430" t="str">
        <f t="shared" si="509"/>
        <v>ENTRADA</v>
      </c>
      <c r="C1430" t="str">
        <f t="shared" si="510"/>
        <v>NFSE</v>
      </c>
      <c r="D1430" t="str">
        <f t="shared" si="515"/>
        <v>248</v>
      </c>
      <c r="E1430" t="str">
        <f t="shared" si="511"/>
        <v>1</v>
      </c>
      <c r="F1430" t="str">
        <f t="shared" si="512"/>
        <v>COM</v>
      </c>
      <c r="G1430" t="str">
        <f t="shared" si="516"/>
        <v>FARMÁCIA INDIANA LJ 30 (10127)</v>
      </c>
      <c r="H1430" t="s">
        <v>379</v>
      </c>
      <c r="I1430" t="str">
        <f t="shared" si="513"/>
        <v>11/02/2026</v>
      </c>
      <c r="J1430" t="str">
        <f t="shared" si="517"/>
        <v>03/02/2026</v>
      </c>
      <c r="K1430">
        <v>46064</v>
      </c>
      <c r="N1430">
        <v>303</v>
      </c>
      <c r="O1430" t="s">
        <v>26</v>
      </c>
      <c r="Q1430">
        <v>176.3</v>
      </c>
      <c r="R1430" t="str">
        <f>"FARMÁCIA INDIANA LJ 95 (10039)"</f>
        <v>FARMÁCIA INDIANA LJ 95 (10039)</v>
      </c>
      <c r="S1430" t="s">
        <v>27</v>
      </c>
      <c r="T1430">
        <v>4209</v>
      </c>
      <c r="U1430">
        <v>3652</v>
      </c>
      <c r="V1430" t="s">
        <v>22</v>
      </c>
    </row>
    <row r="1431" spans="1:22">
      <c r="A1431" t="str">
        <f t="shared" si="514"/>
        <v>11/02/2026</v>
      </c>
      <c r="B1431" t="str">
        <f t="shared" si="509"/>
        <v>ENTRADA</v>
      </c>
      <c r="C1431" t="str">
        <f t="shared" si="510"/>
        <v>NFSE</v>
      </c>
      <c r="D1431" t="str">
        <f t="shared" si="515"/>
        <v>248</v>
      </c>
      <c r="E1431" t="str">
        <f t="shared" si="511"/>
        <v>1</v>
      </c>
      <c r="F1431" t="str">
        <f t="shared" si="512"/>
        <v>COM</v>
      </c>
      <c r="G1431" t="str">
        <f t="shared" si="516"/>
        <v>FARMÁCIA INDIANA LJ 30 (10127)</v>
      </c>
      <c r="H1431" t="s">
        <v>379</v>
      </c>
      <c r="I1431" t="str">
        <f t="shared" si="513"/>
        <v>11/02/2026</v>
      </c>
      <c r="J1431" t="str">
        <f t="shared" si="517"/>
        <v>03/02/2026</v>
      </c>
      <c r="K1431">
        <v>46064</v>
      </c>
      <c r="N1431">
        <v>303</v>
      </c>
      <c r="O1431" t="s">
        <v>26</v>
      </c>
      <c r="Q1431">
        <v>141.6</v>
      </c>
      <c r="R1431" t="str">
        <f>"FARMÁCIA INDIANA LJ 145 (10068)"</f>
        <v>FARMÁCIA INDIANA LJ 145 (10068)</v>
      </c>
      <c r="S1431" t="s">
        <v>27</v>
      </c>
      <c r="T1431">
        <v>4209</v>
      </c>
      <c r="U1431">
        <v>3652</v>
      </c>
      <c r="V1431" t="s">
        <v>22</v>
      </c>
    </row>
    <row r="1432" spans="1:22">
      <c r="A1432" t="str">
        <f t="shared" si="514"/>
        <v>11/02/2026</v>
      </c>
      <c r="B1432" t="str">
        <f t="shared" si="509"/>
        <v>ENTRADA</v>
      </c>
      <c r="C1432" t="str">
        <f t="shared" si="510"/>
        <v>NFSE</v>
      </c>
      <c r="D1432" t="str">
        <f t="shared" si="515"/>
        <v>248</v>
      </c>
      <c r="E1432" t="str">
        <f t="shared" si="511"/>
        <v>1</v>
      </c>
      <c r="F1432" t="str">
        <f t="shared" si="512"/>
        <v>COM</v>
      </c>
      <c r="G1432" t="str">
        <f t="shared" si="516"/>
        <v>FARMÁCIA INDIANA LJ 30 (10127)</v>
      </c>
      <c r="H1432" t="s">
        <v>379</v>
      </c>
      <c r="I1432" t="str">
        <f t="shared" si="513"/>
        <v>11/02/2026</v>
      </c>
      <c r="J1432" t="str">
        <f t="shared" si="517"/>
        <v>03/02/2026</v>
      </c>
      <c r="K1432">
        <v>46064</v>
      </c>
      <c r="N1432">
        <v>303</v>
      </c>
      <c r="O1432" t="s">
        <v>26</v>
      </c>
      <c r="Q1432">
        <v>140.35</v>
      </c>
      <c r="R1432" t="str">
        <f>"FARMÁCIA INDIANA LJ 169 (10073)"</f>
        <v>FARMÁCIA INDIANA LJ 169 (10073)</v>
      </c>
      <c r="S1432" t="s">
        <v>27</v>
      </c>
      <c r="T1432">
        <v>4209</v>
      </c>
      <c r="U1432">
        <v>3652</v>
      </c>
      <c r="V1432" t="s">
        <v>22</v>
      </c>
    </row>
    <row r="1433" spans="1:22">
      <c r="A1433" t="str">
        <f t="shared" si="514"/>
        <v>11/02/2026</v>
      </c>
      <c r="B1433" t="str">
        <f t="shared" si="509"/>
        <v>ENTRADA</v>
      </c>
      <c r="C1433" t="str">
        <f t="shared" si="510"/>
        <v>NFSE</v>
      </c>
      <c r="D1433" t="str">
        <f t="shared" si="515"/>
        <v>248</v>
      </c>
      <c r="E1433" t="str">
        <f t="shared" si="511"/>
        <v>1</v>
      </c>
      <c r="F1433" t="str">
        <f t="shared" si="512"/>
        <v>COM</v>
      </c>
      <c r="G1433" t="str">
        <f t="shared" si="516"/>
        <v>FARMÁCIA INDIANA LJ 30 (10127)</v>
      </c>
      <c r="H1433" t="s">
        <v>379</v>
      </c>
      <c r="I1433" t="str">
        <f t="shared" si="513"/>
        <v>11/02/2026</v>
      </c>
      <c r="J1433" t="str">
        <f t="shared" si="517"/>
        <v>03/02/2026</v>
      </c>
      <c r="K1433">
        <v>46064</v>
      </c>
      <c r="N1433">
        <v>303</v>
      </c>
      <c r="O1433" t="s">
        <v>26</v>
      </c>
      <c r="Q1433">
        <v>174.43</v>
      </c>
      <c r="R1433" t="str">
        <f>"FARMÁCIA INDIANA LJ 173 (10075)"</f>
        <v>FARMÁCIA INDIANA LJ 173 (10075)</v>
      </c>
      <c r="S1433" t="s">
        <v>27</v>
      </c>
      <c r="T1433">
        <v>4209</v>
      </c>
      <c r="U1433">
        <v>3652</v>
      </c>
      <c r="V1433" t="s">
        <v>22</v>
      </c>
    </row>
    <row r="1434" spans="1:22">
      <c r="A1434" t="str">
        <f t="shared" si="514"/>
        <v>11/02/2026</v>
      </c>
      <c r="B1434" t="str">
        <f t="shared" si="509"/>
        <v>ENTRADA</v>
      </c>
      <c r="C1434" t="str">
        <f t="shared" si="510"/>
        <v>NFSE</v>
      </c>
      <c r="D1434" t="str">
        <f t="shared" si="515"/>
        <v>248</v>
      </c>
      <c r="E1434" t="str">
        <f t="shared" si="511"/>
        <v>1</v>
      </c>
      <c r="F1434" t="str">
        <f t="shared" si="512"/>
        <v>COM</v>
      </c>
      <c r="G1434" t="str">
        <f t="shared" si="516"/>
        <v>FARMÁCIA INDIANA LJ 30 (10127)</v>
      </c>
      <c r="H1434" t="s">
        <v>379</v>
      </c>
      <c r="I1434" t="str">
        <f t="shared" si="513"/>
        <v>11/02/2026</v>
      </c>
      <c r="J1434" t="str">
        <f t="shared" si="517"/>
        <v>03/02/2026</v>
      </c>
      <c r="K1434">
        <v>46064</v>
      </c>
      <c r="N1434">
        <v>303</v>
      </c>
      <c r="O1434" t="s">
        <v>26</v>
      </c>
      <c r="Q1434">
        <v>100.03</v>
      </c>
      <c r="R1434" t="str">
        <f>"FARMÁCIA INDIANA LJ 213 (10090)"</f>
        <v>FARMÁCIA INDIANA LJ 213 (10090)</v>
      </c>
      <c r="S1434" t="s">
        <v>27</v>
      </c>
      <c r="T1434">
        <v>4209</v>
      </c>
      <c r="U1434">
        <v>3652</v>
      </c>
      <c r="V1434" t="s">
        <v>22</v>
      </c>
    </row>
    <row r="1435" spans="1:22">
      <c r="A1435" t="str">
        <f t="shared" si="514"/>
        <v>11/02/2026</v>
      </c>
      <c r="B1435" t="str">
        <f t="shared" si="509"/>
        <v>ENTRADA</v>
      </c>
      <c r="C1435" t="str">
        <f t="shared" si="510"/>
        <v>NFSE</v>
      </c>
      <c r="D1435" t="str">
        <f t="shared" si="515"/>
        <v>248</v>
      </c>
      <c r="E1435" t="str">
        <f t="shared" si="511"/>
        <v>1</v>
      </c>
      <c r="F1435" t="str">
        <f t="shared" si="512"/>
        <v>COM</v>
      </c>
      <c r="G1435" t="str">
        <f t="shared" si="516"/>
        <v>FARMÁCIA INDIANA LJ 30 (10127)</v>
      </c>
      <c r="H1435" t="s">
        <v>379</v>
      </c>
      <c r="I1435" t="str">
        <f t="shared" si="513"/>
        <v>11/02/2026</v>
      </c>
      <c r="J1435" t="str">
        <f t="shared" si="517"/>
        <v>03/02/2026</v>
      </c>
      <c r="K1435">
        <v>46064</v>
      </c>
      <c r="N1435">
        <v>303</v>
      </c>
      <c r="O1435" t="s">
        <v>26</v>
      </c>
      <c r="Q1435">
        <v>135.97999999999999</v>
      </c>
      <c r="R1435" t="str">
        <f>"FARMÁCIA INDIANA LJ 200 (10155)"</f>
        <v>FARMÁCIA INDIANA LJ 200 (10155)</v>
      </c>
      <c r="S1435" t="s">
        <v>27</v>
      </c>
      <c r="T1435">
        <v>4209</v>
      </c>
      <c r="U1435">
        <v>3652</v>
      </c>
      <c r="V1435" t="s">
        <v>22</v>
      </c>
    </row>
    <row r="1436" spans="1:22">
      <c r="A1436" t="str">
        <f t="shared" si="514"/>
        <v>11/02/2026</v>
      </c>
      <c r="B1436" t="str">
        <f t="shared" si="509"/>
        <v>ENTRADA</v>
      </c>
      <c r="C1436" t="str">
        <f t="shared" si="510"/>
        <v>NFSE</v>
      </c>
      <c r="D1436" t="str">
        <f t="shared" si="515"/>
        <v>248</v>
      </c>
      <c r="E1436" t="str">
        <f t="shared" si="511"/>
        <v>1</v>
      </c>
      <c r="F1436" t="str">
        <f t="shared" si="512"/>
        <v>COM</v>
      </c>
      <c r="G1436" t="str">
        <f t="shared" si="516"/>
        <v>FARMÁCIA INDIANA LJ 30 (10127)</v>
      </c>
      <c r="H1436" t="s">
        <v>379</v>
      </c>
      <c r="I1436" t="str">
        <f t="shared" si="513"/>
        <v>11/02/2026</v>
      </c>
      <c r="J1436" t="str">
        <f t="shared" si="517"/>
        <v>03/02/2026</v>
      </c>
      <c r="K1436">
        <v>46064</v>
      </c>
      <c r="N1436">
        <v>303</v>
      </c>
      <c r="O1436" t="s">
        <v>26</v>
      </c>
      <c r="Q1436">
        <v>123.79</v>
      </c>
      <c r="R1436" t="str">
        <f>"FARMÁCIA INDIANA LJ 33 (10187)"</f>
        <v>FARMÁCIA INDIANA LJ 33 (10187)</v>
      </c>
      <c r="S1436" t="s">
        <v>27</v>
      </c>
      <c r="T1436">
        <v>4209</v>
      </c>
      <c r="U1436">
        <v>3652</v>
      </c>
      <c r="V1436" t="s">
        <v>22</v>
      </c>
    </row>
    <row r="1437" spans="1:22">
      <c r="A1437" t="str">
        <f t="shared" si="514"/>
        <v>11/02/2026</v>
      </c>
      <c r="B1437" t="str">
        <f t="shared" si="509"/>
        <v>ENTRADA</v>
      </c>
      <c r="C1437" t="str">
        <f t="shared" si="510"/>
        <v>NFSE</v>
      </c>
      <c r="D1437" t="str">
        <f t="shared" si="515"/>
        <v>248</v>
      </c>
      <c r="E1437" t="str">
        <f t="shared" si="511"/>
        <v>1</v>
      </c>
      <c r="F1437" t="str">
        <f t="shared" si="512"/>
        <v>COM</v>
      </c>
      <c r="G1437" t="str">
        <f t="shared" si="516"/>
        <v>FARMÁCIA INDIANA LJ 30 (10127)</v>
      </c>
      <c r="H1437" t="s">
        <v>379</v>
      </c>
      <c r="I1437" t="str">
        <f t="shared" si="513"/>
        <v>11/02/2026</v>
      </c>
      <c r="J1437" t="str">
        <f t="shared" si="517"/>
        <v>03/02/2026</v>
      </c>
      <c r="K1437">
        <v>46064</v>
      </c>
      <c r="N1437">
        <v>303</v>
      </c>
      <c r="O1437" t="s">
        <v>26</v>
      </c>
      <c r="Q1437">
        <v>99.72</v>
      </c>
      <c r="R1437" t="str">
        <f>"FARMÁCIA INDIANA LJ 283 (10268)"</f>
        <v>FARMÁCIA INDIANA LJ 283 (10268)</v>
      </c>
      <c r="S1437" t="s">
        <v>27</v>
      </c>
      <c r="T1437">
        <v>4209</v>
      </c>
      <c r="U1437">
        <v>3652</v>
      </c>
      <c r="V1437" t="s">
        <v>22</v>
      </c>
    </row>
    <row r="1438" spans="1:22">
      <c r="A1438" t="str">
        <f t="shared" si="514"/>
        <v>11/02/2026</v>
      </c>
      <c r="B1438" t="str">
        <f t="shared" si="509"/>
        <v>ENTRADA</v>
      </c>
      <c r="C1438" t="str">
        <f t="shared" si="510"/>
        <v>NFSE</v>
      </c>
      <c r="D1438" t="str">
        <f t="shared" si="515"/>
        <v>248</v>
      </c>
      <c r="E1438" t="str">
        <f t="shared" si="511"/>
        <v>1</v>
      </c>
      <c r="F1438" t="str">
        <f t="shared" si="512"/>
        <v>COM</v>
      </c>
      <c r="G1438" t="str">
        <f t="shared" si="516"/>
        <v>FARMÁCIA INDIANA LJ 30 (10127)</v>
      </c>
      <c r="H1438" t="s">
        <v>379</v>
      </c>
      <c r="I1438" t="str">
        <f t="shared" si="513"/>
        <v>11/02/2026</v>
      </c>
      <c r="J1438" t="str">
        <f t="shared" si="517"/>
        <v>03/02/2026</v>
      </c>
      <c r="K1438">
        <v>46064</v>
      </c>
      <c r="N1438">
        <v>303</v>
      </c>
      <c r="O1438" t="s">
        <v>26</v>
      </c>
      <c r="Q1438">
        <v>47.2</v>
      </c>
      <c r="R1438" t="str">
        <f>"FARMÁCIA INDIANA LJ 155 (10273)"</f>
        <v>FARMÁCIA INDIANA LJ 155 (10273)</v>
      </c>
      <c r="S1438" t="s">
        <v>27</v>
      </c>
      <c r="T1438">
        <v>4209</v>
      </c>
      <c r="U1438">
        <v>3652</v>
      </c>
      <c r="V1438" t="s">
        <v>22</v>
      </c>
    </row>
    <row r="1439" spans="1:22">
      <c r="A1439" t="str">
        <f t="shared" si="514"/>
        <v>11/02/2026</v>
      </c>
      <c r="B1439" t="str">
        <f t="shared" si="509"/>
        <v>ENTRADA</v>
      </c>
      <c r="C1439" t="str">
        <f t="shared" si="510"/>
        <v>NFSE</v>
      </c>
      <c r="D1439" t="str">
        <f t="shared" si="515"/>
        <v>248</v>
      </c>
      <c r="E1439" t="str">
        <f t="shared" si="511"/>
        <v>1</v>
      </c>
      <c r="F1439" t="str">
        <f t="shared" si="512"/>
        <v>COM</v>
      </c>
      <c r="G1439" t="str">
        <f t="shared" si="516"/>
        <v>FARMÁCIA INDIANA LJ 30 (10127)</v>
      </c>
      <c r="H1439" t="s">
        <v>379</v>
      </c>
      <c r="I1439" t="str">
        <f t="shared" si="513"/>
        <v>11/02/2026</v>
      </c>
      <c r="J1439" t="str">
        <f t="shared" si="517"/>
        <v>03/02/2026</v>
      </c>
      <c r="K1439">
        <v>46064</v>
      </c>
      <c r="N1439">
        <v>303</v>
      </c>
      <c r="O1439" t="s">
        <v>26</v>
      </c>
      <c r="Q1439">
        <v>113.78</v>
      </c>
      <c r="R1439" t="str">
        <f>"FARMÁCIA INDIANA LJ 158 (10275)"</f>
        <v>FARMÁCIA INDIANA LJ 158 (10275)</v>
      </c>
      <c r="S1439" t="s">
        <v>27</v>
      </c>
      <c r="T1439">
        <v>4209</v>
      </c>
      <c r="U1439">
        <v>3652</v>
      </c>
      <c r="V1439" t="s">
        <v>22</v>
      </c>
    </row>
    <row r="1440" spans="1:22">
      <c r="A1440" t="str">
        <f t="shared" si="514"/>
        <v>11/02/2026</v>
      </c>
      <c r="B1440" t="str">
        <f t="shared" si="509"/>
        <v>ENTRADA</v>
      </c>
      <c r="C1440" t="str">
        <f t="shared" si="510"/>
        <v>NFSE</v>
      </c>
      <c r="D1440" t="str">
        <f t="shared" si="515"/>
        <v>248</v>
      </c>
      <c r="E1440" t="str">
        <f t="shared" si="511"/>
        <v>1</v>
      </c>
      <c r="F1440" t="str">
        <f t="shared" si="512"/>
        <v>COM</v>
      </c>
      <c r="G1440" t="str">
        <f t="shared" si="516"/>
        <v>FARMÁCIA INDIANA LJ 30 (10127)</v>
      </c>
      <c r="H1440" t="s">
        <v>379</v>
      </c>
      <c r="I1440" t="str">
        <f t="shared" si="513"/>
        <v>11/02/2026</v>
      </c>
      <c r="J1440" t="str">
        <f t="shared" si="517"/>
        <v>03/02/2026</v>
      </c>
      <c r="K1440">
        <v>46064</v>
      </c>
      <c r="N1440">
        <v>303</v>
      </c>
      <c r="O1440" t="s">
        <v>26</v>
      </c>
      <c r="Q1440">
        <v>130.97999999999999</v>
      </c>
      <c r="R1440" t="str">
        <f>"FARMÁCIA INDIANA LJ 92 (10281)"</f>
        <v>FARMÁCIA INDIANA LJ 92 (10281)</v>
      </c>
      <c r="S1440" t="s">
        <v>27</v>
      </c>
      <c r="T1440">
        <v>4209</v>
      </c>
      <c r="U1440">
        <v>3652</v>
      </c>
      <c r="V1440" t="s">
        <v>22</v>
      </c>
    </row>
    <row r="1441" spans="1:22">
      <c r="A1441" t="str">
        <f t="shared" si="514"/>
        <v>11/02/2026</v>
      </c>
      <c r="B1441" t="str">
        <f t="shared" si="509"/>
        <v>ENTRADA</v>
      </c>
      <c r="C1441" t="str">
        <f t="shared" si="510"/>
        <v>NFSE</v>
      </c>
      <c r="D1441" t="str">
        <f t="shared" ref="D1441:D1452" si="518">"249"</f>
        <v>249</v>
      </c>
      <c r="E1441" t="str">
        <f t="shared" si="511"/>
        <v>1</v>
      </c>
      <c r="F1441" t="str">
        <f t="shared" si="512"/>
        <v>COM</v>
      </c>
      <c r="G1441" t="str">
        <f t="shared" ref="G1441:G1452" si="519">"FARMÁCIA INDIANA LJ 85 (10128)"</f>
        <v>FARMÁCIA INDIANA LJ 85 (10128)</v>
      </c>
      <c r="H1441" t="str">
        <f>"Serv.Prest. 26/01/2026 a 01/02/2026 - RPS: 2173 - NFSe: 249"</f>
        <v>Serv.Prest. 26/01/2026 a 01/02/2026 - RPS: 2173 - NFSe: 249</v>
      </c>
      <c r="I1441" t="str">
        <f t="shared" si="513"/>
        <v>11/02/2026</v>
      </c>
      <c r="J1441" t="str">
        <f t="shared" si="517"/>
        <v>03/02/2026</v>
      </c>
      <c r="K1441" t="str">
        <f>("11/02/2026")</f>
        <v>11/02/2026</v>
      </c>
      <c r="L1441">
        <v>999.66</v>
      </c>
      <c r="M1441">
        <v>999.66</v>
      </c>
      <c r="N1441">
        <v>303</v>
      </c>
      <c r="O1441" t="str">
        <f>"RECEITAS COM ENTREGAS"</f>
        <v>RECEITAS COM ENTREGAS</v>
      </c>
      <c r="P1441">
        <v>999.66</v>
      </c>
      <c r="S1441" t="str">
        <f>"RECEITAS COM ENTREGAS (303)"</f>
        <v>RECEITAS COM ENTREGAS (303)</v>
      </c>
      <c r="T1441">
        <v>4210</v>
      </c>
      <c r="U1441">
        <v>3653</v>
      </c>
      <c r="V1441" t="s">
        <v>22</v>
      </c>
    </row>
    <row r="1442" spans="1:22">
      <c r="A1442" t="str">
        <f t="shared" si="514"/>
        <v>11/02/2026</v>
      </c>
      <c r="B1442" t="str">
        <f t="shared" si="509"/>
        <v>ENTRADA</v>
      </c>
      <c r="C1442" t="str">
        <f t="shared" si="510"/>
        <v>NFSE</v>
      </c>
      <c r="D1442" t="str">
        <f t="shared" si="518"/>
        <v>249</v>
      </c>
      <c r="E1442" t="str">
        <f t="shared" si="511"/>
        <v>1</v>
      </c>
      <c r="F1442" t="str">
        <f t="shared" si="512"/>
        <v>COM</v>
      </c>
      <c r="G1442" t="str">
        <f t="shared" si="519"/>
        <v>FARMÁCIA INDIANA LJ 85 (10128)</v>
      </c>
      <c r="H1442" t="s">
        <v>380</v>
      </c>
      <c r="I1442" t="str">
        <f t="shared" si="513"/>
        <v>11/02/2026</v>
      </c>
      <c r="J1442" t="str">
        <f t="shared" si="517"/>
        <v>03/02/2026</v>
      </c>
      <c r="K1442">
        <v>46064</v>
      </c>
      <c r="N1442">
        <v>303</v>
      </c>
      <c r="O1442" t="s">
        <v>26</v>
      </c>
      <c r="Q1442">
        <v>107.97</v>
      </c>
      <c r="R1442" t="str">
        <f>"FARMÁCIA INDIANA LJ 119 (10053)"</f>
        <v>FARMÁCIA INDIANA LJ 119 (10053)</v>
      </c>
      <c r="S1442" t="s">
        <v>27</v>
      </c>
      <c r="T1442">
        <v>4210</v>
      </c>
      <c r="U1442">
        <v>3653</v>
      </c>
      <c r="V1442" t="s">
        <v>22</v>
      </c>
    </row>
    <row r="1443" spans="1:22">
      <c r="A1443" t="str">
        <f t="shared" si="514"/>
        <v>11/02/2026</v>
      </c>
      <c r="B1443" t="str">
        <f t="shared" si="509"/>
        <v>ENTRADA</v>
      </c>
      <c r="C1443" t="str">
        <f t="shared" si="510"/>
        <v>NFSE</v>
      </c>
      <c r="D1443" t="str">
        <f t="shared" si="518"/>
        <v>249</v>
      </c>
      <c r="E1443" t="str">
        <f t="shared" si="511"/>
        <v>1</v>
      </c>
      <c r="F1443" t="str">
        <f t="shared" si="512"/>
        <v>COM</v>
      </c>
      <c r="G1443" t="str">
        <f t="shared" si="519"/>
        <v>FARMÁCIA INDIANA LJ 85 (10128)</v>
      </c>
      <c r="H1443" t="s">
        <v>380</v>
      </c>
      <c r="I1443" t="str">
        <f t="shared" si="513"/>
        <v>11/02/2026</v>
      </c>
      <c r="J1443" t="str">
        <f t="shared" si="517"/>
        <v>03/02/2026</v>
      </c>
      <c r="K1443">
        <v>46064</v>
      </c>
      <c r="N1443">
        <v>303</v>
      </c>
      <c r="O1443" t="s">
        <v>26</v>
      </c>
      <c r="Q1443">
        <v>101.57</v>
      </c>
      <c r="R1443" t="str">
        <f>"FARMÁCIA INDIANA LJ 163 (10072)"</f>
        <v>FARMÁCIA INDIANA LJ 163 (10072)</v>
      </c>
      <c r="S1443" t="s">
        <v>27</v>
      </c>
      <c r="T1443">
        <v>4210</v>
      </c>
      <c r="U1443">
        <v>3653</v>
      </c>
      <c r="V1443" t="s">
        <v>22</v>
      </c>
    </row>
    <row r="1444" spans="1:22">
      <c r="A1444" t="str">
        <f t="shared" si="514"/>
        <v>11/02/2026</v>
      </c>
      <c r="B1444" t="str">
        <f t="shared" si="509"/>
        <v>ENTRADA</v>
      </c>
      <c r="C1444" t="str">
        <f t="shared" si="510"/>
        <v>NFSE</v>
      </c>
      <c r="D1444" t="str">
        <f t="shared" si="518"/>
        <v>249</v>
      </c>
      <c r="E1444" t="str">
        <f t="shared" si="511"/>
        <v>1</v>
      </c>
      <c r="F1444" t="str">
        <f t="shared" si="512"/>
        <v>COM</v>
      </c>
      <c r="G1444" t="str">
        <f t="shared" si="519"/>
        <v>FARMÁCIA INDIANA LJ 85 (10128)</v>
      </c>
      <c r="H1444" t="s">
        <v>380</v>
      </c>
      <c r="I1444" t="str">
        <f t="shared" si="513"/>
        <v>11/02/2026</v>
      </c>
      <c r="J1444" t="str">
        <f t="shared" si="517"/>
        <v>03/02/2026</v>
      </c>
      <c r="K1444">
        <v>46064</v>
      </c>
      <c r="N1444">
        <v>303</v>
      </c>
      <c r="O1444" t="s">
        <v>26</v>
      </c>
      <c r="Q1444">
        <v>125.96</v>
      </c>
      <c r="R1444" t="str">
        <f>"FARMÁCIA INDIANA LJ 181 (10078)"</f>
        <v>FARMÁCIA INDIANA LJ 181 (10078)</v>
      </c>
      <c r="S1444" t="s">
        <v>27</v>
      </c>
      <c r="T1444">
        <v>4210</v>
      </c>
      <c r="U1444">
        <v>3653</v>
      </c>
      <c r="V1444" t="s">
        <v>22</v>
      </c>
    </row>
    <row r="1445" spans="1:22">
      <c r="A1445" t="str">
        <f t="shared" si="514"/>
        <v>11/02/2026</v>
      </c>
      <c r="B1445" t="str">
        <f t="shared" si="509"/>
        <v>ENTRADA</v>
      </c>
      <c r="C1445" t="str">
        <f t="shared" si="510"/>
        <v>NFSE</v>
      </c>
      <c r="D1445" t="str">
        <f t="shared" si="518"/>
        <v>249</v>
      </c>
      <c r="E1445" t="str">
        <f t="shared" si="511"/>
        <v>1</v>
      </c>
      <c r="F1445" t="str">
        <f t="shared" si="512"/>
        <v>COM</v>
      </c>
      <c r="G1445" t="str">
        <f t="shared" si="519"/>
        <v>FARMÁCIA INDIANA LJ 85 (10128)</v>
      </c>
      <c r="H1445" t="s">
        <v>380</v>
      </c>
      <c r="I1445" t="str">
        <f t="shared" si="513"/>
        <v>11/02/2026</v>
      </c>
      <c r="J1445" t="str">
        <f t="shared" si="517"/>
        <v>03/02/2026</v>
      </c>
      <c r="K1445">
        <v>46064</v>
      </c>
      <c r="N1445">
        <v>303</v>
      </c>
      <c r="O1445" t="s">
        <v>26</v>
      </c>
      <c r="Q1445">
        <v>107.76</v>
      </c>
      <c r="R1445" t="str">
        <f>"FARMÁCIA INDIANA LJ 221 (10093)"</f>
        <v>FARMÁCIA INDIANA LJ 221 (10093)</v>
      </c>
      <c r="S1445" t="s">
        <v>27</v>
      </c>
      <c r="T1445">
        <v>4210</v>
      </c>
      <c r="U1445">
        <v>3653</v>
      </c>
      <c r="V1445" t="s">
        <v>22</v>
      </c>
    </row>
    <row r="1446" spans="1:22">
      <c r="A1446" t="str">
        <f t="shared" si="514"/>
        <v>11/02/2026</v>
      </c>
      <c r="B1446" t="str">
        <f t="shared" si="509"/>
        <v>ENTRADA</v>
      </c>
      <c r="C1446" t="str">
        <f t="shared" si="510"/>
        <v>NFSE</v>
      </c>
      <c r="D1446" t="str">
        <f t="shared" si="518"/>
        <v>249</v>
      </c>
      <c r="E1446" t="str">
        <f t="shared" si="511"/>
        <v>1</v>
      </c>
      <c r="F1446" t="str">
        <f t="shared" si="512"/>
        <v>COM</v>
      </c>
      <c r="G1446" t="str">
        <f t="shared" si="519"/>
        <v>FARMÁCIA INDIANA LJ 85 (10128)</v>
      </c>
      <c r="H1446" t="s">
        <v>380</v>
      </c>
      <c r="I1446" t="str">
        <f t="shared" si="513"/>
        <v>11/02/2026</v>
      </c>
      <c r="J1446" t="str">
        <f t="shared" si="517"/>
        <v>03/02/2026</v>
      </c>
      <c r="K1446">
        <v>46064</v>
      </c>
      <c r="N1446">
        <v>303</v>
      </c>
      <c r="O1446" t="s">
        <v>26</v>
      </c>
      <c r="Q1446">
        <v>116.96</v>
      </c>
      <c r="R1446" t="str">
        <f>"FARMÁCIA INDIANA LJ 243 (10142)"</f>
        <v>FARMÁCIA INDIANA LJ 243 (10142)</v>
      </c>
      <c r="S1446" t="s">
        <v>27</v>
      </c>
      <c r="T1446">
        <v>4210</v>
      </c>
      <c r="U1446">
        <v>3653</v>
      </c>
      <c r="V1446" t="s">
        <v>22</v>
      </c>
    </row>
    <row r="1447" spans="1:22">
      <c r="A1447" t="str">
        <f t="shared" si="514"/>
        <v>11/02/2026</v>
      </c>
      <c r="B1447" t="str">
        <f t="shared" si="509"/>
        <v>ENTRADA</v>
      </c>
      <c r="C1447" t="str">
        <f t="shared" si="510"/>
        <v>NFSE</v>
      </c>
      <c r="D1447" t="str">
        <f t="shared" si="518"/>
        <v>249</v>
      </c>
      <c r="E1447" t="str">
        <f t="shared" si="511"/>
        <v>1</v>
      </c>
      <c r="F1447" t="str">
        <f t="shared" si="512"/>
        <v>COM</v>
      </c>
      <c r="G1447" t="str">
        <f t="shared" si="519"/>
        <v>FARMÁCIA INDIANA LJ 85 (10128)</v>
      </c>
      <c r="H1447" t="s">
        <v>380</v>
      </c>
      <c r="I1447" t="str">
        <f t="shared" si="513"/>
        <v>11/02/2026</v>
      </c>
      <c r="J1447" t="str">
        <f t="shared" si="517"/>
        <v>03/02/2026</v>
      </c>
      <c r="K1447">
        <v>46064</v>
      </c>
      <c r="N1447">
        <v>303</v>
      </c>
      <c r="O1447" t="s">
        <v>26</v>
      </c>
      <c r="Q1447">
        <v>58.28</v>
      </c>
      <c r="R1447" t="str">
        <f>"FARMÁCIA INDIANA LJ 211 (10168)"</f>
        <v>FARMÁCIA INDIANA LJ 211 (10168)</v>
      </c>
      <c r="S1447" t="s">
        <v>27</v>
      </c>
      <c r="T1447">
        <v>4210</v>
      </c>
      <c r="U1447">
        <v>3653</v>
      </c>
      <c r="V1447" t="s">
        <v>22</v>
      </c>
    </row>
    <row r="1448" spans="1:22">
      <c r="A1448" t="str">
        <f t="shared" si="514"/>
        <v>11/02/2026</v>
      </c>
      <c r="B1448" t="str">
        <f t="shared" si="509"/>
        <v>ENTRADA</v>
      </c>
      <c r="C1448" t="str">
        <f t="shared" si="510"/>
        <v>NFSE</v>
      </c>
      <c r="D1448" t="str">
        <f t="shared" si="518"/>
        <v>249</v>
      </c>
      <c r="E1448" t="str">
        <f t="shared" si="511"/>
        <v>1</v>
      </c>
      <c r="F1448" t="str">
        <f t="shared" si="512"/>
        <v>COM</v>
      </c>
      <c r="G1448" t="str">
        <f t="shared" si="519"/>
        <v>FARMÁCIA INDIANA LJ 85 (10128)</v>
      </c>
      <c r="H1448" t="s">
        <v>380</v>
      </c>
      <c r="I1448" t="str">
        <f t="shared" si="513"/>
        <v>11/02/2026</v>
      </c>
      <c r="J1448" t="str">
        <f t="shared" si="517"/>
        <v>03/02/2026</v>
      </c>
      <c r="K1448">
        <v>46064</v>
      </c>
      <c r="N1448">
        <v>303</v>
      </c>
      <c r="O1448" t="s">
        <v>26</v>
      </c>
      <c r="Q1448">
        <v>56.58</v>
      </c>
      <c r="R1448" t="str">
        <f>"FARMÁCIA INDIANA LJ 236 (10169)"</f>
        <v>FARMÁCIA INDIANA LJ 236 (10169)</v>
      </c>
      <c r="S1448" t="s">
        <v>27</v>
      </c>
      <c r="T1448">
        <v>4210</v>
      </c>
      <c r="U1448">
        <v>3653</v>
      </c>
      <c r="V1448" t="s">
        <v>22</v>
      </c>
    </row>
    <row r="1449" spans="1:22">
      <c r="A1449" t="str">
        <f t="shared" si="514"/>
        <v>11/02/2026</v>
      </c>
      <c r="B1449" t="str">
        <f t="shared" si="509"/>
        <v>ENTRADA</v>
      </c>
      <c r="C1449" t="str">
        <f t="shared" si="510"/>
        <v>NFSE</v>
      </c>
      <c r="D1449" t="str">
        <f t="shared" si="518"/>
        <v>249</v>
      </c>
      <c r="E1449" t="str">
        <f t="shared" si="511"/>
        <v>1</v>
      </c>
      <c r="F1449" t="str">
        <f t="shared" si="512"/>
        <v>COM</v>
      </c>
      <c r="G1449" t="str">
        <f t="shared" si="519"/>
        <v>FARMÁCIA INDIANA LJ 85 (10128)</v>
      </c>
      <c r="H1449" t="s">
        <v>380</v>
      </c>
      <c r="I1449" t="str">
        <f t="shared" si="513"/>
        <v>11/02/2026</v>
      </c>
      <c r="J1449" t="str">
        <f t="shared" si="517"/>
        <v>03/02/2026</v>
      </c>
      <c r="K1449">
        <v>46064</v>
      </c>
      <c r="N1449">
        <v>303</v>
      </c>
      <c r="O1449" t="s">
        <v>26</v>
      </c>
      <c r="Q1449">
        <v>114.86</v>
      </c>
      <c r="R1449" t="str">
        <f>"FARMÁCIA INDIANA LJ 188 (10176)"</f>
        <v>FARMÁCIA INDIANA LJ 188 (10176)</v>
      </c>
      <c r="S1449" t="s">
        <v>27</v>
      </c>
      <c r="T1449">
        <v>4210</v>
      </c>
      <c r="U1449">
        <v>3653</v>
      </c>
      <c r="V1449" t="s">
        <v>22</v>
      </c>
    </row>
    <row r="1450" spans="1:22">
      <c r="A1450" t="str">
        <f t="shared" si="514"/>
        <v>11/02/2026</v>
      </c>
      <c r="B1450" t="str">
        <f t="shared" si="509"/>
        <v>ENTRADA</v>
      </c>
      <c r="C1450" t="str">
        <f t="shared" si="510"/>
        <v>NFSE</v>
      </c>
      <c r="D1450" t="str">
        <f t="shared" si="518"/>
        <v>249</v>
      </c>
      <c r="E1450" t="str">
        <f t="shared" si="511"/>
        <v>1</v>
      </c>
      <c r="F1450" t="str">
        <f t="shared" si="512"/>
        <v>COM</v>
      </c>
      <c r="G1450" t="str">
        <f t="shared" si="519"/>
        <v>FARMÁCIA INDIANA LJ 85 (10128)</v>
      </c>
      <c r="H1450" t="s">
        <v>380</v>
      </c>
      <c r="I1450" t="str">
        <f t="shared" si="513"/>
        <v>11/02/2026</v>
      </c>
      <c r="J1450" t="str">
        <f t="shared" si="517"/>
        <v>03/02/2026</v>
      </c>
      <c r="K1450">
        <v>46064</v>
      </c>
      <c r="N1450">
        <v>303</v>
      </c>
      <c r="O1450" t="s">
        <v>26</v>
      </c>
      <c r="Q1450">
        <v>134.94999999999999</v>
      </c>
      <c r="R1450" t="str">
        <f>"FARMÁCIA INDIANA LJ 273 (10188)"</f>
        <v>FARMÁCIA INDIANA LJ 273 (10188)</v>
      </c>
      <c r="S1450" t="s">
        <v>27</v>
      </c>
      <c r="T1450">
        <v>4210</v>
      </c>
      <c r="U1450">
        <v>3653</v>
      </c>
      <c r="V1450" t="s">
        <v>22</v>
      </c>
    </row>
    <row r="1451" spans="1:22">
      <c r="A1451" t="str">
        <f t="shared" si="514"/>
        <v>11/02/2026</v>
      </c>
      <c r="B1451" t="str">
        <f t="shared" ref="B1451:B1482" si="520">"ENTRADA"</f>
        <v>ENTRADA</v>
      </c>
      <c r="C1451" t="str">
        <f t="shared" ref="C1451:C1482" si="521">"NFSE"</f>
        <v>NFSE</v>
      </c>
      <c r="D1451" t="str">
        <f t="shared" si="518"/>
        <v>249</v>
      </c>
      <c r="E1451" t="str">
        <f t="shared" ref="E1451:E1482" si="522">"1"</f>
        <v>1</v>
      </c>
      <c r="F1451" t="str">
        <f t="shared" ref="F1451:F1482" si="523">"COM"</f>
        <v>COM</v>
      </c>
      <c r="G1451" t="str">
        <f t="shared" si="519"/>
        <v>FARMÁCIA INDIANA LJ 85 (10128)</v>
      </c>
      <c r="H1451" t="s">
        <v>380</v>
      </c>
      <c r="I1451" t="str">
        <f t="shared" ref="I1451:I1482" si="524">("11/02/2026")</f>
        <v>11/02/2026</v>
      </c>
      <c r="J1451" t="str">
        <f t="shared" si="517"/>
        <v>03/02/2026</v>
      </c>
      <c r="K1451">
        <v>46064</v>
      </c>
      <c r="N1451">
        <v>303</v>
      </c>
      <c r="O1451" t="s">
        <v>26</v>
      </c>
      <c r="Q1451">
        <v>18.09</v>
      </c>
      <c r="R1451" t="str">
        <f>"FARMÁCIA INDIANA LJ 235 (10190)"</f>
        <v>FARMÁCIA INDIANA LJ 235 (10190)</v>
      </c>
      <c r="S1451" t="s">
        <v>27</v>
      </c>
      <c r="T1451">
        <v>4210</v>
      </c>
      <c r="U1451">
        <v>3653</v>
      </c>
      <c r="V1451" t="s">
        <v>22</v>
      </c>
    </row>
    <row r="1452" spans="1:22">
      <c r="A1452" t="str">
        <f t="shared" si="514"/>
        <v>11/02/2026</v>
      </c>
      <c r="B1452" t="str">
        <f t="shared" si="520"/>
        <v>ENTRADA</v>
      </c>
      <c r="C1452" t="str">
        <f t="shared" si="521"/>
        <v>NFSE</v>
      </c>
      <c r="D1452" t="str">
        <f t="shared" si="518"/>
        <v>249</v>
      </c>
      <c r="E1452" t="str">
        <f t="shared" si="522"/>
        <v>1</v>
      </c>
      <c r="F1452" t="str">
        <f t="shared" si="523"/>
        <v>COM</v>
      </c>
      <c r="G1452" t="str">
        <f t="shared" si="519"/>
        <v>FARMÁCIA INDIANA LJ 85 (10128)</v>
      </c>
      <c r="H1452" t="s">
        <v>380</v>
      </c>
      <c r="I1452" t="str">
        <f t="shared" si="524"/>
        <v>11/02/2026</v>
      </c>
      <c r="J1452" t="str">
        <f t="shared" si="517"/>
        <v>03/02/2026</v>
      </c>
      <c r="K1452">
        <v>46064</v>
      </c>
      <c r="N1452">
        <v>303</v>
      </c>
      <c r="O1452" t="s">
        <v>26</v>
      </c>
      <c r="Q1452">
        <v>56.68</v>
      </c>
      <c r="R1452" t="str">
        <f>"FARMÁCIA INDIANA LJ 292 (10282)"</f>
        <v>FARMÁCIA INDIANA LJ 292 (10282)</v>
      </c>
      <c r="S1452" t="s">
        <v>27</v>
      </c>
      <c r="T1452">
        <v>4210</v>
      </c>
      <c r="U1452">
        <v>3653</v>
      </c>
      <c r="V1452" t="s">
        <v>22</v>
      </c>
    </row>
    <row r="1453" spans="1:22">
      <c r="A1453" t="str">
        <f t="shared" si="514"/>
        <v>11/02/2026</v>
      </c>
      <c r="B1453" t="str">
        <f t="shared" si="520"/>
        <v>ENTRADA</v>
      </c>
      <c r="C1453" t="str">
        <f t="shared" si="521"/>
        <v>NFSE</v>
      </c>
      <c r="D1453" t="str">
        <f t="shared" ref="D1453:D1484" si="525">"250"</f>
        <v>250</v>
      </c>
      <c r="E1453" t="str">
        <f t="shared" si="522"/>
        <v>1</v>
      </c>
      <c r="F1453" t="str">
        <f t="shared" si="523"/>
        <v>COM</v>
      </c>
      <c r="G1453" t="str">
        <f t="shared" ref="G1453:G1484" si="526">"FARMÁCIA INDIANA LJ 1 (10126)"</f>
        <v>FARMÁCIA INDIANA LJ 1 (10126)</v>
      </c>
      <c r="H1453" t="str">
        <f>"Serv.Prest. 26/01/2026 a 01/02/2026 - RPS: 2174 - NFSe: 250"</f>
        <v>Serv.Prest. 26/01/2026 a 01/02/2026 - RPS: 2174 - NFSe: 250</v>
      </c>
      <c r="I1453" t="str">
        <f t="shared" si="524"/>
        <v>11/02/2026</v>
      </c>
      <c r="J1453" t="str">
        <f t="shared" si="517"/>
        <v>03/02/2026</v>
      </c>
      <c r="K1453" t="str">
        <f>("11/02/2026")</f>
        <v>11/02/2026</v>
      </c>
      <c r="L1453">
        <v>12941.24</v>
      </c>
      <c r="M1453">
        <v>12941.24</v>
      </c>
      <c r="N1453">
        <v>303</v>
      </c>
      <c r="O1453" t="str">
        <f>"RECEITAS COM ENTREGAS"</f>
        <v>RECEITAS COM ENTREGAS</v>
      </c>
      <c r="P1453">
        <v>12941.24</v>
      </c>
      <c r="S1453" t="str">
        <f>"RECEITAS COM ENTREGAS (303)"</f>
        <v>RECEITAS COM ENTREGAS (303)</v>
      </c>
      <c r="T1453">
        <v>4211</v>
      </c>
      <c r="U1453">
        <v>3654</v>
      </c>
      <c r="V1453" t="s">
        <v>22</v>
      </c>
    </row>
    <row r="1454" spans="1:22">
      <c r="A1454" t="str">
        <f t="shared" si="514"/>
        <v>11/02/2026</v>
      </c>
      <c r="B1454" t="str">
        <f t="shared" si="520"/>
        <v>ENTRADA</v>
      </c>
      <c r="C1454" t="str">
        <f t="shared" si="521"/>
        <v>NFSE</v>
      </c>
      <c r="D1454" t="str">
        <f t="shared" si="525"/>
        <v>250</v>
      </c>
      <c r="E1454" t="str">
        <f t="shared" si="522"/>
        <v>1</v>
      </c>
      <c r="F1454" t="str">
        <f t="shared" si="523"/>
        <v>COM</v>
      </c>
      <c r="G1454" t="str">
        <f t="shared" si="526"/>
        <v>FARMÁCIA INDIANA LJ 1 (10126)</v>
      </c>
      <c r="H1454" t="s">
        <v>381</v>
      </c>
      <c r="I1454" t="str">
        <f t="shared" si="524"/>
        <v>11/02/2026</v>
      </c>
      <c r="J1454" t="str">
        <f t="shared" si="517"/>
        <v>03/02/2026</v>
      </c>
      <c r="K1454">
        <v>46064</v>
      </c>
      <c r="N1454">
        <v>303</v>
      </c>
      <c r="O1454" t="s">
        <v>26</v>
      </c>
      <c r="Q1454">
        <v>1986.47</v>
      </c>
      <c r="R1454" t="str">
        <f>"FARMÁCIA INDIANA LJ 06 (10006)"</f>
        <v>FARMÁCIA INDIANA LJ 06 (10006)</v>
      </c>
      <c r="S1454" t="s">
        <v>27</v>
      </c>
      <c r="T1454">
        <v>4211</v>
      </c>
      <c r="U1454">
        <v>3654</v>
      </c>
      <c r="V1454" t="s">
        <v>22</v>
      </c>
    </row>
    <row r="1455" spans="1:22">
      <c r="A1455" t="str">
        <f t="shared" ref="A1455:A1486" si="527">("11/02/2026")</f>
        <v>11/02/2026</v>
      </c>
      <c r="B1455" t="str">
        <f t="shared" si="520"/>
        <v>ENTRADA</v>
      </c>
      <c r="C1455" t="str">
        <f t="shared" si="521"/>
        <v>NFSE</v>
      </c>
      <c r="D1455" t="str">
        <f t="shared" si="525"/>
        <v>250</v>
      </c>
      <c r="E1455" t="str">
        <f t="shared" si="522"/>
        <v>1</v>
      </c>
      <c r="F1455" t="str">
        <f t="shared" si="523"/>
        <v>COM</v>
      </c>
      <c r="G1455" t="str">
        <f t="shared" si="526"/>
        <v>FARMÁCIA INDIANA LJ 1 (10126)</v>
      </c>
      <c r="H1455" t="s">
        <v>381</v>
      </c>
      <c r="I1455" t="str">
        <f t="shared" si="524"/>
        <v>11/02/2026</v>
      </c>
      <c r="J1455" t="str">
        <f t="shared" ref="J1455:J1486" si="528">("03/02/2026")</f>
        <v>03/02/2026</v>
      </c>
      <c r="K1455">
        <v>46064</v>
      </c>
      <c r="N1455">
        <v>303</v>
      </c>
      <c r="O1455" t="s">
        <v>26</v>
      </c>
      <c r="Q1455">
        <v>1314.83</v>
      </c>
      <c r="R1455" t="str">
        <f>"FARMÁCIA INDIANA LJ 07 (10007)"</f>
        <v>FARMÁCIA INDIANA LJ 07 (10007)</v>
      </c>
      <c r="S1455" t="s">
        <v>27</v>
      </c>
      <c r="T1455">
        <v>4211</v>
      </c>
      <c r="U1455">
        <v>3654</v>
      </c>
      <c r="V1455" t="s">
        <v>22</v>
      </c>
    </row>
    <row r="1456" spans="1:22">
      <c r="A1456" t="str">
        <f t="shared" si="527"/>
        <v>11/02/2026</v>
      </c>
      <c r="B1456" t="str">
        <f t="shared" si="520"/>
        <v>ENTRADA</v>
      </c>
      <c r="C1456" t="str">
        <f t="shared" si="521"/>
        <v>NFSE</v>
      </c>
      <c r="D1456" t="str">
        <f t="shared" si="525"/>
        <v>250</v>
      </c>
      <c r="E1456" t="str">
        <f t="shared" si="522"/>
        <v>1</v>
      </c>
      <c r="F1456" t="str">
        <f t="shared" si="523"/>
        <v>COM</v>
      </c>
      <c r="G1456" t="str">
        <f t="shared" si="526"/>
        <v>FARMÁCIA INDIANA LJ 1 (10126)</v>
      </c>
      <c r="H1456" t="s">
        <v>381</v>
      </c>
      <c r="I1456" t="str">
        <f t="shared" si="524"/>
        <v>11/02/2026</v>
      </c>
      <c r="J1456" t="str">
        <f t="shared" si="528"/>
        <v>03/02/2026</v>
      </c>
      <c r="K1456">
        <v>46064</v>
      </c>
      <c r="N1456">
        <v>303</v>
      </c>
      <c r="O1456" t="s">
        <v>26</v>
      </c>
      <c r="Q1456">
        <v>918.83</v>
      </c>
      <c r="R1456" t="str">
        <f>"FARMÁCIA INDIANA LJ 11 (10008)"</f>
        <v>FARMÁCIA INDIANA LJ 11 (10008)</v>
      </c>
      <c r="S1456" t="s">
        <v>27</v>
      </c>
      <c r="T1456">
        <v>4211</v>
      </c>
      <c r="U1456">
        <v>3654</v>
      </c>
      <c r="V1456" t="s">
        <v>22</v>
      </c>
    </row>
    <row r="1457" spans="1:22">
      <c r="A1457" t="str">
        <f t="shared" si="527"/>
        <v>11/02/2026</v>
      </c>
      <c r="B1457" t="str">
        <f t="shared" si="520"/>
        <v>ENTRADA</v>
      </c>
      <c r="C1457" t="str">
        <f t="shared" si="521"/>
        <v>NFSE</v>
      </c>
      <c r="D1457" t="str">
        <f t="shared" si="525"/>
        <v>250</v>
      </c>
      <c r="E1457" t="str">
        <f t="shared" si="522"/>
        <v>1</v>
      </c>
      <c r="F1457" t="str">
        <f t="shared" si="523"/>
        <v>COM</v>
      </c>
      <c r="G1457" t="str">
        <f t="shared" si="526"/>
        <v>FARMÁCIA INDIANA LJ 1 (10126)</v>
      </c>
      <c r="H1457" t="s">
        <v>381</v>
      </c>
      <c r="I1457" t="str">
        <f t="shared" si="524"/>
        <v>11/02/2026</v>
      </c>
      <c r="J1457" t="str">
        <f t="shared" si="528"/>
        <v>03/02/2026</v>
      </c>
      <c r="K1457">
        <v>46064</v>
      </c>
      <c r="N1457">
        <v>303</v>
      </c>
      <c r="O1457" t="s">
        <v>26</v>
      </c>
      <c r="Q1457">
        <v>425.77</v>
      </c>
      <c r="R1457" t="str">
        <f>"FARMÁCIA INDIANA LJ 14 (10009)"</f>
        <v>FARMÁCIA INDIANA LJ 14 (10009)</v>
      </c>
      <c r="S1457" t="s">
        <v>27</v>
      </c>
      <c r="T1457">
        <v>4211</v>
      </c>
      <c r="U1457">
        <v>3654</v>
      </c>
      <c r="V1457" t="s">
        <v>22</v>
      </c>
    </row>
    <row r="1458" spans="1:22">
      <c r="A1458" t="str">
        <f t="shared" si="527"/>
        <v>11/02/2026</v>
      </c>
      <c r="B1458" t="str">
        <f t="shared" si="520"/>
        <v>ENTRADA</v>
      </c>
      <c r="C1458" t="str">
        <f t="shared" si="521"/>
        <v>NFSE</v>
      </c>
      <c r="D1458" t="str">
        <f t="shared" si="525"/>
        <v>250</v>
      </c>
      <c r="E1458" t="str">
        <f t="shared" si="522"/>
        <v>1</v>
      </c>
      <c r="F1458" t="str">
        <f t="shared" si="523"/>
        <v>COM</v>
      </c>
      <c r="G1458" t="str">
        <f t="shared" si="526"/>
        <v>FARMÁCIA INDIANA LJ 1 (10126)</v>
      </c>
      <c r="H1458" t="s">
        <v>381</v>
      </c>
      <c r="I1458" t="str">
        <f t="shared" si="524"/>
        <v>11/02/2026</v>
      </c>
      <c r="J1458" t="str">
        <f t="shared" si="528"/>
        <v>03/02/2026</v>
      </c>
      <c r="K1458">
        <v>46064</v>
      </c>
      <c r="N1458">
        <v>303</v>
      </c>
      <c r="O1458" t="s">
        <v>26</v>
      </c>
      <c r="Q1458">
        <v>276.94</v>
      </c>
      <c r="R1458" t="str">
        <f>"FARMÁCIA INDIANA LJ 18 (10011)"</f>
        <v>FARMÁCIA INDIANA LJ 18 (10011)</v>
      </c>
      <c r="S1458" t="s">
        <v>27</v>
      </c>
      <c r="T1458">
        <v>4211</v>
      </c>
      <c r="U1458">
        <v>3654</v>
      </c>
      <c r="V1458" t="s">
        <v>22</v>
      </c>
    </row>
    <row r="1459" spans="1:22">
      <c r="A1459" t="str">
        <f t="shared" si="527"/>
        <v>11/02/2026</v>
      </c>
      <c r="B1459" t="str">
        <f t="shared" si="520"/>
        <v>ENTRADA</v>
      </c>
      <c r="C1459" t="str">
        <f t="shared" si="521"/>
        <v>NFSE</v>
      </c>
      <c r="D1459" t="str">
        <f t="shared" si="525"/>
        <v>250</v>
      </c>
      <c r="E1459" t="str">
        <f t="shared" si="522"/>
        <v>1</v>
      </c>
      <c r="F1459" t="str">
        <f t="shared" si="523"/>
        <v>COM</v>
      </c>
      <c r="G1459" t="str">
        <f t="shared" si="526"/>
        <v>FARMÁCIA INDIANA LJ 1 (10126)</v>
      </c>
      <c r="H1459" t="s">
        <v>381</v>
      </c>
      <c r="I1459" t="str">
        <f t="shared" si="524"/>
        <v>11/02/2026</v>
      </c>
      <c r="J1459" t="str">
        <f t="shared" si="528"/>
        <v>03/02/2026</v>
      </c>
      <c r="K1459">
        <v>46064</v>
      </c>
      <c r="N1459">
        <v>303</v>
      </c>
      <c r="O1459" t="s">
        <v>26</v>
      </c>
      <c r="Q1459">
        <v>339.06</v>
      </c>
      <c r="R1459" t="str">
        <f>"FARMÁCIA INDIANA LJ 19 (10012)"</f>
        <v>FARMÁCIA INDIANA LJ 19 (10012)</v>
      </c>
      <c r="S1459" t="s">
        <v>27</v>
      </c>
      <c r="T1459">
        <v>4211</v>
      </c>
      <c r="U1459">
        <v>3654</v>
      </c>
      <c r="V1459" t="s">
        <v>22</v>
      </c>
    </row>
    <row r="1460" spans="1:22">
      <c r="A1460" t="str">
        <f t="shared" si="527"/>
        <v>11/02/2026</v>
      </c>
      <c r="B1460" t="str">
        <f t="shared" si="520"/>
        <v>ENTRADA</v>
      </c>
      <c r="C1460" t="str">
        <f t="shared" si="521"/>
        <v>NFSE</v>
      </c>
      <c r="D1460" t="str">
        <f t="shared" si="525"/>
        <v>250</v>
      </c>
      <c r="E1460" t="str">
        <f t="shared" si="522"/>
        <v>1</v>
      </c>
      <c r="F1460" t="str">
        <f t="shared" si="523"/>
        <v>COM</v>
      </c>
      <c r="G1460" t="str">
        <f t="shared" si="526"/>
        <v>FARMÁCIA INDIANA LJ 1 (10126)</v>
      </c>
      <c r="H1460" t="s">
        <v>381</v>
      </c>
      <c r="I1460" t="str">
        <f t="shared" si="524"/>
        <v>11/02/2026</v>
      </c>
      <c r="J1460" t="str">
        <f t="shared" si="528"/>
        <v>03/02/2026</v>
      </c>
      <c r="K1460">
        <v>46064</v>
      </c>
      <c r="N1460">
        <v>303</v>
      </c>
      <c r="O1460" t="s">
        <v>26</v>
      </c>
      <c r="Q1460">
        <v>463.3</v>
      </c>
      <c r="R1460" t="str">
        <f>"FARMÁCIA INDIANA LJ 40 (10016)"</f>
        <v>FARMÁCIA INDIANA LJ 40 (10016)</v>
      </c>
      <c r="S1460" t="s">
        <v>27</v>
      </c>
      <c r="T1460">
        <v>4211</v>
      </c>
      <c r="U1460">
        <v>3654</v>
      </c>
      <c r="V1460" t="s">
        <v>22</v>
      </c>
    </row>
    <row r="1461" spans="1:22">
      <c r="A1461" t="str">
        <f t="shared" si="527"/>
        <v>11/02/2026</v>
      </c>
      <c r="B1461" t="str">
        <f t="shared" si="520"/>
        <v>ENTRADA</v>
      </c>
      <c r="C1461" t="str">
        <f t="shared" si="521"/>
        <v>NFSE</v>
      </c>
      <c r="D1461" t="str">
        <f t="shared" si="525"/>
        <v>250</v>
      </c>
      <c r="E1461" t="str">
        <f t="shared" si="522"/>
        <v>1</v>
      </c>
      <c r="F1461" t="str">
        <f t="shared" si="523"/>
        <v>COM</v>
      </c>
      <c r="G1461" t="str">
        <f t="shared" si="526"/>
        <v>FARMÁCIA INDIANA LJ 1 (10126)</v>
      </c>
      <c r="H1461" t="s">
        <v>381</v>
      </c>
      <c r="I1461" t="str">
        <f t="shared" si="524"/>
        <v>11/02/2026</v>
      </c>
      <c r="J1461" t="str">
        <f t="shared" si="528"/>
        <v>03/02/2026</v>
      </c>
      <c r="K1461">
        <v>46064</v>
      </c>
      <c r="N1461">
        <v>303</v>
      </c>
      <c r="O1461" t="s">
        <v>26</v>
      </c>
      <c r="Q1461">
        <v>204.47</v>
      </c>
      <c r="R1461" t="str">
        <f>"FARMÁCIA INDIANA LJ 59 (10026)"</f>
        <v>FARMÁCIA INDIANA LJ 59 (10026)</v>
      </c>
      <c r="S1461" t="s">
        <v>27</v>
      </c>
      <c r="T1461">
        <v>4211</v>
      </c>
      <c r="U1461">
        <v>3654</v>
      </c>
      <c r="V1461" t="s">
        <v>22</v>
      </c>
    </row>
    <row r="1462" spans="1:22">
      <c r="A1462" t="str">
        <f t="shared" si="527"/>
        <v>11/02/2026</v>
      </c>
      <c r="B1462" t="str">
        <f t="shared" si="520"/>
        <v>ENTRADA</v>
      </c>
      <c r="C1462" t="str">
        <f t="shared" si="521"/>
        <v>NFSE</v>
      </c>
      <c r="D1462" t="str">
        <f t="shared" si="525"/>
        <v>250</v>
      </c>
      <c r="E1462" t="str">
        <f t="shared" si="522"/>
        <v>1</v>
      </c>
      <c r="F1462" t="str">
        <f t="shared" si="523"/>
        <v>COM</v>
      </c>
      <c r="G1462" t="str">
        <f t="shared" si="526"/>
        <v>FARMÁCIA INDIANA LJ 1 (10126)</v>
      </c>
      <c r="H1462" t="s">
        <v>381</v>
      </c>
      <c r="I1462" t="str">
        <f t="shared" si="524"/>
        <v>11/02/2026</v>
      </c>
      <c r="J1462" t="str">
        <f t="shared" si="528"/>
        <v>03/02/2026</v>
      </c>
      <c r="K1462">
        <v>46064</v>
      </c>
      <c r="N1462">
        <v>303</v>
      </c>
      <c r="O1462" t="s">
        <v>26</v>
      </c>
      <c r="Q1462">
        <v>472.36</v>
      </c>
      <c r="R1462" t="str">
        <f>"FARMÁCIA INDIANA LJ 61 (10027)"</f>
        <v>FARMÁCIA INDIANA LJ 61 (10027)</v>
      </c>
      <c r="S1462" t="s">
        <v>27</v>
      </c>
      <c r="T1462">
        <v>4211</v>
      </c>
      <c r="U1462">
        <v>3654</v>
      </c>
      <c r="V1462" t="s">
        <v>22</v>
      </c>
    </row>
    <row r="1463" spans="1:22">
      <c r="A1463" t="str">
        <f t="shared" si="527"/>
        <v>11/02/2026</v>
      </c>
      <c r="B1463" t="str">
        <f t="shared" si="520"/>
        <v>ENTRADA</v>
      </c>
      <c r="C1463" t="str">
        <f t="shared" si="521"/>
        <v>NFSE</v>
      </c>
      <c r="D1463" t="str">
        <f t="shared" si="525"/>
        <v>250</v>
      </c>
      <c r="E1463" t="str">
        <f t="shared" si="522"/>
        <v>1</v>
      </c>
      <c r="F1463" t="str">
        <f t="shared" si="523"/>
        <v>COM</v>
      </c>
      <c r="G1463" t="str">
        <f t="shared" si="526"/>
        <v>FARMÁCIA INDIANA LJ 1 (10126)</v>
      </c>
      <c r="H1463" t="s">
        <v>381</v>
      </c>
      <c r="I1463" t="str">
        <f t="shared" si="524"/>
        <v>11/02/2026</v>
      </c>
      <c r="J1463" t="str">
        <f t="shared" si="528"/>
        <v>03/02/2026</v>
      </c>
      <c r="K1463">
        <v>46064</v>
      </c>
      <c r="N1463">
        <v>303</v>
      </c>
      <c r="O1463" t="s">
        <v>26</v>
      </c>
      <c r="Q1463">
        <v>217.41</v>
      </c>
      <c r="R1463" t="str">
        <f>"FARMÁCIA INDIANA LJ 62 (10028)"</f>
        <v>FARMÁCIA INDIANA LJ 62 (10028)</v>
      </c>
      <c r="S1463" t="s">
        <v>27</v>
      </c>
      <c r="T1463">
        <v>4211</v>
      </c>
      <c r="U1463">
        <v>3654</v>
      </c>
      <c r="V1463" t="s">
        <v>22</v>
      </c>
    </row>
    <row r="1464" spans="1:22">
      <c r="A1464" t="str">
        <f t="shared" si="527"/>
        <v>11/02/2026</v>
      </c>
      <c r="B1464" t="str">
        <f t="shared" si="520"/>
        <v>ENTRADA</v>
      </c>
      <c r="C1464" t="str">
        <f t="shared" si="521"/>
        <v>NFSE</v>
      </c>
      <c r="D1464" t="str">
        <f t="shared" si="525"/>
        <v>250</v>
      </c>
      <c r="E1464" t="str">
        <f t="shared" si="522"/>
        <v>1</v>
      </c>
      <c r="F1464" t="str">
        <f t="shared" si="523"/>
        <v>COM</v>
      </c>
      <c r="G1464" t="str">
        <f t="shared" si="526"/>
        <v>FARMÁCIA INDIANA LJ 1 (10126)</v>
      </c>
      <c r="H1464" t="s">
        <v>381</v>
      </c>
      <c r="I1464" t="str">
        <f t="shared" si="524"/>
        <v>11/02/2026</v>
      </c>
      <c r="J1464" t="str">
        <f t="shared" si="528"/>
        <v>03/02/2026</v>
      </c>
      <c r="K1464">
        <v>46064</v>
      </c>
      <c r="N1464">
        <v>303</v>
      </c>
      <c r="O1464" t="s">
        <v>26</v>
      </c>
      <c r="Q1464">
        <v>85.41</v>
      </c>
      <c r="R1464" t="str">
        <f>"FARMÁCIA INDIANA LJ 64 (10029)"</f>
        <v>FARMÁCIA INDIANA LJ 64 (10029)</v>
      </c>
      <c r="S1464" t="s">
        <v>27</v>
      </c>
      <c r="T1464">
        <v>4211</v>
      </c>
      <c r="U1464">
        <v>3654</v>
      </c>
      <c r="V1464" t="s">
        <v>22</v>
      </c>
    </row>
    <row r="1465" spans="1:22">
      <c r="A1465" t="str">
        <f t="shared" si="527"/>
        <v>11/02/2026</v>
      </c>
      <c r="B1465" t="str">
        <f t="shared" si="520"/>
        <v>ENTRADA</v>
      </c>
      <c r="C1465" t="str">
        <f t="shared" si="521"/>
        <v>NFSE</v>
      </c>
      <c r="D1465" t="str">
        <f t="shared" si="525"/>
        <v>250</v>
      </c>
      <c r="E1465" t="str">
        <f t="shared" si="522"/>
        <v>1</v>
      </c>
      <c r="F1465" t="str">
        <f t="shared" si="523"/>
        <v>COM</v>
      </c>
      <c r="G1465" t="str">
        <f t="shared" si="526"/>
        <v>FARMÁCIA INDIANA LJ 1 (10126)</v>
      </c>
      <c r="H1465" t="s">
        <v>381</v>
      </c>
      <c r="I1465" t="str">
        <f t="shared" si="524"/>
        <v>11/02/2026</v>
      </c>
      <c r="J1465" t="str">
        <f t="shared" si="528"/>
        <v>03/02/2026</v>
      </c>
      <c r="K1465">
        <v>46064</v>
      </c>
      <c r="N1465">
        <v>303</v>
      </c>
      <c r="O1465" t="s">
        <v>26</v>
      </c>
      <c r="Q1465">
        <v>67.290000000000006</v>
      </c>
      <c r="R1465" t="str">
        <f>"FARMÁCIA INDIANA LJ 97 (10040)"</f>
        <v>FARMÁCIA INDIANA LJ 97 (10040)</v>
      </c>
      <c r="S1465" t="s">
        <v>27</v>
      </c>
      <c r="T1465">
        <v>4211</v>
      </c>
      <c r="U1465">
        <v>3654</v>
      </c>
      <c r="V1465" t="s">
        <v>22</v>
      </c>
    </row>
    <row r="1466" spans="1:22">
      <c r="A1466" t="str">
        <f t="shared" si="527"/>
        <v>11/02/2026</v>
      </c>
      <c r="B1466" t="str">
        <f t="shared" si="520"/>
        <v>ENTRADA</v>
      </c>
      <c r="C1466" t="str">
        <f t="shared" si="521"/>
        <v>NFSE</v>
      </c>
      <c r="D1466" t="str">
        <f t="shared" si="525"/>
        <v>250</v>
      </c>
      <c r="E1466" t="str">
        <f t="shared" si="522"/>
        <v>1</v>
      </c>
      <c r="F1466" t="str">
        <f t="shared" si="523"/>
        <v>COM</v>
      </c>
      <c r="G1466" t="str">
        <f t="shared" si="526"/>
        <v>FARMÁCIA INDIANA LJ 1 (10126)</v>
      </c>
      <c r="H1466" t="s">
        <v>381</v>
      </c>
      <c r="I1466" t="str">
        <f t="shared" si="524"/>
        <v>11/02/2026</v>
      </c>
      <c r="J1466" t="str">
        <f t="shared" si="528"/>
        <v>03/02/2026</v>
      </c>
      <c r="K1466">
        <v>46064</v>
      </c>
      <c r="N1466">
        <v>303</v>
      </c>
      <c r="O1466" t="s">
        <v>26</v>
      </c>
      <c r="Q1466">
        <v>200.59</v>
      </c>
      <c r="R1466" t="str">
        <f>"FARMÁCIA INDIANA LJ 100 (10042)"</f>
        <v>FARMÁCIA INDIANA LJ 100 (10042)</v>
      </c>
      <c r="S1466" t="s">
        <v>27</v>
      </c>
      <c r="T1466">
        <v>4211</v>
      </c>
      <c r="U1466">
        <v>3654</v>
      </c>
      <c r="V1466" t="s">
        <v>22</v>
      </c>
    </row>
    <row r="1467" spans="1:22">
      <c r="A1467" t="str">
        <f t="shared" si="527"/>
        <v>11/02/2026</v>
      </c>
      <c r="B1467" t="str">
        <f t="shared" si="520"/>
        <v>ENTRADA</v>
      </c>
      <c r="C1467" t="str">
        <f t="shared" si="521"/>
        <v>NFSE</v>
      </c>
      <c r="D1467" t="str">
        <f t="shared" si="525"/>
        <v>250</v>
      </c>
      <c r="E1467" t="str">
        <f t="shared" si="522"/>
        <v>1</v>
      </c>
      <c r="F1467" t="str">
        <f t="shared" si="523"/>
        <v>COM</v>
      </c>
      <c r="G1467" t="str">
        <f t="shared" si="526"/>
        <v>FARMÁCIA INDIANA LJ 1 (10126)</v>
      </c>
      <c r="H1467" t="s">
        <v>381</v>
      </c>
      <c r="I1467" t="str">
        <f t="shared" si="524"/>
        <v>11/02/2026</v>
      </c>
      <c r="J1467" t="str">
        <f t="shared" si="528"/>
        <v>03/02/2026</v>
      </c>
      <c r="K1467">
        <v>46064</v>
      </c>
      <c r="N1467">
        <v>303</v>
      </c>
      <c r="O1467" t="s">
        <v>26</v>
      </c>
      <c r="Q1467">
        <v>772.59</v>
      </c>
      <c r="R1467" t="str">
        <f>"FARMÁCIA INDIANA LJ 101 (10043)"</f>
        <v>FARMÁCIA INDIANA LJ 101 (10043)</v>
      </c>
      <c r="S1467" t="s">
        <v>27</v>
      </c>
      <c r="T1467">
        <v>4211</v>
      </c>
      <c r="U1467">
        <v>3654</v>
      </c>
      <c r="V1467" t="s">
        <v>22</v>
      </c>
    </row>
    <row r="1468" spans="1:22">
      <c r="A1468" t="str">
        <f t="shared" si="527"/>
        <v>11/02/2026</v>
      </c>
      <c r="B1468" t="str">
        <f t="shared" si="520"/>
        <v>ENTRADA</v>
      </c>
      <c r="C1468" t="str">
        <f t="shared" si="521"/>
        <v>NFSE</v>
      </c>
      <c r="D1468" t="str">
        <f t="shared" si="525"/>
        <v>250</v>
      </c>
      <c r="E1468" t="str">
        <f t="shared" si="522"/>
        <v>1</v>
      </c>
      <c r="F1468" t="str">
        <f t="shared" si="523"/>
        <v>COM</v>
      </c>
      <c r="G1468" t="str">
        <f t="shared" si="526"/>
        <v>FARMÁCIA INDIANA LJ 1 (10126)</v>
      </c>
      <c r="H1468" t="s">
        <v>381</v>
      </c>
      <c r="I1468" t="str">
        <f t="shared" si="524"/>
        <v>11/02/2026</v>
      </c>
      <c r="J1468" t="str">
        <f t="shared" si="528"/>
        <v>03/02/2026</v>
      </c>
      <c r="K1468">
        <v>46064</v>
      </c>
      <c r="N1468">
        <v>303</v>
      </c>
      <c r="O1468" t="s">
        <v>26</v>
      </c>
      <c r="Q1468">
        <v>68.59</v>
      </c>
      <c r="R1468" t="str">
        <f>"FARMÁCIA INDIANA LJ 103 (10044)"</f>
        <v>FARMÁCIA INDIANA LJ 103 (10044)</v>
      </c>
      <c r="S1468" t="s">
        <v>27</v>
      </c>
      <c r="T1468">
        <v>4211</v>
      </c>
      <c r="U1468">
        <v>3654</v>
      </c>
      <c r="V1468" t="s">
        <v>22</v>
      </c>
    </row>
    <row r="1469" spans="1:22">
      <c r="A1469" t="str">
        <f t="shared" si="527"/>
        <v>11/02/2026</v>
      </c>
      <c r="B1469" t="str">
        <f t="shared" si="520"/>
        <v>ENTRADA</v>
      </c>
      <c r="C1469" t="str">
        <f t="shared" si="521"/>
        <v>NFSE</v>
      </c>
      <c r="D1469" t="str">
        <f t="shared" si="525"/>
        <v>250</v>
      </c>
      <c r="E1469" t="str">
        <f t="shared" si="522"/>
        <v>1</v>
      </c>
      <c r="F1469" t="str">
        <f t="shared" si="523"/>
        <v>COM</v>
      </c>
      <c r="G1469" t="str">
        <f t="shared" si="526"/>
        <v>FARMÁCIA INDIANA LJ 1 (10126)</v>
      </c>
      <c r="H1469" t="s">
        <v>381</v>
      </c>
      <c r="I1469" t="str">
        <f t="shared" si="524"/>
        <v>11/02/2026</v>
      </c>
      <c r="J1469" t="str">
        <f t="shared" si="528"/>
        <v>03/02/2026</v>
      </c>
      <c r="K1469">
        <v>46064</v>
      </c>
      <c r="N1469">
        <v>303</v>
      </c>
      <c r="O1469" t="s">
        <v>26</v>
      </c>
      <c r="Q1469">
        <v>201.88</v>
      </c>
      <c r="R1469" t="str">
        <f>"FARMÁCIA INDIANA LJ 109 (10047)"</f>
        <v>FARMÁCIA INDIANA LJ 109 (10047)</v>
      </c>
      <c r="S1469" t="s">
        <v>27</v>
      </c>
      <c r="T1469">
        <v>4211</v>
      </c>
      <c r="U1469">
        <v>3654</v>
      </c>
      <c r="V1469" t="s">
        <v>22</v>
      </c>
    </row>
    <row r="1470" spans="1:22">
      <c r="A1470" t="str">
        <f t="shared" si="527"/>
        <v>11/02/2026</v>
      </c>
      <c r="B1470" t="str">
        <f t="shared" si="520"/>
        <v>ENTRADA</v>
      </c>
      <c r="C1470" t="str">
        <f t="shared" si="521"/>
        <v>NFSE</v>
      </c>
      <c r="D1470" t="str">
        <f t="shared" si="525"/>
        <v>250</v>
      </c>
      <c r="E1470" t="str">
        <f t="shared" si="522"/>
        <v>1</v>
      </c>
      <c r="F1470" t="str">
        <f t="shared" si="523"/>
        <v>COM</v>
      </c>
      <c r="G1470" t="str">
        <f t="shared" si="526"/>
        <v>FARMÁCIA INDIANA LJ 1 (10126)</v>
      </c>
      <c r="H1470" t="s">
        <v>381</v>
      </c>
      <c r="I1470" t="str">
        <f t="shared" si="524"/>
        <v>11/02/2026</v>
      </c>
      <c r="J1470" t="str">
        <f t="shared" si="528"/>
        <v>03/02/2026</v>
      </c>
      <c r="K1470">
        <v>46064</v>
      </c>
      <c r="N1470">
        <v>303</v>
      </c>
      <c r="O1470" t="s">
        <v>26</v>
      </c>
      <c r="Q1470">
        <v>364.94</v>
      </c>
      <c r="R1470" t="str">
        <f>"FARMÁCIA INDIANA LJ 110 (10048)"</f>
        <v>FARMÁCIA INDIANA LJ 110 (10048)</v>
      </c>
      <c r="S1470" t="s">
        <v>27</v>
      </c>
      <c r="T1470">
        <v>4211</v>
      </c>
      <c r="U1470">
        <v>3654</v>
      </c>
      <c r="V1470" t="s">
        <v>22</v>
      </c>
    </row>
    <row r="1471" spans="1:22">
      <c r="A1471" t="str">
        <f t="shared" si="527"/>
        <v>11/02/2026</v>
      </c>
      <c r="B1471" t="str">
        <f t="shared" si="520"/>
        <v>ENTRADA</v>
      </c>
      <c r="C1471" t="str">
        <f t="shared" si="521"/>
        <v>NFSE</v>
      </c>
      <c r="D1471" t="str">
        <f t="shared" si="525"/>
        <v>250</v>
      </c>
      <c r="E1471" t="str">
        <f t="shared" si="522"/>
        <v>1</v>
      </c>
      <c r="F1471" t="str">
        <f t="shared" si="523"/>
        <v>COM</v>
      </c>
      <c r="G1471" t="str">
        <f t="shared" si="526"/>
        <v>FARMÁCIA INDIANA LJ 1 (10126)</v>
      </c>
      <c r="H1471" t="s">
        <v>381</v>
      </c>
      <c r="I1471" t="str">
        <f t="shared" si="524"/>
        <v>11/02/2026</v>
      </c>
      <c r="J1471" t="str">
        <f t="shared" si="528"/>
        <v>03/02/2026</v>
      </c>
      <c r="K1471">
        <v>46064</v>
      </c>
      <c r="N1471">
        <v>303</v>
      </c>
      <c r="O1471" t="s">
        <v>26</v>
      </c>
      <c r="Q1471">
        <v>66</v>
      </c>
      <c r="R1471" t="str">
        <f>"FARMÁCIA INDIANA LJ 111 (10049)"</f>
        <v>FARMÁCIA INDIANA LJ 111 (10049)</v>
      </c>
      <c r="S1471" t="s">
        <v>27</v>
      </c>
      <c r="T1471">
        <v>4211</v>
      </c>
      <c r="U1471">
        <v>3654</v>
      </c>
      <c r="V1471" t="s">
        <v>22</v>
      </c>
    </row>
    <row r="1472" spans="1:22">
      <c r="A1472" t="str">
        <f t="shared" si="527"/>
        <v>11/02/2026</v>
      </c>
      <c r="B1472" t="str">
        <f t="shared" si="520"/>
        <v>ENTRADA</v>
      </c>
      <c r="C1472" t="str">
        <f t="shared" si="521"/>
        <v>NFSE</v>
      </c>
      <c r="D1472" t="str">
        <f t="shared" si="525"/>
        <v>250</v>
      </c>
      <c r="E1472" t="str">
        <f t="shared" si="522"/>
        <v>1</v>
      </c>
      <c r="F1472" t="str">
        <f t="shared" si="523"/>
        <v>COM</v>
      </c>
      <c r="G1472" t="str">
        <f t="shared" si="526"/>
        <v>FARMÁCIA INDIANA LJ 1 (10126)</v>
      </c>
      <c r="H1472" t="s">
        <v>381</v>
      </c>
      <c r="I1472" t="str">
        <f t="shared" si="524"/>
        <v>11/02/2026</v>
      </c>
      <c r="J1472" t="str">
        <f t="shared" si="528"/>
        <v>03/02/2026</v>
      </c>
      <c r="K1472">
        <v>46064</v>
      </c>
      <c r="N1472">
        <v>303</v>
      </c>
      <c r="O1472" t="s">
        <v>26</v>
      </c>
      <c r="Q1472">
        <v>99.65</v>
      </c>
      <c r="R1472" t="str">
        <f>"FARMÁCIA INDIANA LJ 112 (10050)"</f>
        <v>FARMÁCIA INDIANA LJ 112 (10050)</v>
      </c>
      <c r="S1472" t="s">
        <v>27</v>
      </c>
      <c r="T1472">
        <v>4211</v>
      </c>
      <c r="U1472">
        <v>3654</v>
      </c>
      <c r="V1472" t="s">
        <v>22</v>
      </c>
    </row>
    <row r="1473" spans="1:22">
      <c r="A1473" t="str">
        <f t="shared" si="527"/>
        <v>11/02/2026</v>
      </c>
      <c r="B1473" t="str">
        <f t="shared" si="520"/>
        <v>ENTRADA</v>
      </c>
      <c r="C1473" t="str">
        <f t="shared" si="521"/>
        <v>NFSE</v>
      </c>
      <c r="D1473" t="str">
        <f t="shared" si="525"/>
        <v>250</v>
      </c>
      <c r="E1473" t="str">
        <f t="shared" si="522"/>
        <v>1</v>
      </c>
      <c r="F1473" t="str">
        <f t="shared" si="523"/>
        <v>COM</v>
      </c>
      <c r="G1473" t="str">
        <f t="shared" si="526"/>
        <v>FARMÁCIA INDIANA LJ 1 (10126)</v>
      </c>
      <c r="H1473" t="s">
        <v>381</v>
      </c>
      <c r="I1473" t="str">
        <f t="shared" si="524"/>
        <v>11/02/2026</v>
      </c>
      <c r="J1473" t="str">
        <f t="shared" si="528"/>
        <v>03/02/2026</v>
      </c>
      <c r="K1473">
        <v>46064</v>
      </c>
      <c r="N1473">
        <v>303</v>
      </c>
      <c r="O1473" t="s">
        <v>26</v>
      </c>
      <c r="Q1473">
        <v>99.65</v>
      </c>
      <c r="R1473" t="str">
        <f>"FARMÁCIA INDIANA LJ 116 (10051)"</f>
        <v>FARMÁCIA INDIANA LJ 116 (10051)</v>
      </c>
      <c r="S1473" t="s">
        <v>27</v>
      </c>
      <c r="T1473">
        <v>4211</v>
      </c>
      <c r="U1473">
        <v>3654</v>
      </c>
      <c r="V1473" t="s">
        <v>22</v>
      </c>
    </row>
    <row r="1474" spans="1:22">
      <c r="A1474" t="str">
        <f t="shared" si="527"/>
        <v>11/02/2026</v>
      </c>
      <c r="B1474" t="str">
        <f t="shared" si="520"/>
        <v>ENTRADA</v>
      </c>
      <c r="C1474" t="str">
        <f t="shared" si="521"/>
        <v>NFSE</v>
      </c>
      <c r="D1474" t="str">
        <f t="shared" si="525"/>
        <v>250</v>
      </c>
      <c r="E1474" t="str">
        <f t="shared" si="522"/>
        <v>1</v>
      </c>
      <c r="F1474" t="str">
        <f t="shared" si="523"/>
        <v>COM</v>
      </c>
      <c r="G1474" t="str">
        <f t="shared" si="526"/>
        <v>FARMÁCIA INDIANA LJ 1 (10126)</v>
      </c>
      <c r="H1474" t="s">
        <v>381</v>
      </c>
      <c r="I1474" t="str">
        <f t="shared" si="524"/>
        <v>11/02/2026</v>
      </c>
      <c r="J1474" t="str">
        <f t="shared" si="528"/>
        <v>03/02/2026</v>
      </c>
      <c r="K1474">
        <v>46064</v>
      </c>
      <c r="N1474">
        <v>303</v>
      </c>
      <c r="O1474" t="s">
        <v>26</v>
      </c>
      <c r="Q1474">
        <v>90.59</v>
      </c>
      <c r="R1474" t="str">
        <f>"FARMÁCIA INDIANA LJ 118 (10052)"</f>
        <v>FARMÁCIA INDIANA LJ 118 (10052)</v>
      </c>
      <c r="S1474" t="s">
        <v>27</v>
      </c>
      <c r="T1474">
        <v>4211</v>
      </c>
      <c r="U1474">
        <v>3654</v>
      </c>
      <c r="V1474" t="s">
        <v>22</v>
      </c>
    </row>
    <row r="1475" spans="1:22">
      <c r="A1475" t="str">
        <f t="shared" si="527"/>
        <v>11/02/2026</v>
      </c>
      <c r="B1475" t="str">
        <f t="shared" si="520"/>
        <v>ENTRADA</v>
      </c>
      <c r="C1475" t="str">
        <f t="shared" si="521"/>
        <v>NFSE</v>
      </c>
      <c r="D1475" t="str">
        <f t="shared" si="525"/>
        <v>250</v>
      </c>
      <c r="E1475" t="str">
        <f t="shared" si="522"/>
        <v>1</v>
      </c>
      <c r="F1475" t="str">
        <f t="shared" si="523"/>
        <v>COM</v>
      </c>
      <c r="G1475" t="str">
        <f t="shared" si="526"/>
        <v>FARMÁCIA INDIANA LJ 1 (10126)</v>
      </c>
      <c r="H1475" t="s">
        <v>381</v>
      </c>
      <c r="I1475" t="str">
        <f t="shared" si="524"/>
        <v>11/02/2026</v>
      </c>
      <c r="J1475" t="str">
        <f t="shared" si="528"/>
        <v>03/02/2026</v>
      </c>
      <c r="K1475">
        <v>46064</v>
      </c>
      <c r="N1475">
        <v>303</v>
      </c>
      <c r="O1475" t="s">
        <v>26</v>
      </c>
      <c r="Q1475">
        <v>99.65</v>
      </c>
      <c r="R1475" t="str">
        <f>"FARMÁCIA INDIANA LJ 121 (10054)"</f>
        <v>FARMÁCIA INDIANA LJ 121 (10054)</v>
      </c>
      <c r="S1475" t="s">
        <v>27</v>
      </c>
      <c r="T1475">
        <v>4211</v>
      </c>
      <c r="U1475">
        <v>3654</v>
      </c>
      <c r="V1475" t="s">
        <v>22</v>
      </c>
    </row>
    <row r="1476" spans="1:22">
      <c r="A1476" t="str">
        <f t="shared" si="527"/>
        <v>11/02/2026</v>
      </c>
      <c r="B1476" t="str">
        <f t="shared" si="520"/>
        <v>ENTRADA</v>
      </c>
      <c r="C1476" t="str">
        <f t="shared" si="521"/>
        <v>NFSE</v>
      </c>
      <c r="D1476" t="str">
        <f t="shared" si="525"/>
        <v>250</v>
      </c>
      <c r="E1476" t="str">
        <f t="shared" si="522"/>
        <v>1</v>
      </c>
      <c r="F1476" t="str">
        <f t="shared" si="523"/>
        <v>COM</v>
      </c>
      <c r="G1476" t="str">
        <f t="shared" si="526"/>
        <v>FARMÁCIA INDIANA LJ 1 (10126)</v>
      </c>
      <c r="H1476" t="s">
        <v>381</v>
      </c>
      <c r="I1476" t="str">
        <f t="shared" si="524"/>
        <v>11/02/2026</v>
      </c>
      <c r="J1476" t="str">
        <f t="shared" si="528"/>
        <v>03/02/2026</v>
      </c>
      <c r="K1476">
        <v>46064</v>
      </c>
      <c r="N1476">
        <v>303</v>
      </c>
      <c r="O1476" t="s">
        <v>26</v>
      </c>
      <c r="Q1476">
        <v>99.65</v>
      </c>
      <c r="R1476" t="str">
        <f>"FARMÁCIA INDIANA LJ 128 (10057)"</f>
        <v>FARMÁCIA INDIANA LJ 128 (10057)</v>
      </c>
      <c r="S1476" t="s">
        <v>27</v>
      </c>
      <c r="T1476">
        <v>4211</v>
      </c>
      <c r="U1476">
        <v>3654</v>
      </c>
      <c r="V1476" t="s">
        <v>22</v>
      </c>
    </row>
    <row r="1477" spans="1:22">
      <c r="A1477" t="str">
        <f t="shared" si="527"/>
        <v>11/02/2026</v>
      </c>
      <c r="B1477" t="str">
        <f t="shared" si="520"/>
        <v>ENTRADA</v>
      </c>
      <c r="C1477" t="str">
        <f t="shared" si="521"/>
        <v>NFSE</v>
      </c>
      <c r="D1477" t="str">
        <f t="shared" si="525"/>
        <v>250</v>
      </c>
      <c r="E1477" t="str">
        <f t="shared" si="522"/>
        <v>1</v>
      </c>
      <c r="F1477" t="str">
        <f t="shared" si="523"/>
        <v>COM</v>
      </c>
      <c r="G1477" t="str">
        <f t="shared" si="526"/>
        <v>FARMÁCIA INDIANA LJ 1 (10126)</v>
      </c>
      <c r="H1477" t="s">
        <v>381</v>
      </c>
      <c r="I1477" t="str">
        <f t="shared" si="524"/>
        <v>11/02/2026</v>
      </c>
      <c r="J1477" t="str">
        <f t="shared" si="528"/>
        <v>03/02/2026</v>
      </c>
      <c r="K1477">
        <v>46064</v>
      </c>
      <c r="N1477">
        <v>303</v>
      </c>
      <c r="O1477" t="s">
        <v>26</v>
      </c>
      <c r="Q1477">
        <v>18.12</v>
      </c>
      <c r="R1477" t="str">
        <f>"FARMÁCIA INDIANA LJ 140 (10064)"</f>
        <v>FARMÁCIA INDIANA LJ 140 (10064)</v>
      </c>
      <c r="S1477" t="s">
        <v>27</v>
      </c>
      <c r="T1477">
        <v>4211</v>
      </c>
      <c r="U1477">
        <v>3654</v>
      </c>
      <c r="V1477" t="s">
        <v>22</v>
      </c>
    </row>
    <row r="1478" spans="1:22">
      <c r="A1478" t="str">
        <f t="shared" si="527"/>
        <v>11/02/2026</v>
      </c>
      <c r="B1478" t="str">
        <f t="shared" si="520"/>
        <v>ENTRADA</v>
      </c>
      <c r="C1478" t="str">
        <f t="shared" si="521"/>
        <v>NFSE</v>
      </c>
      <c r="D1478" t="str">
        <f t="shared" si="525"/>
        <v>250</v>
      </c>
      <c r="E1478" t="str">
        <f t="shared" si="522"/>
        <v>1</v>
      </c>
      <c r="F1478" t="str">
        <f t="shared" si="523"/>
        <v>COM</v>
      </c>
      <c r="G1478" t="str">
        <f t="shared" si="526"/>
        <v>FARMÁCIA INDIANA LJ 1 (10126)</v>
      </c>
      <c r="H1478" t="s">
        <v>381</v>
      </c>
      <c r="I1478" t="str">
        <f t="shared" si="524"/>
        <v>11/02/2026</v>
      </c>
      <c r="J1478" t="str">
        <f t="shared" si="528"/>
        <v>03/02/2026</v>
      </c>
      <c r="K1478">
        <v>46064</v>
      </c>
      <c r="N1478">
        <v>303</v>
      </c>
      <c r="O1478" t="s">
        <v>26</v>
      </c>
      <c r="Q1478">
        <v>12.94</v>
      </c>
      <c r="R1478" t="str">
        <f>"FARMÁCIA INDIANA LJ 141 (10065)"</f>
        <v>FARMÁCIA INDIANA LJ 141 (10065)</v>
      </c>
      <c r="S1478" t="s">
        <v>27</v>
      </c>
      <c r="T1478">
        <v>4211</v>
      </c>
      <c r="U1478">
        <v>3654</v>
      </c>
      <c r="V1478" t="s">
        <v>22</v>
      </c>
    </row>
    <row r="1479" spans="1:22">
      <c r="A1479" t="str">
        <f t="shared" si="527"/>
        <v>11/02/2026</v>
      </c>
      <c r="B1479" t="str">
        <f t="shared" si="520"/>
        <v>ENTRADA</v>
      </c>
      <c r="C1479" t="str">
        <f t="shared" si="521"/>
        <v>NFSE</v>
      </c>
      <c r="D1479" t="str">
        <f t="shared" si="525"/>
        <v>250</v>
      </c>
      <c r="E1479" t="str">
        <f t="shared" si="522"/>
        <v>1</v>
      </c>
      <c r="F1479" t="str">
        <f t="shared" si="523"/>
        <v>COM</v>
      </c>
      <c r="G1479" t="str">
        <f t="shared" si="526"/>
        <v>FARMÁCIA INDIANA LJ 1 (10126)</v>
      </c>
      <c r="H1479" t="s">
        <v>381</v>
      </c>
      <c r="I1479" t="str">
        <f t="shared" si="524"/>
        <v>11/02/2026</v>
      </c>
      <c r="J1479" t="str">
        <f t="shared" si="528"/>
        <v>03/02/2026</v>
      </c>
      <c r="K1479">
        <v>46064</v>
      </c>
      <c r="N1479">
        <v>303</v>
      </c>
      <c r="O1479" t="s">
        <v>26</v>
      </c>
      <c r="Q1479">
        <v>762.24</v>
      </c>
      <c r="R1479" t="str">
        <f>"FARMÁCIA INDIANA LJ 142 (10066)"</f>
        <v>FARMÁCIA INDIANA LJ 142 (10066)</v>
      </c>
      <c r="S1479" t="s">
        <v>27</v>
      </c>
      <c r="T1479">
        <v>4211</v>
      </c>
      <c r="U1479">
        <v>3654</v>
      </c>
      <c r="V1479" t="s">
        <v>22</v>
      </c>
    </row>
    <row r="1480" spans="1:22">
      <c r="A1480" t="str">
        <f t="shared" si="527"/>
        <v>11/02/2026</v>
      </c>
      <c r="B1480" t="str">
        <f t="shared" si="520"/>
        <v>ENTRADA</v>
      </c>
      <c r="C1480" t="str">
        <f t="shared" si="521"/>
        <v>NFSE</v>
      </c>
      <c r="D1480" t="str">
        <f t="shared" si="525"/>
        <v>250</v>
      </c>
      <c r="E1480" t="str">
        <f t="shared" si="522"/>
        <v>1</v>
      </c>
      <c r="F1480" t="str">
        <f t="shared" si="523"/>
        <v>COM</v>
      </c>
      <c r="G1480" t="str">
        <f t="shared" si="526"/>
        <v>FARMÁCIA INDIANA LJ 1 (10126)</v>
      </c>
      <c r="H1480" t="s">
        <v>381</v>
      </c>
      <c r="I1480" t="str">
        <f t="shared" si="524"/>
        <v>11/02/2026</v>
      </c>
      <c r="J1480" t="str">
        <f t="shared" si="528"/>
        <v>03/02/2026</v>
      </c>
      <c r="K1480">
        <v>46064</v>
      </c>
      <c r="N1480">
        <v>303</v>
      </c>
      <c r="O1480" t="s">
        <v>26</v>
      </c>
      <c r="Q1480">
        <v>67.290000000000006</v>
      </c>
      <c r="R1480" t="str">
        <f>"FARMÁCIA INDIANA LJ 143 (10067)"</f>
        <v>FARMÁCIA INDIANA LJ 143 (10067)</v>
      </c>
      <c r="S1480" t="s">
        <v>27</v>
      </c>
      <c r="T1480">
        <v>4211</v>
      </c>
      <c r="U1480">
        <v>3654</v>
      </c>
      <c r="V1480" t="s">
        <v>22</v>
      </c>
    </row>
    <row r="1481" spans="1:22">
      <c r="A1481" t="str">
        <f t="shared" si="527"/>
        <v>11/02/2026</v>
      </c>
      <c r="B1481" t="str">
        <f t="shared" si="520"/>
        <v>ENTRADA</v>
      </c>
      <c r="C1481" t="str">
        <f t="shared" si="521"/>
        <v>NFSE</v>
      </c>
      <c r="D1481" t="str">
        <f t="shared" si="525"/>
        <v>250</v>
      </c>
      <c r="E1481" t="str">
        <f t="shared" si="522"/>
        <v>1</v>
      </c>
      <c r="F1481" t="str">
        <f t="shared" si="523"/>
        <v>COM</v>
      </c>
      <c r="G1481" t="str">
        <f t="shared" si="526"/>
        <v>FARMÁCIA INDIANA LJ 1 (10126)</v>
      </c>
      <c r="H1481" t="s">
        <v>381</v>
      </c>
      <c r="I1481" t="str">
        <f t="shared" si="524"/>
        <v>11/02/2026</v>
      </c>
      <c r="J1481" t="str">
        <f t="shared" si="528"/>
        <v>03/02/2026</v>
      </c>
      <c r="K1481">
        <v>46064</v>
      </c>
      <c r="N1481">
        <v>303</v>
      </c>
      <c r="O1481" t="s">
        <v>26</v>
      </c>
      <c r="Q1481">
        <v>399.88</v>
      </c>
      <c r="R1481" t="str">
        <f>"FARMÁCIA INDIANA LJ 152 (10069)"</f>
        <v>FARMÁCIA INDIANA LJ 152 (10069)</v>
      </c>
      <c r="S1481" t="s">
        <v>27</v>
      </c>
      <c r="T1481">
        <v>4211</v>
      </c>
      <c r="U1481">
        <v>3654</v>
      </c>
      <c r="V1481" t="s">
        <v>22</v>
      </c>
    </row>
    <row r="1482" spans="1:22">
      <c r="A1482" t="str">
        <f t="shared" si="527"/>
        <v>11/02/2026</v>
      </c>
      <c r="B1482" t="str">
        <f t="shared" si="520"/>
        <v>ENTRADA</v>
      </c>
      <c r="C1482" t="str">
        <f t="shared" si="521"/>
        <v>NFSE</v>
      </c>
      <c r="D1482" t="str">
        <f t="shared" si="525"/>
        <v>250</v>
      </c>
      <c r="E1482" t="str">
        <f t="shared" si="522"/>
        <v>1</v>
      </c>
      <c r="F1482" t="str">
        <f t="shared" si="523"/>
        <v>COM</v>
      </c>
      <c r="G1482" t="str">
        <f t="shared" si="526"/>
        <v>FARMÁCIA INDIANA LJ 1 (10126)</v>
      </c>
      <c r="H1482" t="s">
        <v>381</v>
      </c>
      <c r="I1482" t="str">
        <f t="shared" si="524"/>
        <v>11/02/2026</v>
      </c>
      <c r="J1482" t="str">
        <f t="shared" si="528"/>
        <v>03/02/2026</v>
      </c>
      <c r="K1482">
        <v>46064</v>
      </c>
      <c r="N1482">
        <v>303</v>
      </c>
      <c r="O1482" t="s">
        <v>26</v>
      </c>
      <c r="Q1482">
        <v>27.18</v>
      </c>
      <c r="R1482" t="str">
        <f>"FARMÁCIA INDIANA LJ 154 (10070)"</f>
        <v>FARMÁCIA INDIANA LJ 154 (10070)</v>
      </c>
      <c r="S1482" t="s">
        <v>27</v>
      </c>
      <c r="T1482">
        <v>4211</v>
      </c>
      <c r="U1482">
        <v>3654</v>
      </c>
      <c r="V1482" t="s">
        <v>22</v>
      </c>
    </row>
    <row r="1483" spans="1:22">
      <c r="A1483" t="str">
        <f t="shared" si="527"/>
        <v>11/02/2026</v>
      </c>
      <c r="B1483" t="str">
        <f t="shared" ref="B1483:B1502" si="529">"ENTRADA"</f>
        <v>ENTRADA</v>
      </c>
      <c r="C1483" t="str">
        <f t="shared" ref="C1483:C1502" si="530">"NFSE"</f>
        <v>NFSE</v>
      </c>
      <c r="D1483" t="str">
        <f t="shared" si="525"/>
        <v>250</v>
      </c>
      <c r="E1483" t="str">
        <f t="shared" ref="E1483:E1502" si="531">"1"</f>
        <v>1</v>
      </c>
      <c r="F1483" t="str">
        <f t="shared" ref="F1483:F1504" si="532">"COM"</f>
        <v>COM</v>
      </c>
      <c r="G1483" t="str">
        <f t="shared" si="526"/>
        <v>FARMÁCIA INDIANA LJ 1 (10126)</v>
      </c>
      <c r="H1483" t="s">
        <v>381</v>
      </c>
      <c r="I1483" t="str">
        <f t="shared" ref="I1483:I1515" si="533">("11/02/2026")</f>
        <v>11/02/2026</v>
      </c>
      <c r="J1483" t="str">
        <f t="shared" si="528"/>
        <v>03/02/2026</v>
      </c>
      <c r="K1483">
        <v>46064</v>
      </c>
      <c r="N1483">
        <v>303</v>
      </c>
      <c r="O1483" t="s">
        <v>26</v>
      </c>
      <c r="Q1483">
        <v>214.82</v>
      </c>
      <c r="R1483" t="str">
        <f>"FARMÁCIA INDIANA LJ 171 (10074)"</f>
        <v>FARMÁCIA INDIANA LJ 171 (10074)</v>
      </c>
      <c r="S1483" t="s">
        <v>27</v>
      </c>
      <c r="T1483">
        <v>4211</v>
      </c>
      <c r="U1483">
        <v>3654</v>
      </c>
      <c r="V1483" t="s">
        <v>22</v>
      </c>
    </row>
    <row r="1484" spans="1:22">
      <c r="A1484" t="str">
        <f t="shared" si="527"/>
        <v>11/02/2026</v>
      </c>
      <c r="B1484" t="str">
        <f t="shared" si="529"/>
        <v>ENTRADA</v>
      </c>
      <c r="C1484" t="str">
        <f t="shared" si="530"/>
        <v>NFSE</v>
      </c>
      <c r="D1484" t="str">
        <f t="shared" si="525"/>
        <v>250</v>
      </c>
      <c r="E1484" t="str">
        <f t="shared" si="531"/>
        <v>1</v>
      </c>
      <c r="F1484" t="str">
        <f t="shared" si="532"/>
        <v>COM</v>
      </c>
      <c r="G1484" t="str">
        <f t="shared" si="526"/>
        <v>FARMÁCIA INDIANA LJ 1 (10126)</v>
      </c>
      <c r="H1484" t="s">
        <v>381</v>
      </c>
      <c r="I1484" t="str">
        <f t="shared" si="533"/>
        <v>11/02/2026</v>
      </c>
      <c r="J1484" t="str">
        <f t="shared" si="528"/>
        <v>03/02/2026</v>
      </c>
      <c r="K1484">
        <v>46064</v>
      </c>
      <c r="N1484">
        <v>303</v>
      </c>
      <c r="O1484" t="s">
        <v>26</v>
      </c>
      <c r="Q1484">
        <v>82.82</v>
      </c>
      <c r="R1484" t="str">
        <f>"FARMÁCIA INDIANA LJ 175 (10076)"</f>
        <v>FARMÁCIA INDIANA LJ 175 (10076)</v>
      </c>
      <c r="S1484" t="s">
        <v>27</v>
      </c>
      <c r="T1484">
        <v>4211</v>
      </c>
      <c r="U1484">
        <v>3654</v>
      </c>
      <c r="V1484" t="s">
        <v>22</v>
      </c>
    </row>
    <row r="1485" spans="1:22">
      <c r="A1485" t="str">
        <f t="shared" si="527"/>
        <v>11/02/2026</v>
      </c>
      <c r="B1485" t="str">
        <f t="shared" si="529"/>
        <v>ENTRADA</v>
      </c>
      <c r="C1485" t="str">
        <f t="shared" si="530"/>
        <v>NFSE</v>
      </c>
      <c r="D1485" t="str">
        <f t="shared" ref="D1485:D1502" si="534">"250"</f>
        <v>250</v>
      </c>
      <c r="E1485" t="str">
        <f t="shared" si="531"/>
        <v>1</v>
      </c>
      <c r="F1485" t="str">
        <f t="shared" si="532"/>
        <v>COM</v>
      </c>
      <c r="G1485" t="str">
        <f t="shared" ref="G1485:G1502" si="535">"FARMÁCIA INDIANA LJ 1 (10126)"</f>
        <v>FARMÁCIA INDIANA LJ 1 (10126)</v>
      </c>
      <c r="H1485" t="s">
        <v>381</v>
      </c>
      <c r="I1485" t="str">
        <f t="shared" si="533"/>
        <v>11/02/2026</v>
      </c>
      <c r="J1485" t="str">
        <f t="shared" si="528"/>
        <v>03/02/2026</v>
      </c>
      <c r="K1485">
        <v>46064</v>
      </c>
      <c r="N1485">
        <v>303</v>
      </c>
      <c r="O1485" t="s">
        <v>26</v>
      </c>
      <c r="Q1485">
        <v>151.41</v>
      </c>
      <c r="R1485" t="str">
        <f>"FARMÁCIA INDIANA LJ 178 (10077)"</f>
        <v>FARMÁCIA INDIANA LJ 178 (10077)</v>
      </c>
      <c r="S1485" t="s">
        <v>27</v>
      </c>
      <c r="T1485">
        <v>4211</v>
      </c>
      <c r="U1485">
        <v>3654</v>
      </c>
      <c r="V1485" t="s">
        <v>22</v>
      </c>
    </row>
    <row r="1486" spans="1:22">
      <c r="A1486" t="str">
        <f t="shared" si="527"/>
        <v>11/02/2026</v>
      </c>
      <c r="B1486" t="str">
        <f t="shared" si="529"/>
        <v>ENTRADA</v>
      </c>
      <c r="C1486" t="str">
        <f t="shared" si="530"/>
        <v>NFSE</v>
      </c>
      <c r="D1486" t="str">
        <f t="shared" si="534"/>
        <v>250</v>
      </c>
      <c r="E1486" t="str">
        <f t="shared" si="531"/>
        <v>1</v>
      </c>
      <c r="F1486" t="str">
        <f t="shared" si="532"/>
        <v>COM</v>
      </c>
      <c r="G1486" t="str">
        <f t="shared" si="535"/>
        <v>FARMÁCIA INDIANA LJ 1 (10126)</v>
      </c>
      <c r="H1486" t="s">
        <v>381</v>
      </c>
      <c r="I1486" t="str">
        <f t="shared" si="533"/>
        <v>11/02/2026</v>
      </c>
      <c r="J1486" t="str">
        <f t="shared" si="528"/>
        <v>03/02/2026</v>
      </c>
      <c r="K1486">
        <v>46064</v>
      </c>
      <c r="N1486">
        <v>303</v>
      </c>
      <c r="O1486" t="s">
        <v>26</v>
      </c>
      <c r="Q1486">
        <v>50.47</v>
      </c>
      <c r="R1486" t="str">
        <f>"FARMÁCIA INDIANA LJ 182 (10079)"</f>
        <v>FARMÁCIA INDIANA LJ 182 (10079)</v>
      </c>
      <c r="S1486" t="s">
        <v>27</v>
      </c>
      <c r="T1486">
        <v>4211</v>
      </c>
      <c r="U1486">
        <v>3654</v>
      </c>
      <c r="V1486" t="s">
        <v>22</v>
      </c>
    </row>
    <row r="1487" spans="1:22">
      <c r="A1487" t="str">
        <f t="shared" ref="A1487:A1515" si="536">("11/02/2026")</f>
        <v>11/02/2026</v>
      </c>
      <c r="B1487" t="str">
        <f t="shared" si="529"/>
        <v>ENTRADA</v>
      </c>
      <c r="C1487" t="str">
        <f t="shared" si="530"/>
        <v>NFSE</v>
      </c>
      <c r="D1487" t="str">
        <f t="shared" si="534"/>
        <v>250</v>
      </c>
      <c r="E1487" t="str">
        <f t="shared" si="531"/>
        <v>1</v>
      </c>
      <c r="F1487" t="str">
        <f t="shared" si="532"/>
        <v>COM</v>
      </c>
      <c r="G1487" t="str">
        <f t="shared" si="535"/>
        <v>FARMÁCIA INDIANA LJ 1 (10126)</v>
      </c>
      <c r="H1487" t="s">
        <v>381</v>
      </c>
      <c r="I1487" t="str">
        <f t="shared" si="533"/>
        <v>11/02/2026</v>
      </c>
      <c r="J1487" t="str">
        <f t="shared" ref="J1487:J1502" si="537">("03/02/2026")</f>
        <v>03/02/2026</v>
      </c>
      <c r="K1487">
        <v>46064</v>
      </c>
      <c r="N1487">
        <v>303</v>
      </c>
      <c r="O1487" t="s">
        <v>26</v>
      </c>
      <c r="Q1487">
        <v>40.119999999999997</v>
      </c>
      <c r="R1487" t="str">
        <f>"FARMÁCIA INDIANA LJ 184 (10080)"</f>
        <v>FARMÁCIA INDIANA LJ 184 (10080)</v>
      </c>
      <c r="S1487" t="s">
        <v>27</v>
      </c>
      <c r="T1487">
        <v>4211</v>
      </c>
      <c r="U1487">
        <v>3654</v>
      </c>
      <c r="V1487" t="s">
        <v>22</v>
      </c>
    </row>
    <row r="1488" spans="1:22">
      <c r="A1488" t="str">
        <f t="shared" si="536"/>
        <v>11/02/2026</v>
      </c>
      <c r="B1488" t="str">
        <f t="shared" si="529"/>
        <v>ENTRADA</v>
      </c>
      <c r="C1488" t="str">
        <f t="shared" si="530"/>
        <v>NFSE</v>
      </c>
      <c r="D1488" t="str">
        <f t="shared" si="534"/>
        <v>250</v>
      </c>
      <c r="E1488" t="str">
        <f t="shared" si="531"/>
        <v>1</v>
      </c>
      <c r="F1488" t="str">
        <f t="shared" si="532"/>
        <v>COM</v>
      </c>
      <c r="G1488" t="str">
        <f t="shared" si="535"/>
        <v>FARMÁCIA INDIANA LJ 1 (10126)</v>
      </c>
      <c r="H1488" t="s">
        <v>381</v>
      </c>
      <c r="I1488" t="str">
        <f t="shared" si="533"/>
        <v>11/02/2026</v>
      </c>
      <c r="J1488" t="str">
        <f t="shared" si="537"/>
        <v>03/02/2026</v>
      </c>
      <c r="K1488">
        <v>46064</v>
      </c>
      <c r="N1488">
        <v>303</v>
      </c>
      <c r="O1488" t="s">
        <v>26</v>
      </c>
      <c r="Q1488">
        <v>50.47</v>
      </c>
      <c r="R1488" t="str">
        <f>"FARMÁCIA INDIANA LJ 186 (10081)"</f>
        <v>FARMÁCIA INDIANA LJ 186 (10081)</v>
      </c>
      <c r="S1488" t="s">
        <v>27</v>
      </c>
      <c r="T1488">
        <v>4211</v>
      </c>
      <c r="U1488">
        <v>3654</v>
      </c>
      <c r="V1488" t="s">
        <v>22</v>
      </c>
    </row>
    <row r="1489" spans="1:22">
      <c r="A1489" t="str">
        <f t="shared" si="536"/>
        <v>11/02/2026</v>
      </c>
      <c r="B1489" t="str">
        <f t="shared" si="529"/>
        <v>ENTRADA</v>
      </c>
      <c r="C1489" t="str">
        <f t="shared" si="530"/>
        <v>NFSE</v>
      </c>
      <c r="D1489" t="str">
        <f t="shared" si="534"/>
        <v>250</v>
      </c>
      <c r="E1489" t="str">
        <f t="shared" si="531"/>
        <v>1</v>
      </c>
      <c r="F1489" t="str">
        <f t="shared" si="532"/>
        <v>COM</v>
      </c>
      <c r="G1489" t="str">
        <f t="shared" si="535"/>
        <v>FARMÁCIA INDIANA LJ 1 (10126)</v>
      </c>
      <c r="H1489" t="s">
        <v>381</v>
      </c>
      <c r="I1489" t="str">
        <f t="shared" si="533"/>
        <v>11/02/2026</v>
      </c>
      <c r="J1489" t="str">
        <f t="shared" si="537"/>
        <v>03/02/2026</v>
      </c>
      <c r="K1489">
        <v>46064</v>
      </c>
      <c r="N1489">
        <v>303</v>
      </c>
      <c r="O1489" t="s">
        <v>26</v>
      </c>
      <c r="Q1489">
        <v>90.59</v>
      </c>
      <c r="R1489" t="str">
        <f>"FARMÁCIA INDIANA LJ 192 (10082)"</f>
        <v>FARMÁCIA INDIANA LJ 192 (10082)</v>
      </c>
      <c r="S1489" t="s">
        <v>27</v>
      </c>
      <c r="T1489">
        <v>4211</v>
      </c>
      <c r="U1489">
        <v>3654</v>
      </c>
      <c r="V1489" t="s">
        <v>22</v>
      </c>
    </row>
    <row r="1490" spans="1:22">
      <c r="A1490" t="str">
        <f t="shared" si="536"/>
        <v>11/02/2026</v>
      </c>
      <c r="B1490" t="str">
        <f t="shared" si="529"/>
        <v>ENTRADA</v>
      </c>
      <c r="C1490" t="str">
        <f t="shared" si="530"/>
        <v>NFSE</v>
      </c>
      <c r="D1490" t="str">
        <f t="shared" si="534"/>
        <v>250</v>
      </c>
      <c r="E1490" t="str">
        <f t="shared" si="531"/>
        <v>1</v>
      </c>
      <c r="F1490" t="str">
        <f t="shared" si="532"/>
        <v>COM</v>
      </c>
      <c r="G1490" t="str">
        <f t="shared" si="535"/>
        <v>FARMÁCIA INDIANA LJ 1 (10126)</v>
      </c>
      <c r="H1490" t="s">
        <v>381</v>
      </c>
      <c r="I1490" t="str">
        <f t="shared" si="533"/>
        <v>11/02/2026</v>
      </c>
      <c r="J1490" t="str">
        <f t="shared" si="537"/>
        <v>03/02/2026</v>
      </c>
      <c r="K1490">
        <v>46064</v>
      </c>
      <c r="N1490">
        <v>303</v>
      </c>
      <c r="O1490" t="s">
        <v>26</v>
      </c>
      <c r="Q1490">
        <v>40.119999999999997</v>
      </c>
      <c r="R1490" t="str">
        <f>"FARMÁCIA INDIANA LJ 195 (10083)"</f>
        <v>FARMÁCIA INDIANA LJ 195 (10083)</v>
      </c>
      <c r="S1490" t="s">
        <v>27</v>
      </c>
      <c r="T1490">
        <v>4211</v>
      </c>
      <c r="U1490">
        <v>3654</v>
      </c>
      <c r="V1490" t="s">
        <v>22</v>
      </c>
    </row>
    <row r="1491" spans="1:22">
      <c r="A1491" t="str">
        <f t="shared" si="536"/>
        <v>11/02/2026</v>
      </c>
      <c r="B1491" t="str">
        <f t="shared" si="529"/>
        <v>ENTRADA</v>
      </c>
      <c r="C1491" t="str">
        <f t="shared" si="530"/>
        <v>NFSE</v>
      </c>
      <c r="D1491" t="str">
        <f t="shared" si="534"/>
        <v>250</v>
      </c>
      <c r="E1491" t="str">
        <f t="shared" si="531"/>
        <v>1</v>
      </c>
      <c r="F1491" t="str">
        <f t="shared" si="532"/>
        <v>COM</v>
      </c>
      <c r="G1491" t="str">
        <f t="shared" si="535"/>
        <v>FARMÁCIA INDIANA LJ 1 (10126)</v>
      </c>
      <c r="H1491" t="s">
        <v>381</v>
      </c>
      <c r="I1491" t="str">
        <f t="shared" si="533"/>
        <v>11/02/2026</v>
      </c>
      <c r="J1491" t="str">
        <f t="shared" si="537"/>
        <v>03/02/2026</v>
      </c>
      <c r="K1491">
        <v>46064</v>
      </c>
      <c r="N1491">
        <v>303</v>
      </c>
      <c r="O1491" t="s">
        <v>26</v>
      </c>
      <c r="Q1491">
        <v>99.65</v>
      </c>
      <c r="R1491" t="str">
        <f>"FARMÁCIA INDIANA LJ 202 (10085)"</f>
        <v>FARMÁCIA INDIANA LJ 202 (10085)</v>
      </c>
      <c r="S1491" t="s">
        <v>27</v>
      </c>
      <c r="T1491">
        <v>4211</v>
      </c>
      <c r="U1491">
        <v>3654</v>
      </c>
      <c r="V1491" t="s">
        <v>22</v>
      </c>
    </row>
    <row r="1492" spans="1:22">
      <c r="A1492" t="str">
        <f t="shared" si="536"/>
        <v>11/02/2026</v>
      </c>
      <c r="B1492" t="str">
        <f t="shared" si="529"/>
        <v>ENTRADA</v>
      </c>
      <c r="C1492" t="str">
        <f t="shared" si="530"/>
        <v>NFSE</v>
      </c>
      <c r="D1492" t="str">
        <f t="shared" si="534"/>
        <v>250</v>
      </c>
      <c r="E1492" t="str">
        <f t="shared" si="531"/>
        <v>1</v>
      </c>
      <c r="F1492" t="str">
        <f t="shared" si="532"/>
        <v>COM</v>
      </c>
      <c r="G1492" t="str">
        <f t="shared" si="535"/>
        <v>FARMÁCIA INDIANA LJ 1 (10126)</v>
      </c>
      <c r="H1492" t="s">
        <v>381</v>
      </c>
      <c r="I1492" t="str">
        <f t="shared" si="533"/>
        <v>11/02/2026</v>
      </c>
      <c r="J1492" t="str">
        <f t="shared" si="537"/>
        <v>03/02/2026</v>
      </c>
      <c r="K1492">
        <v>46064</v>
      </c>
      <c r="N1492">
        <v>303</v>
      </c>
      <c r="O1492" t="s">
        <v>26</v>
      </c>
      <c r="Q1492">
        <v>80.239999999999995</v>
      </c>
      <c r="R1492" t="str">
        <f>"FARMÁCIA INDIANA LJ 204 (10087)"</f>
        <v>FARMÁCIA INDIANA LJ 204 (10087)</v>
      </c>
      <c r="S1492" t="s">
        <v>27</v>
      </c>
      <c r="T1492">
        <v>4211</v>
      </c>
      <c r="U1492">
        <v>3654</v>
      </c>
      <c r="V1492" t="s">
        <v>22</v>
      </c>
    </row>
    <row r="1493" spans="1:22">
      <c r="A1493" t="str">
        <f t="shared" si="536"/>
        <v>11/02/2026</v>
      </c>
      <c r="B1493" t="str">
        <f t="shared" si="529"/>
        <v>ENTRADA</v>
      </c>
      <c r="C1493" t="str">
        <f t="shared" si="530"/>
        <v>NFSE</v>
      </c>
      <c r="D1493" t="str">
        <f t="shared" si="534"/>
        <v>250</v>
      </c>
      <c r="E1493" t="str">
        <f t="shared" si="531"/>
        <v>1</v>
      </c>
      <c r="F1493" t="str">
        <f t="shared" si="532"/>
        <v>COM</v>
      </c>
      <c r="G1493" t="str">
        <f t="shared" si="535"/>
        <v>FARMÁCIA INDIANA LJ 1 (10126)</v>
      </c>
      <c r="H1493" t="s">
        <v>381</v>
      </c>
      <c r="I1493" t="str">
        <f t="shared" si="533"/>
        <v>11/02/2026</v>
      </c>
      <c r="J1493" t="str">
        <f t="shared" si="537"/>
        <v>03/02/2026</v>
      </c>
      <c r="K1493">
        <v>46064</v>
      </c>
      <c r="N1493">
        <v>303</v>
      </c>
      <c r="O1493" t="s">
        <v>26</v>
      </c>
      <c r="Q1493">
        <v>146.24</v>
      </c>
      <c r="R1493" t="str">
        <f>"FARMÁCIA INDIANA LJ 207 (10088)"</f>
        <v>FARMÁCIA INDIANA LJ 207 (10088)</v>
      </c>
      <c r="S1493" t="s">
        <v>27</v>
      </c>
      <c r="T1493">
        <v>4211</v>
      </c>
      <c r="U1493">
        <v>3654</v>
      </c>
      <c r="V1493" t="s">
        <v>22</v>
      </c>
    </row>
    <row r="1494" spans="1:22">
      <c r="A1494" t="str">
        <f t="shared" si="536"/>
        <v>11/02/2026</v>
      </c>
      <c r="B1494" t="str">
        <f t="shared" si="529"/>
        <v>ENTRADA</v>
      </c>
      <c r="C1494" t="str">
        <f t="shared" si="530"/>
        <v>NFSE</v>
      </c>
      <c r="D1494" t="str">
        <f t="shared" si="534"/>
        <v>250</v>
      </c>
      <c r="E1494" t="str">
        <f t="shared" si="531"/>
        <v>1</v>
      </c>
      <c r="F1494" t="str">
        <f t="shared" si="532"/>
        <v>COM</v>
      </c>
      <c r="G1494" t="str">
        <f t="shared" si="535"/>
        <v>FARMÁCIA INDIANA LJ 1 (10126)</v>
      </c>
      <c r="H1494" t="s">
        <v>381</v>
      </c>
      <c r="I1494" t="str">
        <f t="shared" si="533"/>
        <v>11/02/2026</v>
      </c>
      <c r="J1494" t="str">
        <f t="shared" si="537"/>
        <v>03/02/2026</v>
      </c>
      <c r="K1494">
        <v>46064</v>
      </c>
      <c r="N1494">
        <v>303</v>
      </c>
      <c r="O1494" t="s">
        <v>26</v>
      </c>
      <c r="Q1494">
        <v>125.53</v>
      </c>
      <c r="R1494" t="str">
        <f>"FARMÁCIA INDIANA LJ 209 (10089)"</f>
        <v>FARMÁCIA INDIANA LJ 209 (10089)</v>
      </c>
      <c r="S1494" t="s">
        <v>27</v>
      </c>
      <c r="T1494">
        <v>4211</v>
      </c>
      <c r="U1494">
        <v>3654</v>
      </c>
      <c r="V1494" t="s">
        <v>22</v>
      </c>
    </row>
    <row r="1495" spans="1:22">
      <c r="A1495" t="str">
        <f t="shared" si="536"/>
        <v>11/02/2026</v>
      </c>
      <c r="B1495" t="str">
        <f t="shared" si="529"/>
        <v>ENTRADA</v>
      </c>
      <c r="C1495" t="str">
        <f t="shared" si="530"/>
        <v>NFSE</v>
      </c>
      <c r="D1495" t="str">
        <f t="shared" si="534"/>
        <v>250</v>
      </c>
      <c r="E1495" t="str">
        <f t="shared" si="531"/>
        <v>1</v>
      </c>
      <c r="F1495" t="str">
        <f t="shared" si="532"/>
        <v>COM</v>
      </c>
      <c r="G1495" t="str">
        <f t="shared" si="535"/>
        <v>FARMÁCIA INDIANA LJ 1 (10126)</v>
      </c>
      <c r="H1495" t="s">
        <v>381</v>
      </c>
      <c r="I1495" t="str">
        <f t="shared" si="533"/>
        <v>11/02/2026</v>
      </c>
      <c r="J1495" t="str">
        <f t="shared" si="537"/>
        <v>03/02/2026</v>
      </c>
      <c r="K1495">
        <v>46064</v>
      </c>
      <c r="N1495">
        <v>303</v>
      </c>
      <c r="O1495" t="s">
        <v>26</v>
      </c>
      <c r="Q1495">
        <v>223.88</v>
      </c>
      <c r="R1495" t="str">
        <f>"FARMÁCIA INDIANA LJ 219 (10091)"</f>
        <v>FARMÁCIA INDIANA LJ 219 (10091)</v>
      </c>
      <c r="S1495" t="s">
        <v>27</v>
      </c>
      <c r="T1495">
        <v>4211</v>
      </c>
      <c r="U1495">
        <v>3654</v>
      </c>
      <c r="V1495" t="s">
        <v>22</v>
      </c>
    </row>
    <row r="1496" spans="1:22">
      <c r="A1496" t="str">
        <f t="shared" si="536"/>
        <v>11/02/2026</v>
      </c>
      <c r="B1496" t="str">
        <f t="shared" si="529"/>
        <v>ENTRADA</v>
      </c>
      <c r="C1496" t="str">
        <f t="shared" si="530"/>
        <v>NFSE</v>
      </c>
      <c r="D1496" t="str">
        <f t="shared" si="534"/>
        <v>250</v>
      </c>
      <c r="E1496" t="str">
        <f t="shared" si="531"/>
        <v>1</v>
      </c>
      <c r="F1496" t="str">
        <f t="shared" si="532"/>
        <v>COM</v>
      </c>
      <c r="G1496" t="str">
        <f t="shared" si="535"/>
        <v>FARMÁCIA INDIANA LJ 1 (10126)</v>
      </c>
      <c r="H1496" t="s">
        <v>381</v>
      </c>
      <c r="I1496" t="str">
        <f t="shared" si="533"/>
        <v>11/02/2026</v>
      </c>
      <c r="J1496" t="str">
        <f t="shared" si="537"/>
        <v>03/02/2026</v>
      </c>
      <c r="K1496">
        <v>46064</v>
      </c>
      <c r="N1496">
        <v>303</v>
      </c>
      <c r="O1496" t="s">
        <v>26</v>
      </c>
      <c r="Q1496">
        <v>295.06</v>
      </c>
      <c r="R1496" t="str">
        <f>"FARMÁCIA INDIANA LJ 220 (10092)"</f>
        <v>FARMÁCIA INDIANA LJ 220 (10092)</v>
      </c>
      <c r="S1496" t="s">
        <v>27</v>
      </c>
      <c r="T1496">
        <v>4211</v>
      </c>
      <c r="U1496">
        <v>3654</v>
      </c>
      <c r="V1496" t="s">
        <v>22</v>
      </c>
    </row>
    <row r="1497" spans="1:22">
      <c r="A1497" t="str">
        <f t="shared" si="536"/>
        <v>11/02/2026</v>
      </c>
      <c r="B1497" t="str">
        <f t="shared" si="529"/>
        <v>ENTRADA</v>
      </c>
      <c r="C1497" t="str">
        <f t="shared" si="530"/>
        <v>NFSE</v>
      </c>
      <c r="D1497" t="str">
        <f t="shared" si="534"/>
        <v>250</v>
      </c>
      <c r="E1497" t="str">
        <f t="shared" si="531"/>
        <v>1</v>
      </c>
      <c r="F1497" t="str">
        <f t="shared" si="532"/>
        <v>COM</v>
      </c>
      <c r="G1497" t="str">
        <f t="shared" si="535"/>
        <v>FARMÁCIA INDIANA LJ 1 (10126)</v>
      </c>
      <c r="H1497" t="s">
        <v>381</v>
      </c>
      <c r="I1497" t="str">
        <f t="shared" si="533"/>
        <v>11/02/2026</v>
      </c>
      <c r="J1497" t="str">
        <f t="shared" si="537"/>
        <v>03/02/2026</v>
      </c>
      <c r="K1497">
        <v>46064</v>
      </c>
      <c r="N1497">
        <v>303</v>
      </c>
      <c r="O1497" t="s">
        <v>26</v>
      </c>
      <c r="Q1497">
        <v>115.18</v>
      </c>
      <c r="R1497" t="str">
        <f>"FARMÁCIA INDIANA LJ 185 (10141)"</f>
        <v>FARMÁCIA INDIANA LJ 185 (10141)</v>
      </c>
      <c r="S1497" t="s">
        <v>27</v>
      </c>
      <c r="T1497">
        <v>4211</v>
      </c>
      <c r="U1497">
        <v>3654</v>
      </c>
      <c r="V1497" t="s">
        <v>22</v>
      </c>
    </row>
    <row r="1498" spans="1:22">
      <c r="A1498" t="str">
        <f t="shared" si="536"/>
        <v>11/02/2026</v>
      </c>
      <c r="B1498" t="str">
        <f t="shared" si="529"/>
        <v>ENTRADA</v>
      </c>
      <c r="C1498" t="str">
        <f t="shared" si="530"/>
        <v>NFSE</v>
      </c>
      <c r="D1498" t="str">
        <f t="shared" si="534"/>
        <v>250</v>
      </c>
      <c r="E1498" t="str">
        <f t="shared" si="531"/>
        <v>1</v>
      </c>
      <c r="F1498" t="str">
        <f t="shared" si="532"/>
        <v>COM</v>
      </c>
      <c r="G1498" t="str">
        <f t="shared" si="535"/>
        <v>FARMÁCIA INDIANA LJ 1 (10126)</v>
      </c>
      <c r="H1498" t="s">
        <v>381</v>
      </c>
      <c r="I1498" t="str">
        <f t="shared" si="533"/>
        <v>11/02/2026</v>
      </c>
      <c r="J1498" t="str">
        <f t="shared" si="537"/>
        <v>03/02/2026</v>
      </c>
      <c r="K1498">
        <v>46064</v>
      </c>
      <c r="N1498">
        <v>303</v>
      </c>
      <c r="O1498" t="s">
        <v>26</v>
      </c>
      <c r="Q1498">
        <v>106.12</v>
      </c>
      <c r="R1498" t="str">
        <f>"FARMÁCIA INDIANA LJ 205 (10150)"</f>
        <v>FARMÁCIA INDIANA LJ 205 (10150)</v>
      </c>
      <c r="S1498" t="s">
        <v>27</v>
      </c>
      <c r="T1498">
        <v>4211</v>
      </c>
      <c r="U1498">
        <v>3654</v>
      </c>
      <c r="V1498" t="s">
        <v>22</v>
      </c>
    </row>
    <row r="1499" spans="1:22">
      <c r="A1499" t="str">
        <f t="shared" si="536"/>
        <v>11/02/2026</v>
      </c>
      <c r="B1499" t="str">
        <f t="shared" si="529"/>
        <v>ENTRADA</v>
      </c>
      <c r="C1499" t="str">
        <f t="shared" si="530"/>
        <v>NFSE</v>
      </c>
      <c r="D1499" t="str">
        <f t="shared" si="534"/>
        <v>250</v>
      </c>
      <c r="E1499" t="str">
        <f t="shared" si="531"/>
        <v>1</v>
      </c>
      <c r="F1499" t="str">
        <f t="shared" si="532"/>
        <v>COM</v>
      </c>
      <c r="G1499" t="str">
        <f t="shared" si="535"/>
        <v>FARMÁCIA INDIANA LJ 1 (10126)</v>
      </c>
      <c r="H1499" t="s">
        <v>381</v>
      </c>
      <c r="I1499" t="str">
        <f t="shared" si="533"/>
        <v>11/02/2026</v>
      </c>
      <c r="J1499" t="str">
        <f t="shared" si="537"/>
        <v>03/02/2026</v>
      </c>
      <c r="K1499">
        <v>46064</v>
      </c>
      <c r="N1499">
        <v>303</v>
      </c>
      <c r="O1499" t="s">
        <v>26</v>
      </c>
      <c r="Q1499">
        <v>555.17999999999995</v>
      </c>
      <c r="R1499" t="str">
        <f>"FARMÁCIA INDIANA LJ 172 (10161)"</f>
        <v>FARMÁCIA INDIANA LJ 172 (10161)</v>
      </c>
      <c r="S1499" t="s">
        <v>27</v>
      </c>
      <c r="T1499">
        <v>4211</v>
      </c>
      <c r="U1499">
        <v>3654</v>
      </c>
      <c r="V1499" t="s">
        <v>22</v>
      </c>
    </row>
    <row r="1500" spans="1:22">
      <c r="A1500" t="str">
        <f t="shared" si="536"/>
        <v>11/02/2026</v>
      </c>
      <c r="B1500" t="str">
        <f t="shared" si="529"/>
        <v>ENTRADA</v>
      </c>
      <c r="C1500" t="str">
        <f t="shared" si="530"/>
        <v>NFSE</v>
      </c>
      <c r="D1500" t="str">
        <f t="shared" si="534"/>
        <v>250</v>
      </c>
      <c r="E1500" t="str">
        <f t="shared" si="531"/>
        <v>1</v>
      </c>
      <c r="F1500" t="str">
        <f t="shared" si="532"/>
        <v>COM</v>
      </c>
      <c r="G1500" t="str">
        <f t="shared" si="535"/>
        <v>FARMÁCIA INDIANA LJ 1 (10126)</v>
      </c>
      <c r="H1500" t="s">
        <v>381</v>
      </c>
      <c r="I1500" t="str">
        <f t="shared" si="533"/>
        <v>11/02/2026</v>
      </c>
      <c r="J1500" t="str">
        <f t="shared" si="537"/>
        <v>03/02/2026</v>
      </c>
      <c r="K1500">
        <v>46064</v>
      </c>
      <c r="N1500">
        <v>303</v>
      </c>
      <c r="O1500" t="s">
        <v>26</v>
      </c>
      <c r="Q1500">
        <v>80.239999999999995</v>
      </c>
      <c r="R1500" t="str">
        <f>"FARMÁCIA INDIANA LJ 266 (10186)"</f>
        <v>FARMÁCIA INDIANA LJ 266 (10186)</v>
      </c>
      <c r="S1500" t="s">
        <v>27</v>
      </c>
      <c r="T1500">
        <v>4211</v>
      </c>
      <c r="U1500">
        <v>3654</v>
      </c>
      <c r="V1500" t="s">
        <v>22</v>
      </c>
    </row>
    <row r="1501" spans="1:22">
      <c r="A1501" t="str">
        <f t="shared" si="536"/>
        <v>11/02/2026</v>
      </c>
      <c r="B1501" t="str">
        <f t="shared" si="529"/>
        <v>ENTRADA</v>
      </c>
      <c r="C1501" t="str">
        <f t="shared" si="530"/>
        <v>NFSE</v>
      </c>
      <c r="D1501" t="str">
        <f t="shared" si="534"/>
        <v>250</v>
      </c>
      <c r="E1501" t="str">
        <f t="shared" si="531"/>
        <v>1</v>
      </c>
      <c r="F1501" t="str">
        <f t="shared" si="532"/>
        <v>COM</v>
      </c>
      <c r="G1501" t="str">
        <f t="shared" si="535"/>
        <v>FARMÁCIA INDIANA LJ 1 (10126)</v>
      </c>
      <c r="H1501" t="s">
        <v>381</v>
      </c>
      <c r="I1501" t="str">
        <f t="shared" si="533"/>
        <v>11/02/2026</v>
      </c>
      <c r="J1501" t="str">
        <f t="shared" si="537"/>
        <v>03/02/2026</v>
      </c>
      <c r="K1501">
        <v>46064</v>
      </c>
      <c r="N1501">
        <v>303</v>
      </c>
      <c r="O1501" t="s">
        <v>26</v>
      </c>
      <c r="Q1501">
        <v>121.65</v>
      </c>
      <c r="R1501" t="str">
        <f>"FARMÁCIA INDIANA LJ 134 (10271)"</f>
        <v>FARMÁCIA INDIANA LJ 134 (10271)</v>
      </c>
      <c r="S1501" t="s">
        <v>27</v>
      </c>
      <c r="T1501">
        <v>4211</v>
      </c>
      <c r="U1501">
        <v>3654</v>
      </c>
      <c r="V1501" t="s">
        <v>22</v>
      </c>
    </row>
    <row r="1502" spans="1:22">
      <c r="A1502" t="str">
        <f t="shared" si="536"/>
        <v>11/02/2026</v>
      </c>
      <c r="B1502" t="str">
        <f t="shared" si="529"/>
        <v>ENTRADA</v>
      </c>
      <c r="C1502" t="str">
        <f t="shared" si="530"/>
        <v>NFSE</v>
      </c>
      <c r="D1502" t="str">
        <f t="shared" si="534"/>
        <v>250</v>
      </c>
      <c r="E1502" t="str">
        <f t="shared" si="531"/>
        <v>1</v>
      </c>
      <c r="F1502" t="str">
        <f t="shared" si="532"/>
        <v>COM</v>
      </c>
      <c r="G1502" t="str">
        <f t="shared" si="535"/>
        <v>FARMÁCIA INDIANA LJ 1 (10126)</v>
      </c>
      <c r="H1502" t="s">
        <v>381</v>
      </c>
      <c r="I1502" t="str">
        <f t="shared" si="533"/>
        <v>11/02/2026</v>
      </c>
      <c r="J1502" t="str">
        <f t="shared" si="537"/>
        <v>03/02/2026</v>
      </c>
      <c r="K1502">
        <v>46064</v>
      </c>
      <c r="N1502">
        <v>303</v>
      </c>
      <c r="O1502" t="s">
        <v>26</v>
      </c>
      <c r="Q1502">
        <v>47.88</v>
      </c>
      <c r="R1502" t="str">
        <f>"FARMÁCIA INDIANA LJ 284 (10280)"</f>
        <v>FARMÁCIA INDIANA LJ 284 (10280)</v>
      </c>
      <c r="S1502" t="s">
        <v>27</v>
      </c>
      <c r="T1502">
        <v>4211</v>
      </c>
      <c r="U1502">
        <v>3654</v>
      </c>
      <c r="V1502" t="s">
        <v>22</v>
      </c>
    </row>
    <row r="1503" spans="1:22">
      <c r="A1503" t="str">
        <f t="shared" si="536"/>
        <v>11/02/2026</v>
      </c>
      <c r="B1503" t="str">
        <f>"SAÍDA"</f>
        <v>SAÍDA</v>
      </c>
      <c r="C1503" t="str">
        <f>"PIX"</f>
        <v>PIX</v>
      </c>
      <c r="D1503" t="str">
        <f>"1102"</f>
        <v>1102</v>
      </c>
      <c r="E1503" t="str">
        <f>"26"</f>
        <v>26</v>
      </c>
      <c r="F1503" t="str">
        <f t="shared" si="532"/>
        <v>COM</v>
      </c>
      <c r="G1503" t="str">
        <f>"LILIANE DE FATIMA REZENDE JUSTINO (20013)"</f>
        <v>LILIANE DE FATIMA REZENDE JUSTINO (20013)</v>
      </c>
      <c r="H1503" t="str">
        <f>"DESPESA VIAGEM LIMEIRA"</f>
        <v>DESPESA VIAGEM LIMEIRA</v>
      </c>
      <c r="I1503" t="str">
        <f t="shared" si="533"/>
        <v>11/02/2026</v>
      </c>
      <c r="J1503" t="str">
        <f>("11/02/2026")</f>
        <v>11/02/2026</v>
      </c>
      <c r="K1503" t="str">
        <f>("11/02/2026")</f>
        <v>11/02/2026</v>
      </c>
      <c r="L1503">
        <v>1000</v>
      </c>
      <c r="M1503">
        <v>1000</v>
      </c>
      <c r="N1503">
        <v>128</v>
      </c>
      <c r="O1503" t="str">
        <f>"DESPESAS COM VIAGENS"</f>
        <v>DESPESAS COM VIAGENS</v>
      </c>
      <c r="P1503">
        <v>1000</v>
      </c>
      <c r="S1503" t="str">
        <f>"BANCO CORA (102)"</f>
        <v>BANCO CORA (102)</v>
      </c>
      <c r="T1503">
        <v>4212</v>
      </c>
      <c r="U1503">
        <v>3818</v>
      </c>
      <c r="V1503" t="s">
        <v>22</v>
      </c>
    </row>
    <row r="1504" spans="1:22">
      <c r="A1504" t="str">
        <f t="shared" si="536"/>
        <v>11/02/2026</v>
      </c>
      <c r="B1504" t="str">
        <f>"SAÍDA"</f>
        <v>SAÍDA</v>
      </c>
      <c r="C1504" t="str">
        <f>"PIX"</f>
        <v>PIX</v>
      </c>
      <c r="D1504" t="str">
        <f>"1102"</f>
        <v>1102</v>
      </c>
      <c r="E1504" t="str">
        <f>"26"</f>
        <v>26</v>
      </c>
      <c r="F1504" t="str">
        <f t="shared" si="532"/>
        <v>COM</v>
      </c>
      <c r="G1504" t="str">
        <f>"LILIANE DE FATIMA REZENDE JUSTINO (20013)"</f>
        <v>LILIANE DE FATIMA REZENDE JUSTINO (20013)</v>
      </c>
      <c r="H1504" t="s">
        <v>382</v>
      </c>
      <c r="I1504" t="str">
        <f t="shared" si="533"/>
        <v>11/02/2026</v>
      </c>
      <c r="J1504" t="str">
        <f>("11/02/2026")</f>
        <v>11/02/2026</v>
      </c>
      <c r="K1504">
        <v>46064</v>
      </c>
      <c r="N1504">
        <v>128</v>
      </c>
      <c r="O1504" t="s">
        <v>60</v>
      </c>
      <c r="Q1504">
        <v>1000</v>
      </c>
      <c r="R1504" t="str">
        <f>"BEM TE FAZ 01 (10283)"</f>
        <v>BEM TE FAZ 01 (10283)</v>
      </c>
      <c r="S1504" t="s">
        <v>22</v>
      </c>
      <c r="T1504">
        <v>4212</v>
      </c>
      <c r="U1504">
        <v>3818</v>
      </c>
      <c r="V1504" t="s">
        <v>22</v>
      </c>
    </row>
    <row r="1505" spans="1:22">
      <c r="A1505" t="str">
        <f t="shared" si="536"/>
        <v>11/02/2026</v>
      </c>
      <c r="B1505" t="str">
        <f>"SAÍDA"</f>
        <v>SAÍDA</v>
      </c>
      <c r="C1505" t="str">
        <f>"JUROS"</f>
        <v>JUROS</v>
      </c>
      <c r="D1505" t="str">
        <f>""</f>
        <v/>
      </c>
      <c r="F1505" t="str">
        <f>"CXA"</f>
        <v>CXA</v>
      </c>
      <c r="G1505" t="str">
        <f>""</f>
        <v/>
      </c>
      <c r="H1505" t="str">
        <f>"TARIFA BOLETOS BANCARIOS"</f>
        <v>TARIFA BOLETOS BANCARIOS</v>
      </c>
      <c r="I1505" t="str">
        <f t="shared" si="533"/>
        <v>11/02/2026</v>
      </c>
      <c r="J1505" t="str">
        <f>("11/02/2026")</f>
        <v>11/02/2026</v>
      </c>
      <c r="K1505" t="str">
        <f>("11/02/2026")</f>
        <v>11/02/2026</v>
      </c>
      <c r="L1505">
        <v>1.39</v>
      </c>
      <c r="M1505">
        <v>1.39</v>
      </c>
      <c r="N1505">
        <v>401</v>
      </c>
      <c r="O1505" t="str">
        <f>"IOF/JUROS/DESP.FINANCEIRA"</f>
        <v>IOF/JUROS/DESP.FINANCEIRA</v>
      </c>
      <c r="P1505">
        <v>1.39</v>
      </c>
      <c r="S1505" t="str">
        <f>"BANCO SICREDI (131)"</f>
        <v>BANCO SICREDI (131)</v>
      </c>
      <c r="T1505">
        <v>4235</v>
      </c>
      <c r="U1505">
        <v>0</v>
      </c>
      <c r="V1505" t="s">
        <v>54</v>
      </c>
    </row>
    <row r="1506" spans="1:22">
      <c r="A1506" t="str">
        <f t="shared" si="536"/>
        <v>11/02/2026</v>
      </c>
      <c r="B1506" t="str">
        <f>"ENTRADA"</f>
        <v>ENTRADA</v>
      </c>
      <c r="C1506" t="str">
        <f>"APLICACAO"</f>
        <v>APLICACAO</v>
      </c>
      <c r="D1506" t="str">
        <f>""</f>
        <v/>
      </c>
      <c r="F1506" t="str">
        <f>"APL"</f>
        <v>APL</v>
      </c>
      <c r="G1506" t="str">
        <f>""</f>
        <v/>
      </c>
      <c r="H1506" t="str">
        <f>"APLICAÇÃO FINANCEIRA SICREDI"</f>
        <v>APLICAÇÃO FINANCEIRA SICREDI</v>
      </c>
      <c r="I1506" t="str">
        <f t="shared" si="533"/>
        <v>11/02/2026</v>
      </c>
      <c r="J1506" t="str">
        <f>("11/02/2026")</f>
        <v>11/02/2026</v>
      </c>
      <c r="K1506" t="str">
        <f>("11/02/2026")</f>
        <v>11/02/2026</v>
      </c>
      <c r="N1506">
        <v>121</v>
      </c>
      <c r="O1506" t="str">
        <f>"APLICAÇÃO BANCO A"</f>
        <v>APLICAÇÃO BANCO A</v>
      </c>
      <c r="P1506">
        <v>50000</v>
      </c>
      <c r="S1506" t="str">
        <f>"APLICAÇÃO BANCO A (121)"</f>
        <v>APLICAÇÃO BANCO A (121)</v>
      </c>
      <c r="T1506">
        <v>4238</v>
      </c>
      <c r="U1506">
        <v>0</v>
      </c>
      <c r="V1506" t="s">
        <v>200</v>
      </c>
    </row>
    <row r="1507" spans="1:22">
      <c r="A1507" t="str">
        <f t="shared" si="536"/>
        <v>11/02/2026</v>
      </c>
      <c r="B1507" t="str">
        <f>"SAÍDA"</f>
        <v>SAÍDA</v>
      </c>
      <c r="C1507" t="str">
        <f>"APLICACAO"</f>
        <v>APLICACAO</v>
      </c>
      <c r="D1507" t="str">
        <f>""</f>
        <v/>
      </c>
      <c r="F1507" t="str">
        <f>"APL"</f>
        <v>APL</v>
      </c>
      <c r="G1507" t="str">
        <f>""</f>
        <v/>
      </c>
      <c r="H1507" t="str">
        <f>"APLICAÇÃO FINANCEIRA SICREDI"</f>
        <v>APLICAÇÃO FINANCEIRA SICREDI</v>
      </c>
      <c r="I1507" t="str">
        <f t="shared" si="533"/>
        <v>11/02/2026</v>
      </c>
      <c r="J1507" t="str">
        <f>("11/02/2026")</f>
        <v>11/02/2026</v>
      </c>
      <c r="K1507" t="str">
        <f>("11/02/2026")</f>
        <v>11/02/2026</v>
      </c>
      <c r="N1507">
        <v>131</v>
      </c>
      <c r="O1507" t="str">
        <f>"BANCO SICREDI"</f>
        <v>BANCO SICREDI</v>
      </c>
      <c r="S1507" t="str">
        <f>"BANCO SICREDI (131)"</f>
        <v>BANCO SICREDI (131)</v>
      </c>
      <c r="T1507">
        <v>4238</v>
      </c>
      <c r="U1507">
        <v>0</v>
      </c>
      <c r="V1507" t="s">
        <v>88</v>
      </c>
    </row>
    <row r="1508" spans="1:22">
      <c r="A1508" t="str">
        <f t="shared" si="536"/>
        <v>11/02/2026</v>
      </c>
      <c r="B1508" t="str">
        <f t="shared" ref="B1508:B1515" si="538">"ENTRADA"</f>
        <v>ENTRADA</v>
      </c>
      <c r="C1508" t="str">
        <f t="shared" ref="C1508:C1515" si="539">"NFSE"</f>
        <v>NFSE</v>
      </c>
      <c r="D1508" t="str">
        <f>"229"</f>
        <v>229</v>
      </c>
      <c r="E1508" t="str">
        <f t="shared" ref="E1508:E1515" si="540">"1"</f>
        <v>1</v>
      </c>
      <c r="F1508" t="str">
        <f t="shared" ref="F1508:F1515" si="541">"COM"</f>
        <v>COM</v>
      </c>
      <c r="G1508" t="str">
        <f>"AC FARMA - CID.ALTA (10166)"</f>
        <v>AC FARMA - CID.ALTA (10166)</v>
      </c>
      <c r="H1508" t="str">
        <f>"Serv.Prest. 26/01/2026 a 01/02/2026 - RPS: 2153 - NFSe: 229"</f>
        <v>Serv.Prest. 26/01/2026 a 01/02/2026 - RPS: 2153 - NFSe: 229</v>
      </c>
      <c r="I1508" t="str">
        <f t="shared" si="533"/>
        <v>11/02/2026</v>
      </c>
      <c r="J1508" t="str">
        <f>("02/02/2026")</f>
        <v>02/02/2026</v>
      </c>
      <c r="K1508" t="str">
        <f>("11/02/2026")</f>
        <v>11/02/2026</v>
      </c>
      <c r="L1508">
        <v>1003.95</v>
      </c>
      <c r="M1508">
        <v>1003.95</v>
      </c>
      <c r="N1508">
        <v>303</v>
      </c>
      <c r="O1508" t="str">
        <f>"RECEITAS COM ENTREGAS"</f>
        <v>RECEITAS COM ENTREGAS</v>
      </c>
      <c r="P1508">
        <v>1003.95</v>
      </c>
      <c r="S1508" t="str">
        <f>"RECEITAS COM ENTREGAS (303)"</f>
        <v>RECEITAS COM ENTREGAS (303)</v>
      </c>
      <c r="T1508">
        <v>4284</v>
      </c>
      <c r="U1508">
        <v>3633</v>
      </c>
      <c r="V1508" t="s">
        <v>88</v>
      </c>
    </row>
    <row r="1509" spans="1:22">
      <c r="A1509" t="str">
        <f t="shared" si="536"/>
        <v>11/02/2026</v>
      </c>
      <c r="B1509" t="str">
        <f t="shared" si="538"/>
        <v>ENTRADA</v>
      </c>
      <c r="C1509" t="str">
        <f t="shared" si="539"/>
        <v>NFSE</v>
      </c>
      <c r="D1509" t="str">
        <f>"229"</f>
        <v>229</v>
      </c>
      <c r="E1509" t="str">
        <f t="shared" si="540"/>
        <v>1</v>
      </c>
      <c r="F1509" t="str">
        <f t="shared" si="541"/>
        <v>COM</v>
      </c>
      <c r="G1509" t="str">
        <f>"AC FARMA - CID.ALTA (10166)"</f>
        <v>AC FARMA - CID.ALTA (10166)</v>
      </c>
      <c r="H1509" t="s">
        <v>383</v>
      </c>
      <c r="I1509" t="str">
        <f t="shared" si="533"/>
        <v>11/02/2026</v>
      </c>
      <c r="J1509" t="str">
        <f>("02/02/2026")</f>
        <v>02/02/2026</v>
      </c>
      <c r="K1509">
        <v>46064</v>
      </c>
      <c r="N1509">
        <v>303</v>
      </c>
      <c r="O1509" t="s">
        <v>26</v>
      </c>
      <c r="Q1509">
        <v>1003.95</v>
      </c>
      <c r="R1509" t="str">
        <f>"AC FARMA - CID.ALTA (10166)"</f>
        <v>AC FARMA - CID.ALTA (10166)</v>
      </c>
      <c r="S1509" t="s">
        <v>27</v>
      </c>
      <c r="T1509">
        <v>4284</v>
      </c>
      <c r="U1509">
        <v>3633</v>
      </c>
      <c r="V1509" t="s">
        <v>88</v>
      </c>
    </row>
    <row r="1510" spans="1:22">
      <c r="A1510" t="str">
        <f t="shared" si="536"/>
        <v>11/02/2026</v>
      </c>
      <c r="B1510" t="str">
        <f t="shared" si="538"/>
        <v>ENTRADA</v>
      </c>
      <c r="C1510" t="str">
        <f t="shared" si="539"/>
        <v>NFSE</v>
      </c>
      <c r="D1510" t="str">
        <f>"251"</f>
        <v>251</v>
      </c>
      <c r="E1510" t="str">
        <f t="shared" si="540"/>
        <v>1</v>
      </c>
      <c r="F1510" t="str">
        <f t="shared" si="541"/>
        <v>COM</v>
      </c>
      <c r="G1510" t="str">
        <f>"AC FARMA - FLEMINFARMA (10160)"</f>
        <v>AC FARMA - FLEMINFARMA (10160)</v>
      </c>
      <c r="H1510" t="str">
        <f>"Serv.Prest. 26/01/2026 a 01/02/2026 - RPS: 2175 - NFSe: 251"</f>
        <v>Serv.Prest. 26/01/2026 a 01/02/2026 - RPS: 2175 - NFSe: 251</v>
      </c>
      <c r="I1510" t="str">
        <f t="shared" si="533"/>
        <v>11/02/2026</v>
      </c>
      <c r="J1510" t="str">
        <f t="shared" ref="J1510:J1515" si="542">("03/02/2026")</f>
        <v>03/02/2026</v>
      </c>
      <c r="K1510" t="str">
        <f>("11/02/2026")</f>
        <v>11/02/2026</v>
      </c>
      <c r="L1510">
        <v>164.42</v>
      </c>
      <c r="M1510">
        <v>164.42</v>
      </c>
      <c r="N1510">
        <v>303</v>
      </c>
      <c r="O1510" t="str">
        <f>"RECEITAS COM ENTREGAS"</f>
        <v>RECEITAS COM ENTREGAS</v>
      </c>
      <c r="P1510">
        <v>164.42</v>
      </c>
      <c r="S1510" t="str">
        <f>"RECEITAS COM ENTREGAS (303)"</f>
        <v>RECEITAS COM ENTREGAS (303)</v>
      </c>
      <c r="T1510">
        <v>4285</v>
      </c>
      <c r="U1510">
        <v>3655</v>
      </c>
      <c r="V1510" t="s">
        <v>88</v>
      </c>
    </row>
    <row r="1511" spans="1:22">
      <c r="A1511" t="str">
        <f t="shared" si="536"/>
        <v>11/02/2026</v>
      </c>
      <c r="B1511" t="str">
        <f t="shared" si="538"/>
        <v>ENTRADA</v>
      </c>
      <c r="C1511" t="str">
        <f t="shared" si="539"/>
        <v>NFSE</v>
      </c>
      <c r="D1511" t="str">
        <f>"251"</f>
        <v>251</v>
      </c>
      <c r="E1511" t="str">
        <f t="shared" si="540"/>
        <v>1</v>
      </c>
      <c r="F1511" t="str">
        <f t="shared" si="541"/>
        <v>COM</v>
      </c>
      <c r="G1511" t="str">
        <f>"AC FARMA - FLEMINFARMA (10160)"</f>
        <v>AC FARMA - FLEMINFARMA (10160)</v>
      </c>
      <c r="H1511" t="s">
        <v>384</v>
      </c>
      <c r="I1511" t="str">
        <f t="shared" si="533"/>
        <v>11/02/2026</v>
      </c>
      <c r="J1511" t="str">
        <f t="shared" si="542"/>
        <v>03/02/2026</v>
      </c>
      <c r="K1511">
        <v>46064</v>
      </c>
      <c r="N1511">
        <v>303</v>
      </c>
      <c r="O1511" t="s">
        <v>26</v>
      </c>
      <c r="Q1511">
        <v>155.69</v>
      </c>
      <c r="R1511" t="str">
        <f>"AC FARMA -  FLEMINFARMA (10159)"</f>
        <v>AC FARMA -  FLEMINFARMA (10159)</v>
      </c>
      <c r="S1511" t="s">
        <v>27</v>
      </c>
      <c r="T1511">
        <v>4285</v>
      </c>
      <c r="U1511">
        <v>3655</v>
      </c>
      <c r="V1511" t="s">
        <v>88</v>
      </c>
    </row>
    <row r="1512" spans="1:22">
      <c r="A1512" t="str">
        <f t="shared" si="536"/>
        <v>11/02/2026</v>
      </c>
      <c r="B1512" t="str">
        <f t="shared" si="538"/>
        <v>ENTRADA</v>
      </c>
      <c r="C1512" t="str">
        <f t="shared" si="539"/>
        <v>NFSE</v>
      </c>
      <c r="D1512" t="str">
        <f>"251"</f>
        <v>251</v>
      </c>
      <c r="E1512" t="str">
        <f t="shared" si="540"/>
        <v>1</v>
      </c>
      <c r="F1512" t="str">
        <f t="shared" si="541"/>
        <v>COM</v>
      </c>
      <c r="G1512" t="str">
        <f>"AC FARMA - FLEMINFARMA (10160)"</f>
        <v>AC FARMA - FLEMINFARMA (10160)</v>
      </c>
      <c r="H1512" t="s">
        <v>384</v>
      </c>
      <c r="I1512" t="str">
        <f t="shared" si="533"/>
        <v>11/02/2026</v>
      </c>
      <c r="J1512" t="str">
        <f t="shared" si="542"/>
        <v>03/02/2026</v>
      </c>
      <c r="K1512">
        <v>46064</v>
      </c>
      <c r="N1512">
        <v>303</v>
      </c>
      <c r="O1512" t="s">
        <v>26</v>
      </c>
      <c r="Q1512">
        <v>8.73</v>
      </c>
      <c r="R1512" t="str">
        <f>"AC FARMA - FLEMINFARMA (10160)"</f>
        <v>AC FARMA - FLEMINFARMA (10160)</v>
      </c>
      <c r="S1512" t="s">
        <v>27</v>
      </c>
      <c r="T1512">
        <v>4285</v>
      </c>
      <c r="U1512">
        <v>3655</v>
      </c>
      <c r="V1512" t="s">
        <v>88</v>
      </c>
    </row>
    <row r="1513" spans="1:22">
      <c r="A1513" t="str">
        <f t="shared" si="536"/>
        <v>11/02/2026</v>
      </c>
      <c r="B1513" t="str">
        <f t="shared" si="538"/>
        <v>ENTRADA</v>
      </c>
      <c r="C1513" t="str">
        <f t="shared" si="539"/>
        <v>NFSE</v>
      </c>
      <c r="D1513" t="str">
        <f>"252"</f>
        <v>252</v>
      </c>
      <c r="E1513" t="str">
        <f t="shared" si="540"/>
        <v>1</v>
      </c>
      <c r="F1513" t="str">
        <f t="shared" si="541"/>
        <v>COM</v>
      </c>
      <c r="G1513" t="str">
        <f>"AC FARMA - FLEMINFARMA 5 (10183)"</f>
        <v>AC FARMA - FLEMINFARMA 5 (10183)</v>
      </c>
      <c r="H1513" t="str">
        <f>"Serv.Prest. 26/01/2026 a 01/02/2026 - RPS: 2176 - NFSe: 252"</f>
        <v>Serv.Prest. 26/01/2026 a 01/02/2026 - RPS: 2176 - NFSe: 252</v>
      </c>
      <c r="I1513" t="str">
        <f t="shared" si="533"/>
        <v>11/02/2026</v>
      </c>
      <c r="J1513" t="str">
        <f t="shared" si="542"/>
        <v>03/02/2026</v>
      </c>
      <c r="K1513" t="str">
        <f>("11/02/2026")</f>
        <v>11/02/2026</v>
      </c>
      <c r="L1513">
        <v>97.49</v>
      </c>
      <c r="M1513">
        <v>97.49</v>
      </c>
      <c r="N1513">
        <v>303</v>
      </c>
      <c r="O1513" t="str">
        <f>"RECEITAS COM ENTREGAS"</f>
        <v>RECEITAS COM ENTREGAS</v>
      </c>
      <c r="P1513">
        <v>97.49</v>
      </c>
      <c r="S1513" t="str">
        <f>"RECEITAS COM ENTREGAS (303)"</f>
        <v>RECEITAS COM ENTREGAS (303)</v>
      </c>
      <c r="T1513">
        <v>4286</v>
      </c>
      <c r="U1513">
        <v>3656</v>
      </c>
      <c r="V1513" t="s">
        <v>88</v>
      </c>
    </row>
    <row r="1514" spans="1:22">
      <c r="A1514" t="str">
        <f t="shared" si="536"/>
        <v>11/02/2026</v>
      </c>
      <c r="B1514" t="str">
        <f t="shared" si="538"/>
        <v>ENTRADA</v>
      </c>
      <c r="C1514" t="str">
        <f t="shared" si="539"/>
        <v>NFSE</v>
      </c>
      <c r="D1514" t="str">
        <f>"252"</f>
        <v>252</v>
      </c>
      <c r="E1514" t="str">
        <f t="shared" si="540"/>
        <v>1</v>
      </c>
      <c r="F1514" t="str">
        <f t="shared" si="541"/>
        <v>COM</v>
      </c>
      <c r="G1514" t="str">
        <f>"AC FARMA - FLEMINFARMA 5 (10183)"</f>
        <v>AC FARMA - FLEMINFARMA 5 (10183)</v>
      </c>
      <c r="H1514" t="s">
        <v>385</v>
      </c>
      <c r="I1514" t="str">
        <f t="shared" si="533"/>
        <v>11/02/2026</v>
      </c>
      <c r="J1514" t="str">
        <f t="shared" si="542"/>
        <v>03/02/2026</v>
      </c>
      <c r="K1514">
        <v>46064</v>
      </c>
      <c r="N1514">
        <v>303</v>
      </c>
      <c r="O1514" t="s">
        <v>26</v>
      </c>
      <c r="Q1514">
        <v>93.12</v>
      </c>
      <c r="R1514" t="str">
        <f>"AC FARMA - FLEMINFARMA 5 (10183)"</f>
        <v>AC FARMA - FLEMINFARMA 5 (10183)</v>
      </c>
      <c r="S1514" t="s">
        <v>27</v>
      </c>
      <c r="T1514">
        <v>4286</v>
      </c>
      <c r="U1514">
        <v>3656</v>
      </c>
      <c r="V1514" t="s">
        <v>88</v>
      </c>
    </row>
    <row r="1515" spans="1:22">
      <c r="A1515" t="str">
        <f t="shared" si="536"/>
        <v>11/02/2026</v>
      </c>
      <c r="B1515" t="str">
        <f t="shared" si="538"/>
        <v>ENTRADA</v>
      </c>
      <c r="C1515" t="str">
        <f t="shared" si="539"/>
        <v>NFSE</v>
      </c>
      <c r="D1515" t="str">
        <f>"252"</f>
        <v>252</v>
      </c>
      <c r="E1515" t="str">
        <f t="shared" si="540"/>
        <v>1</v>
      </c>
      <c r="F1515" t="str">
        <f t="shared" si="541"/>
        <v>COM</v>
      </c>
      <c r="G1515" t="str">
        <f>"AC FARMA - FLEMINFARMA 5 (10183)"</f>
        <v>AC FARMA - FLEMINFARMA 5 (10183)</v>
      </c>
      <c r="H1515" t="s">
        <v>385</v>
      </c>
      <c r="I1515" t="str">
        <f t="shared" si="533"/>
        <v>11/02/2026</v>
      </c>
      <c r="J1515" t="str">
        <f t="shared" si="542"/>
        <v>03/02/2026</v>
      </c>
      <c r="K1515">
        <v>46064</v>
      </c>
      <c r="N1515">
        <v>303</v>
      </c>
      <c r="O1515" t="s">
        <v>26</v>
      </c>
      <c r="Q1515">
        <v>4.37</v>
      </c>
      <c r="R1515" t="str">
        <f>"AC FARMA - FLEMINFARMA 6 (10184)"</f>
        <v>AC FARMA - FLEMINFARMA 6 (10184)</v>
      </c>
      <c r="S1515" t="s">
        <v>27</v>
      </c>
      <c r="T1515">
        <v>4286</v>
      </c>
      <c r="U1515">
        <v>3656</v>
      </c>
      <c r="V1515" t="s">
        <v>88</v>
      </c>
    </row>
    <row r="1516" spans="1:22">
      <c r="A1516" t="str">
        <f t="shared" ref="A1516:A1547" si="543">("12/02/2026")</f>
        <v>12/02/2026</v>
      </c>
      <c r="B1516" t="str">
        <f>"SAÍDA"</f>
        <v>SAÍDA</v>
      </c>
      <c r="C1516" t="str">
        <f>"JUROS"</f>
        <v>JUROS</v>
      </c>
      <c r="D1516" t="str">
        <f>""</f>
        <v/>
      </c>
      <c r="F1516" t="str">
        <f>"CXA"</f>
        <v>CXA</v>
      </c>
      <c r="G1516" t="str">
        <f>""</f>
        <v/>
      </c>
      <c r="H1516" t="str">
        <f>"TARIFA BOLETOS BANCARIOS"</f>
        <v>TARIFA BOLETOS BANCARIOS</v>
      </c>
      <c r="I1516" t="str">
        <f>("12/02/2026")</f>
        <v>12/02/2026</v>
      </c>
      <c r="J1516" t="str">
        <f>("12/02/2026")</f>
        <v>12/02/2026</v>
      </c>
      <c r="K1516" t="str">
        <f>("12/02/2026")</f>
        <v>12/02/2026</v>
      </c>
      <c r="L1516">
        <v>9.73</v>
      </c>
      <c r="M1516">
        <v>9.73</v>
      </c>
      <c r="N1516">
        <v>401</v>
      </c>
      <c r="O1516" t="str">
        <f>"IOF/JUROS/DESP.FINANCEIRA"</f>
        <v>IOF/JUROS/DESP.FINANCEIRA</v>
      </c>
      <c r="P1516">
        <v>9.73</v>
      </c>
      <c r="S1516" t="str">
        <f>"BANCO SICREDI (131)"</f>
        <v>BANCO SICREDI (131)</v>
      </c>
      <c r="T1516">
        <v>4236</v>
      </c>
      <c r="U1516">
        <v>0</v>
      </c>
      <c r="V1516" t="s">
        <v>54</v>
      </c>
    </row>
    <row r="1517" spans="1:22">
      <c r="A1517" t="str">
        <f t="shared" si="543"/>
        <v>12/02/2026</v>
      </c>
      <c r="B1517" t="str">
        <f t="shared" ref="B1517:B1558" si="544">"ENTRADA"</f>
        <v>ENTRADA</v>
      </c>
      <c r="C1517" t="str">
        <f t="shared" ref="C1517:C1558" si="545">"NFSE"</f>
        <v>NFSE</v>
      </c>
      <c r="D1517" t="str">
        <f>"263"</f>
        <v>263</v>
      </c>
      <c r="E1517" t="str">
        <f t="shared" ref="E1517:E1558" si="546">"1"</f>
        <v>1</v>
      </c>
      <c r="F1517" t="str">
        <f t="shared" ref="F1517:F1558" si="547">"COM"</f>
        <v>COM</v>
      </c>
      <c r="G1517" t="str">
        <f>"BELLESE FARMA (10279)"</f>
        <v>BELLESE FARMA (10279)</v>
      </c>
      <c r="H1517" t="str">
        <f>"Serv.Prest. 02/02/2026 a 08/02/2026 - RPS: 2185 - NFSe: 263"</f>
        <v>Serv.Prest. 02/02/2026 a 08/02/2026 - RPS: 2185 - NFSe: 263</v>
      </c>
      <c r="I1517" t="str">
        <f t="shared" ref="I1517:I1558" si="548">("11/02/2026")</f>
        <v>11/02/2026</v>
      </c>
      <c r="J1517" t="str">
        <f t="shared" ref="J1517:J1558" si="549">("09/02/2026")</f>
        <v>09/02/2026</v>
      </c>
      <c r="K1517" t="str">
        <f>("12/02/2026")</f>
        <v>12/02/2026</v>
      </c>
      <c r="L1517">
        <v>150.05000000000001</v>
      </c>
      <c r="M1517">
        <v>150.05000000000001</v>
      </c>
      <c r="N1517">
        <v>303</v>
      </c>
      <c r="O1517" t="str">
        <f>"RECEITAS COM ENTREGAS"</f>
        <v>RECEITAS COM ENTREGAS</v>
      </c>
      <c r="P1517">
        <v>150.05000000000001</v>
      </c>
      <c r="S1517" t="str">
        <f>"RECEITAS COM ENTREGAS (303)"</f>
        <v>RECEITAS COM ENTREGAS (303)</v>
      </c>
      <c r="T1517">
        <v>4287</v>
      </c>
      <c r="U1517">
        <v>3680</v>
      </c>
      <c r="V1517" t="s">
        <v>88</v>
      </c>
    </row>
    <row r="1518" spans="1:22">
      <c r="A1518" t="str">
        <f t="shared" si="543"/>
        <v>12/02/2026</v>
      </c>
      <c r="B1518" t="str">
        <f t="shared" si="544"/>
        <v>ENTRADA</v>
      </c>
      <c r="C1518" t="str">
        <f t="shared" si="545"/>
        <v>NFSE</v>
      </c>
      <c r="D1518" t="str">
        <f>"263"</f>
        <v>263</v>
      </c>
      <c r="E1518" t="str">
        <f t="shared" si="546"/>
        <v>1</v>
      </c>
      <c r="F1518" t="str">
        <f t="shared" si="547"/>
        <v>COM</v>
      </c>
      <c r="G1518" t="str">
        <f>"BELLESE FARMA (10279)"</f>
        <v>BELLESE FARMA (10279)</v>
      </c>
      <c r="H1518" t="s">
        <v>386</v>
      </c>
      <c r="I1518" t="str">
        <f t="shared" si="548"/>
        <v>11/02/2026</v>
      </c>
      <c r="J1518" t="str">
        <f t="shared" si="549"/>
        <v>09/02/2026</v>
      </c>
      <c r="K1518">
        <v>46065</v>
      </c>
      <c r="N1518">
        <v>303</v>
      </c>
      <c r="O1518" t="s">
        <v>26</v>
      </c>
      <c r="Q1518">
        <v>150.05000000000001</v>
      </c>
      <c r="R1518" t="str">
        <f>"BELLESE FARMA (10279)"</f>
        <v>BELLESE FARMA (10279)</v>
      </c>
      <c r="S1518" t="s">
        <v>27</v>
      </c>
      <c r="T1518">
        <v>4287</v>
      </c>
      <c r="U1518">
        <v>3680</v>
      </c>
      <c r="V1518" t="s">
        <v>88</v>
      </c>
    </row>
    <row r="1519" spans="1:22">
      <c r="A1519" t="str">
        <f t="shared" si="543"/>
        <v>12/02/2026</v>
      </c>
      <c r="B1519" t="str">
        <f t="shared" si="544"/>
        <v>ENTRADA</v>
      </c>
      <c r="C1519" t="str">
        <f t="shared" si="545"/>
        <v>NFSE</v>
      </c>
      <c r="D1519" t="str">
        <f>"264"</f>
        <v>264</v>
      </c>
      <c r="E1519" t="str">
        <f t="shared" si="546"/>
        <v>1</v>
      </c>
      <c r="F1519" t="str">
        <f t="shared" si="547"/>
        <v>COM</v>
      </c>
      <c r="G1519" t="str">
        <f>"BRASIL FARMA (10173)"</f>
        <v>BRASIL FARMA (10173)</v>
      </c>
      <c r="H1519" t="str">
        <f>"Serv.Prest. 02/02/2026 a 08/02/2026 - RPS: 2186 - NFSe: 264"</f>
        <v>Serv.Prest. 02/02/2026 a 08/02/2026 - RPS: 2186 - NFSe: 264</v>
      </c>
      <c r="I1519" t="str">
        <f t="shared" si="548"/>
        <v>11/02/2026</v>
      </c>
      <c r="J1519" t="str">
        <f t="shared" si="549"/>
        <v>09/02/2026</v>
      </c>
      <c r="K1519" t="str">
        <f>("12/02/2026")</f>
        <v>12/02/2026</v>
      </c>
      <c r="L1519">
        <v>300.89999999999998</v>
      </c>
      <c r="M1519">
        <v>300.89999999999998</v>
      </c>
      <c r="N1519">
        <v>303</v>
      </c>
      <c r="O1519" t="str">
        <f>"RECEITAS COM ENTREGAS"</f>
        <v>RECEITAS COM ENTREGAS</v>
      </c>
      <c r="P1519">
        <v>300.89999999999998</v>
      </c>
      <c r="S1519" t="str">
        <f>"RECEITAS COM ENTREGAS (303)"</f>
        <v>RECEITAS COM ENTREGAS (303)</v>
      </c>
      <c r="T1519">
        <v>4288</v>
      </c>
      <c r="U1519">
        <v>3681</v>
      </c>
      <c r="V1519" t="s">
        <v>88</v>
      </c>
    </row>
    <row r="1520" spans="1:22">
      <c r="A1520" t="str">
        <f t="shared" si="543"/>
        <v>12/02/2026</v>
      </c>
      <c r="B1520" t="str">
        <f t="shared" si="544"/>
        <v>ENTRADA</v>
      </c>
      <c r="C1520" t="str">
        <f t="shared" si="545"/>
        <v>NFSE</v>
      </c>
      <c r="D1520" t="str">
        <f>"264"</f>
        <v>264</v>
      </c>
      <c r="E1520" t="str">
        <f t="shared" si="546"/>
        <v>1</v>
      </c>
      <c r="F1520" t="str">
        <f t="shared" si="547"/>
        <v>COM</v>
      </c>
      <c r="G1520" t="str">
        <f>"BRASIL FARMA (10173)"</f>
        <v>BRASIL FARMA (10173)</v>
      </c>
      <c r="H1520" t="s">
        <v>387</v>
      </c>
      <c r="I1520" t="str">
        <f t="shared" si="548"/>
        <v>11/02/2026</v>
      </c>
      <c r="J1520" t="str">
        <f t="shared" si="549"/>
        <v>09/02/2026</v>
      </c>
      <c r="K1520">
        <v>46065</v>
      </c>
      <c r="N1520">
        <v>303</v>
      </c>
      <c r="O1520" t="s">
        <v>26</v>
      </c>
      <c r="Q1520">
        <v>300.89999999999998</v>
      </c>
      <c r="R1520" t="str">
        <f>"BRASIL FARMA (10173)"</f>
        <v>BRASIL FARMA (10173)</v>
      </c>
      <c r="S1520" t="s">
        <v>27</v>
      </c>
      <c r="T1520">
        <v>4288</v>
      </c>
      <c r="U1520">
        <v>3681</v>
      </c>
      <c r="V1520" t="s">
        <v>88</v>
      </c>
    </row>
    <row r="1521" spans="1:22">
      <c r="A1521" t="str">
        <f t="shared" si="543"/>
        <v>12/02/2026</v>
      </c>
      <c r="B1521" t="str">
        <f t="shared" si="544"/>
        <v>ENTRADA</v>
      </c>
      <c r="C1521" t="str">
        <f t="shared" si="545"/>
        <v>NFSE</v>
      </c>
      <c r="D1521" t="str">
        <f>"265"</f>
        <v>265</v>
      </c>
      <c r="E1521" t="str">
        <f t="shared" si="546"/>
        <v>1</v>
      </c>
      <c r="F1521" t="str">
        <f t="shared" si="547"/>
        <v>COM</v>
      </c>
      <c r="G1521" t="str">
        <f>"DELTA LOJA 2 (10123)"</f>
        <v>DELTA LOJA 2 (10123)</v>
      </c>
      <c r="H1521" t="str">
        <f>"Serv.Prest. 02/02/2026 a 08/02/2026 - RPS: 2187 - NFSe: 265"</f>
        <v>Serv.Prest. 02/02/2026 a 08/02/2026 - RPS: 2187 - NFSe: 265</v>
      </c>
      <c r="I1521" t="str">
        <f t="shared" si="548"/>
        <v>11/02/2026</v>
      </c>
      <c r="J1521" t="str">
        <f t="shared" si="549"/>
        <v>09/02/2026</v>
      </c>
      <c r="K1521" t="str">
        <f>("12/02/2026")</f>
        <v>12/02/2026</v>
      </c>
      <c r="L1521">
        <v>786.45</v>
      </c>
      <c r="M1521">
        <v>786.45</v>
      </c>
      <c r="N1521">
        <v>303</v>
      </c>
      <c r="O1521" t="str">
        <f>"RECEITAS COM ENTREGAS"</f>
        <v>RECEITAS COM ENTREGAS</v>
      </c>
      <c r="P1521">
        <v>786.45</v>
      </c>
      <c r="S1521" t="str">
        <f>"RECEITAS COM ENTREGAS (303)"</f>
        <v>RECEITAS COM ENTREGAS (303)</v>
      </c>
      <c r="T1521">
        <v>4289</v>
      </c>
      <c r="U1521">
        <v>3682</v>
      </c>
      <c r="V1521" t="s">
        <v>88</v>
      </c>
    </row>
    <row r="1522" spans="1:22">
      <c r="A1522" t="str">
        <f t="shared" si="543"/>
        <v>12/02/2026</v>
      </c>
      <c r="B1522" t="str">
        <f t="shared" si="544"/>
        <v>ENTRADA</v>
      </c>
      <c r="C1522" t="str">
        <f t="shared" si="545"/>
        <v>NFSE</v>
      </c>
      <c r="D1522" t="str">
        <f>"265"</f>
        <v>265</v>
      </c>
      <c r="E1522" t="str">
        <f t="shared" si="546"/>
        <v>1</v>
      </c>
      <c r="F1522" t="str">
        <f t="shared" si="547"/>
        <v>COM</v>
      </c>
      <c r="G1522" t="str">
        <f>"DELTA LOJA 2 (10123)"</f>
        <v>DELTA LOJA 2 (10123)</v>
      </c>
      <c r="H1522" t="s">
        <v>388</v>
      </c>
      <c r="I1522" t="str">
        <f t="shared" si="548"/>
        <v>11/02/2026</v>
      </c>
      <c r="J1522" t="str">
        <f t="shared" si="549"/>
        <v>09/02/2026</v>
      </c>
      <c r="K1522">
        <v>46065</v>
      </c>
      <c r="N1522">
        <v>303</v>
      </c>
      <c r="O1522" t="s">
        <v>26</v>
      </c>
      <c r="Q1522">
        <v>786.45</v>
      </c>
      <c r="R1522" t="str">
        <f>"DELTA LOJA 2 (10123)"</f>
        <v>DELTA LOJA 2 (10123)</v>
      </c>
      <c r="S1522" t="s">
        <v>27</v>
      </c>
      <c r="T1522">
        <v>4289</v>
      </c>
      <c r="U1522">
        <v>3682</v>
      </c>
      <c r="V1522" t="s">
        <v>88</v>
      </c>
    </row>
    <row r="1523" spans="1:22">
      <c r="A1523" t="str">
        <f t="shared" si="543"/>
        <v>12/02/2026</v>
      </c>
      <c r="B1523" t="str">
        <f t="shared" si="544"/>
        <v>ENTRADA</v>
      </c>
      <c r="C1523" t="str">
        <f t="shared" si="545"/>
        <v>NFSE</v>
      </c>
      <c r="D1523" t="str">
        <f>"266"</f>
        <v>266</v>
      </c>
      <c r="E1523" t="str">
        <f t="shared" si="546"/>
        <v>1</v>
      </c>
      <c r="F1523" t="str">
        <f t="shared" si="547"/>
        <v>COM</v>
      </c>
      <c r="G1523" t="str">
        <f>"DROGARIA AGAPEAMA (10167)"</f>
        <v>DROGARIA AGAPEAMA (10167)</v>
      </c>
      <c r="H1523" t="str">
        <f>"Serv.Prest. 02/02/2026 a 08/02/2026 - RPS: 2188 - NFSe: 266"</f>
        <v>Serv.Prest. 02/02/2026 a 08/02/2026 - RPS: 2188 - NFSe: 266</v>
      </c>
      <c r="I1523" t="str">
        <f t="shared" si="548"/>
        <v>11/02/2026</v>
      </c>
      <c r="J1523" t="str">
        <f t="shared" si="549"/>
        <v>09/02/2026</v>
      </c>
      <c r="K1523" t="str">
        <f>("12/02/2026")</f>
        <v>12/02/2026</v>
      </c>
      <c r="L1523">
        <v>344</v>
      </c>
      <c r="M1523">
        <v>344</v>
      </c>
      <c r="N1523">
        <v>303</v>
      </c>
      <c r="O1523" t="str">
        <f>"RECEITAS COM ENTREGAS"</f>
        <v>RECEITAS COM ENTREGAS</v>
      </c>
      <c r="P1523">
        <v>344</v>
      </c>
      <c r="S1523" t="str">
        <f>"RECEITAS COM ENTREGAS (303)"</f>
        <v>RECEITAS COM ENTREGAS (303)</v>
      </c>
      <c r="T1523">
        <v>4290</v>
      </c>
      <c r="U1523">
        <v>3683</v>
      </c>
      <c r="V1523" t="s">
        <v>88</v>
      </c>
    </row>
    <row r="1524" spans="1:22">
      <c r="A1524" t="str">
        <f t="shared" si="543"/>
        <v>12/02/2026</v>
      </c>
      <c r="B1524" t="str">
        <f t="shared" si="544"/>
        <v>ENTRADA</v>
      </c>
      <c r="C1524" t="str">
        <f t="shared" si="545"/>
        <v>NFSE</v>
      </c>
      <c r="D1524" t="str">
        <f>"266"</f>
        <v>266</v>
      </c>
      <c r="E1524" t="str">
        <f t="shared" si="546"/>
        <v>1</v>
      </c>
      <c r="F1524" t="str">
        <f t="shared" si="547"/>
        <v>COM</v>
      </c>
      <c r="G1524" t="str">
        <f>"DROGARIA AGAPEAMA (10167)"</f>
        <v>DROGARIA AGAPEAMA (10167)</v>
      </c>
      <c r="H1524" t="s">
        <v>389</v>
      </c>
      <c r="I1524" t="str">
        <f t="shared" si="548"/>
        <v>11/02/2026</v>
      </c>
      <c r="J1524" t="str">
        <f t="shared" si="549"/>
        <v>09/02/2026</v>
      </c>
      <c r="K1524">
        <v>46065</v>
      </c>
      <c r="N1524">
        <v>303</v>
      </c>
      <c r="O1524" t="s">
        <v>26</v>
      </c>
      <c r="Q1524">
        <v>344</v>
      </c>
      <c r="R1524" t="str">
        <f>"DROGARIA AGAPEAMA (10167)"</f>
        <v>DROGARIA AGAPEAMA (10167)</v>
      </c>
      <c r="S1524" t="s">
        <v>27</v>
      </c>
      <c r="T1524">
        <v>4290</v>
      </c>
      <c r="U1524">
        <v>3683</v>
      </c>
      <c r="V1524" t="s">
        <v>88</v>
      </c>
    </row>
    <row r="1525" spans="1:22">
      <c r="A1525" t="str">
        <f t="shared" si="543"/>
        <v>12/02/2026</v>
      </c>
      <c r="B1525" t="str">
        <f t="shared" si="544"/>
        <v>ENTRADA</v>
      </c>
      <c r="C1525" t="str">
        <f t="shared" si="545"/>
        <v>NFSE</v>
      </c>
      <c r="D1525" t="str">
        <f>"267"</f>
        <v>267</v>
      </c>
      <c r="E1525" t="str">
        <f t="shared" si="546"/>
        <v>1</v>
      </c>
      <c r="F1525" t="str">
        <f t="shared" si="547"/>
        <v>COM</v>
      </c>
      <c r="G1525" t="str">
        <f>"DROGARIA ANA VISCONDE DO RIO BRANCO (10182)"</f>
        <v>DROGARIA ANA VISCONDE DO RIO BRANCO (10182)</v>
      </c>
      <c r="H1525" t="str">
        <f>"Serv.Prest. 02/02/2026 a 08/02/2026 - RPS: 2189 - NFSe: 267"</f>
        <v>Serv.Prest. 02/02/2026 a 08/02/2026 - RPS: 2189 - NFSe: 267</v>
      </c>
      <c r="I1525" t="str">
        <f t="shared" si="548"/>
        <v>11/02/2026</v>
      </c>
      <c r="J1525" t="str">
        <f t="shared" si="549"/>
        <v>09/02/2026</v>
      </c>
      <c r="K1525" t="str">
        <f>("12/02/2026")</f>
        <v>12/02/2026</v>
      </c>
      <c r="L1525">
        <v>792.45</v>
      </c>
      <c r="M1525">
        <v>792.45</v>
      </c>
      <c r="N1525">
        <v>303</v>
      </c>
      <c r="O1525" t="str">
        <f>"RECEITAS COM ENTREGAS"</f>
        <v>RECEITAS COM ENTREGAS</v>
      </c>
      <c r="P1525">
        <v>792.45</v>
      </c>
      <c r="S1525" t="str">
        <f>"RECEITAS COM ENTREGAS (303)"</f>
        <v>RECEITAS COM ENTREGAS (303)</v>
      </c>
      <c r="T1525">
        <v>4291</v>
      </c>
      <c r="U1525">
        <v>3684</v>
      </c>
      <c r="V1525" t="s">
        <v>88</v>
      </c>
    </row>
    <row r="1526" spans="1:22">
      <c r="A1526" t="str">
        <f t="shared" si="543"/>
        <v>12/02/2026</v>
      </c>
      <c r="B1526" t="str">
        <f t="shared" si="544"/>
        <v>ENTRADA</v>
      </c>
      <c r="C1526" t="str">
        <f t="shared" si="545"/>
        <v>NFSE</v>
      </c>
      <c r="D1526" t="str">
        <f>"267"</f>
        <v>267</v>
      </c>
      <c r="E1526" t="str">
        <f t="shared" si="546"/>
        <v>1</v>
      </c>
      <c r="F1526" t="str">
        <f t="shared" si="547"/>
        <v>COM</v>
      </c>
      <c r="G1526" t="str">
        <f>"DROGARIA ANA VISCONDE DO RIO BRANCO (10182)"</f>
        <v>DROGARIA ANA VISCONDE DO RIO BRANCO (10182)</v>
      </c>
      <c r="H1526" t="s">
        <v>390</v>
      </c>
      <c r="I1526" t="str">
        <f t="shared" si="548"/>
        <v>11/02/2026</v>
      </c>
      <c r="J1526" t="str">
        <f t="shared" si="549"/>
        <v>09/02/2026</v>
      </c>
      <c r="K1526">
        <v>46065</v>
      </c>
      <c r="N1526">
        <v>303</v>
      </c>
      <c r="O1526" t="s">
        <v>26</v>
      </c>
      <c r="Q1526">
        <v>792.45</v>
      </c>
      <c r="R1526" t="str">
        <f>"DROGARIA ANA VISCONDE DO RIO BRANCO (10182)"</f>
        <v>DROGARIA ANA VISCONDE DO RIO BRANCO (10182)</v>
      </c>
      <c r="S1526" t="s">
        <v>27</v>
      </c>
      <c r="T1526">
        <v>4291</v>
      </c>
      <c r="U1526">
        <v>3684</v>
      </c>
      <c r="V1526" t="s">
        <v>88</v>
      </c>
    </row>
    <row r="1527" spans="1:22">
      <c r="A1527" t="str">
        <f t="shared" si="543"/>
        <v>12/02/2026</v>
      </c>
      <c r="B1527" t="str">
        <f t="shared" si="544"/>
        <v>ENTRADA</v>
      </c>
      <c r="C1527" t="str">
        <f t="shared" si="545"/>
        <v>NFSE</v>
      </c>
      <c r="D1527" t="str">
        <f>"268"</f>
        <v>268</v>
      </c>
      <c r="E1527" t="str">
        <f t="shared" si="546"/>
        <v>1</v>
      </c>
      <c r="F1527" t="str">
        <f t="shared" si="547"/>
        <v>COM</v>
      </c>
      <c r="G1527" t="str">
        <f>"JAL FARMACIA E DROGARIA LJ 1 (10137)"</f>
        <v>JAL FARMACIA E DROGARIA LJ 1 (10137)</v>
      </c>
      <c r="H1527" t="str">
        <f>"Serv.Prest. 02/02/2026 a 08/02/2026 - RPS: 2190 - NFSe: 268"</f>
        <v>Serv.Prest. 02/02/2026 a 08/02/2026 - RPS: 2190 - NFSe: 268</v>
      </c>
      <c r="I1527" t="str">
        <f t="shared" si="548"/>
        <v>11/02/2026</v>
      </c>
      <c r="J1527" t="str">
        <f t="shared" si="549"/>
        <v>09/02/2026</v>
      </c>
      <c r="K1527" t="str">
        <f>("12/02/2026")</f>
        <v>12/02/2026</v>
      </c>
      <c r="L1527">
        <v>426</v>
      </c>
      <c r="M1527">
        <v>426</v>
      </c>
      <c r="N1527">
        <v>303</v>
      </c>
      <c r="O1527" t="str">
        <f>"RECEITAS COM ENTREGAS"</f>
        <v>RECEITAS COM ENTREGAS</v>
      </c>
      <c r="P1527">
        <v>426</v>
      </c>
      <c r="S1527" t="str">
        <f>"RECEITAS COM ENTREGAS (303)"</f>
        <v>RECEITAS COM ENTREGAS (303)</v>
      </c>
      <c r="T1527">
        <v>4292</v>
      </c>
      <c r="U1527">
        <v>3685</v>
      </c>
      <c r="V1527" t="s">
        <v>88</v>
      </c>
    </row>
    <row r="1528" spans="1:22">
      <c r="A1528" t="str">
        <f t="shared" si="543"/>
        <v>12/02/2026</v>
      </c>
      <c r="B1528" t="str">
        <f t="shared" si="544"/>
        <v>ENTRADA</v>
      </c>
      <c r="C1528" t="str">
        <f t="shared" si="545"/>
        <v>NFSE</v>
      </c>
      <c r="D1528" t="str">
        <f>"268"</f>
        <v>268</v>
      </c>
      <c r="E1528" t="str">
        <f t="shared" si="546"/>
        <v>1</v>
      </c>
      <c r="F1528" t="str">
        <f t="shared" si="547"/>
        <v>COM</v>
      </c>
      <c r="G1528" t="str">
        <f>"JAL FARMACIA E DROGARIA LJ 1 (10137)"</f>
        <v>JAL FARMACIA E DROGARIA LJ 1 (10137)</v>
      </c>
      <c r="H1528" t="s">
        <v>391</v>
      </c>
      <c r="I1528" t="str">
        <f t="shared" si="548"/>
        <v>11/02/2026</v>
      </c>
      <c r="J1528" t="str">
        <f t="shared" si="549"/>
        <v>09/02/2026</v>
      </c>
      <c r="K1528">
        <v>46065</v>
      </c>
      <c r="N1528">
        <v>303</v>
      </c>
      <c r="O1528" t="s">
        <v>26</v>
      </c>
      <c r="Q1528">
        <v>426</v>
      </c>
      <c r="R1528" t="str">
        <f>"JAL FARMACIA E DROGARIA LJ 1 (10137)"</f>
        <v>JAL FARMACIA E DROGARIA LJ 1 (10137)</v>
      </c>
      <c r="S1528" t="s">
        <v>27</v>
      </c>
      <c r="T1528">
        <v>4292</v>
      </c>
      <c r="U1528">
        <v>3685</v>
      </c>
      <c r="V1528" t="s">
        <v>88</v>
      </c>
    </row>
    <row r="1529" spans="1:22">
      <c r="A1529" t="str">
        <f t="shared" si="543"/>
        <v>12/02/2026</v>
      </c>
      <c r="B1529" t="str">
        <f t="shared" si="544"/>
        <v>ENTRADA</v>
      </c>
      <c r="C1529" t="str">
        <f t="shared" si="545"/>
        <v>NFSE</v>
      </c>
      <c r="D1529" t="str">
        <f>"269"</f>
        <v>269</v>
      </c>
      <c r="E1529" t="str">
        <f t="shared" si="546"/>
        <v>1</v>
      </c>
      <c r="F1529" t="str">
        <f t="shared" si="547"/>
        <v>COM</v>
      </c>
      <c r="G1529" t="str">
        <f>"JAL FARMACIA E DROGARIA LJ 2 (10138)"</f>
        <v>JAL FARMACIA E DROGARIA LJ 2 (10138)</v>
      </c>
      <c r="H1529" t="str">
        <f>"Serv.Prest. 02/02/2026 a 08/02/2026 - RPS: 2191 - NFSe: 269"</f>
        <v>Serv.Prest. 02/02/2026 a 08/02/2026 - RPS: 2191 - NFSe: 269</v>
      </c>
      <c r="I1529" t="str">
        <f t="shared" si="548"/>
        <v>11/02/2026</v>
      </c>
      <c r="J1529" t="str">
        <f t="shared" si="549"/>
        <v>09/02/2026</v>
      </c>
      <c r="K1529" t="str">
        <f>("12/02/2026")</f>
        <v>12/02/2026</v>
      </c>
      <c r="L1529">
        <v>265.5</v>
      </c>
      <c r="M1529">
        <v>265.5</v>
      </c>
      <c r="N1529">
        <v>303</v>
      </c>
      <c r="O1529" t="str">
        <f>"RECEITAS COM ENTREGAS"</f>
        <v>RECEITAS COM ENTREGAS</v>
      </c>
      <c r="P1529">
        <v>265.5</v>
      </c>
      <c r="S1529" t="str">
        <f>"RECEITAS COM ENTREGAS (303)"</f>
        <v>RECEITAS COM ENTREGAS (303)</v>
      </c>
      <c r="T1529">
        <v>4293</v>
      </c>
      <c r="U1529">
        <v>3686</v>
      </c>
      <c r="V1529" t="s">
        <v>88</v>
      </c>
    </row>
    <row r="1530" spans="1:22">
      <c r="A1530" t="str">
        <f t="shared" si="543"/>
        <v>12/02/2026</v>
      </c>
      <c r="B1530" t="str">
        <f t="shared" si="544"/>
        <v>ENTRADA</v>
      </c>
      <c r="C1530" t="str">
        <f t="shared" si="545"/>
        <v>NFSE</v>
      </c>
      <c r="D1530" t="str">
        <f>"269"</f>
        <v>269</v>
      </c>
      <c r="E1530" t="str">
        <f t="shared" si="546"/>
        <v>1</v>
      </c>
      <c r="F1530" t="str">
        <f t="shared" si="547"/>
        <v>COM</v>
      </c>
      <c r="G1530" t="str">
        <f>"JAL FARMACIA E DROGARIA LJ 2 (10138)"</f>
        <v>JAL FARMACIA E DROGARIA LJ 2 (10138)</v>
      </c>
      <c r="H1530" t="s">
        <v>392</v>
      </c>
      <c r="I1530" t="str">
        <f t="shared" si="548"/>
        <v>11/02/2026</v>
      </c>
      <c r="J1530" t="str">
        <f t="shared" si="549"/>
        <v>09/02/2026</v>
      </c>
      <c r="K1530">
        <v>46065</v>
      </c>
      <c r="N1530">
        <v>303</v>
      </c>
      <c r="O1530" t="s">
        <v>26</v>
      </c>
      <c r="Q1530">
        <v>265.5</v>
      </c>
      <c r="R1530" t="str">
        <f>"JAL FARMACIA E DROGARIA LJ 2 (10138)"</f>
        <v>JAL FARMACIA E DROGARIA LJ 2 (10138)</v>
      </c>
      <c r="S1530" t="s">
        <v>27</v>
      </c>
      <c r="T1530">
        <v>4293</v>
      </c>
      <c r="U1530">
        <v>3686</v>
      </c>
      <c r="V1530" t="s">
        <v>88</v>
      </c>
    </row>
    <row r="1531" spans="1:22">
      <c r="A1531" t="str">
        <f t="shared" si="543"/>
        <v>12/02/2026</v>
      </c>
      <c r="B1531" t="str">
        <f t="shared" si="544"/>
        <v>ENTRADA</v>
      </c>
      <c r="C1531" t="str">
        <f t="shared" si="545"/>
        <v>NFSE</v>
      </c>
      <c r="D1531" t="str">
        <f>"270"</f>
        <v>270</v>
      </c>
      <c r="E1531" t="str">
        <f t="shared" si="546"/>
        <v>1</v>
      </c>
      <c r="F1531" t="str">
        <f t="shared" si="547"/>
        <v>COM</v>
      </c>
      <c r="G1531" t="str">
        <f>"LBL FARMACIA LTDA (10189)"</f>
        <v>LBL FARMACIA LTDA (10189)</v>
      </c>
      <c r="H1531" t="str">
        <f>"Serv.Prest. 02/02/2026 a 08/02/2026 - RPS: 2192 - NFSe: 270"</f>
        <v>Serv.Prest. 02/02/2026 a 08/02/2026 - RPS: 2192 - NFSe: 270</v>
      </c>
      <c r="I1531" t="str">
        <f t="shared" si="548"/>
        <v>11/02/2026</v>
      </c>
      <c r="J1531" t="str">
        <f t="shared" si="549"/>
        <v>09/02/2026</v>
      </c>
      <c r="K1531" t="str">
        <f>("12/02/2026")</f>
        <v>12/02/2026</v>
      </c>
      <c r="L1531">
        <v>150.15</v>
      </c>
      <c r="M1531">
        <v>150.15</v>
      </c>
      <c r="N1531">
        <v>303</v>
      </c>
      <c r="O1531" t="str">
        <f>"RECEITAS COM ENTREGAS"</f>
        <v>RECEITAS COM ENTREGAS</v>
      </c>
      <c r="P1531">
        <v>150.15</v>
      </c>
      <c r="S1531" t="str">
        <f>"RECEITAS COM ENTREGAS (303)"</f>
        <v>RECEITAS COM ENTREGAS (303)</v>
      </c>
      <c r="T1531">
        <v>4294</v>
      </c>
      <c r="U1531">
        <v>3687</v>
      </c>
      <c r="V1531" t="s">
        <v>88</v>
      </c>
    </row>
    <row r="1532" spans="1:22">
      <c r="A1532" t="str">
        <f t="shared" si="543"/>
        <v>12/02/2026</v>
      </c>
      <c r="B1532" t="str">
        <f t="shared" si="544"/>
        <v>ENTRADA</v>
      </c>
      <c r="C1532" t="str">
        <f t="shared" si="545"/>
        <v>NFSE</v>
      </c>
      <c r="D1532" t="str">
        <f>"270"</f>
        <v>270</v>
      </c>
      <c r="E1532" t="str">
        <f t="shared" si="546"/>
        <v>1</v>
      </c>
      <c r="F1532" t="str">
        <f t="shared" si="547"/>
        <v>COM</v>
      </c>
      <c r="G1532" t="str">
        <f>"LBL FARMACIA LTDA (10189)"</f>
        <v>LBL FARMACIA LTDA (10189)</v>
      </c>
      <c r="H1532" t="s">
        <v>393</v>
      </c>
      <c r="I1532" t="str">
        <f t="shared" si="548"/>
        <v>11/02/2026</v>
      </c>
      <c r="J1532" t="str">
        <f t="shared" si="549"/>
        <v>09/02/2026</v>
      </c>
      <c r="K1532">
        <v>46065</v>
      </c>
      <c r="N1532">
        <v>303</v>
      </c>
      <c r="O1532" t="s">
        <v>26</v>
      </c>
      <c r="Q1532">
        <v>150.15</v>
      </c>
      <c r="R1532" t="str">
        <f>"LBL FARMACIA LTDA (10189)"</f>
        <v>LBL FARMACIA LTDA (10189)</v>
      </c>
      <c r="S1532" t="s">
        <v>27</v>
      </c>
      <c r="T1532">
        <v>4294</v>
      </c>
      <c r="U1532">
        <v>3687</v>
      </c>
      <c r="V1532" t="s">
        <v>88</v>
      </c>
    </row>
    <row r="1533" spans="1:22">
      <c r="A1533" t="str">
        <f t="shared" si="543"/>
        <v>12/02/2026</v>
      </c>
      <c r="B1533" t="str">
        <f t="shared" si="544"/>
        <v>ENTRADA</v>
      </c>
      <c r="C1533" t="str">
        <f t="shared" si="545"/>
        <v>NFSE</v>
      </c>
      <c r="D1533" t="str">
        <f>"271"</f>
        <v>271</v>
      </c>
      <c r="E1533" t="str">
        <f t="shared" si="546"/>
        <v>1</v>
      </c>
      <c r="F1533" t="str">
        <f t="shared" si="547"/>
        <v>COM</v>
      </c>
      <c r="G1533" t="str">
        <f>"LBL FARMACIA LTDA FILIAL (10192)"</f>
        <v>LBL FARMACIA LTDA FILIAL (10192)</v>
      </c>
      <c r="H1533" t="str">
        <f>"Serv.Prest. 02/02/2026 a 08/02/2026 - RPS: 2193 - NFSe: 271"</f>
        <v>Serv.Prest. 02/02/2026 a 08/02/2026 - RPS: 2193 - NFSe: 271</v>
      </c>
      <c r="I1533" t="str">
        <f t="shared" si="548"/>
        <v>11/02/2026</v>
      </c>
      <c r="J1533" t="str">
        <f t="shared" si="549"/>
        <v>09/02/2026</v>
      </c>
      <c r="K1533" t="str">
        <f>("12/02/2026")</f>
        <v>12/02/2026</v>
      </c>
      <c r="L1533">
        <v>307.64999999999998</v>
      </c>
      <c r="M1533">
        <v>307.64999999999998</v>
      </c>
      <c r="N1533">
        <v>303</v>
      </c>
      <c r="O1533" t="str">
        <f>"RECEITAS COM ENTREGAS"</f>
        <v>RECEITAS COM ENTREGAS</v>
      </c>
      <c r="P1533">
        <v>307.64999999999998</v>
      </c>
      <c r="S1533" t="str">
        <f>"RECEITAS COM ENTREGAS (303)"</f>
        <v>RECEITAS COM ENTREGAS (303)</v>
      </c>
      <c r="T1533">
        <v>4295</v>
      </c>
      <c r="U1533">
        <v>3688</v>
      </c>
      <c r="V1533" t="s">
        <v>88</v>
      </c>
    </row>
    <row r="1534" spans="1:22">
      <c r="A1534" t="str">
        <f t="shared" si="543"/>
        <v>12/02/2026</v>
      </c>
      <c r="B1534" t="str">
        <f t="shared" si="544"/>
        <v>ENTRADA</v>
      </c>
      <c r="C1534" t="str">
        <f t="shared" si="545"/>
        <v>NFSE</v>
      </c>
      <c r="D1534" t="str">
        <f>"271"</f>
        <v>271</v>
      </c>
      <c r="E1534" t="str">
        <f t="shared" si="546"/>
        <v>1</v>
      </c>
      <c r="F1534" t="str">
        <f t="shared" si="547"/>
        <v>COM</v>
      </c>
      <c r="G1534" t="str">
        <f>"LBL FARMACIA LTDA FILIAL (10192)"</f>
        <v>LBL FARMACIA LTDA FILIAL (10192)</v>
      </c>
      <c r="H1534" t="s">
        <v>394</v>
      </c>
      <c r="I1534" t="str">
        <f t="shared" si="548"/>
        <v>11/02/2026</v>
      </c>
      <c r="J1534" t="str">
        <f t="shared" si="549"/>
        <v>09/02/2026</v>
      </c>
      <c r="K1534">
        <v>46065</v>
      </c>
      <c r="N1534">
        <v>303</v>
      </c>
      <c r="O1534" t="s">
        <v>26</v>
      </c>
      <c r="Q1534">
        <v>307.64999999999998</v>
      </c>
      <c r="R1534" t="str">
        <f>"LBL FARMACIA LTDA FILIAL (10192)"</f>
        <v>LBL FARMACIA LTDA FILIAL (10192)</v>
      </c>
      <c r="S1534" t="s">
        <v>27</v>
      </c>
      <c r="T1534">
        <v>4295</v>
      </c>
      <c r="U1534">
        <v>3688</v>
      </c>
      <c r="V1534" t="s">
        <v>88</v>
      </c>
    </row>
    <row r="1535" spans="1:22">
      <c r="A1535" t="str">
        <f t="shared" si="543"/>
        <v>12/02/2026</v>
      </c>
      <c r="B1535" t="str">
        <f t="shared" si="544"/>
        <v>ENTRADA</v>
      </c>
      <c r="C1535" t="str">
        <f t="shared" si="545"/>
        <v>NFSE</v>
      </c>
      <c r="D1535" t="str">
        <f>"272"</f>
        <v>272</v>
      </c>
      <c r="E1535" t="str">
        <f t="shared" si="546"/>
        <v>1</v>
      </c>
      <c r="F1535" t="str">
        <f t="shared" si="547"/>
        <v>COM</v>
      </c>
      <c r="G1535" t="str">
        <f>"FRAN FARMA (10124)"</f>
        <v>FRAN FARMA (10124)</v>
      </c>
      <c r="H1535" t="str">
        <f>"Serv.Prest. 02/02/2026 a 08/02/2026 - RPS: 2194 - NFSe: 272"</f>
        <v>Serv.Prest. 02/02/2026 a 08/02/2026 - RPS: 2194 - NFSe: 272</v>
      </c>
      <c r="I1535" t="str">
        <f t="shared" si="548"/>
        <v>11/02/2026</v>
      </c>
      <c r="J1535" t="str">
        <f t="shared" si="549"/>
        <v>09/02/2026</v>
      </c>
      <c r="K1535" t="str">
        <f>("12/02/2026")</f>
        <v>12/02/2026</v>
      </c>
      <c r="L1535">
        <v>160</v>
      </c>
      <c r="M1535">
        <v>160</v>
      </c>
      <c r="N1535">
        <v>303</v>
      </c>
      <c r="O1535" t="str">
        <f>"RECEITAS COM ENTREGAS"</f>
        <v>RECEITAS COM ENTREGAS</v>
      </c>
      <c r="P1535">
        <v>160</v>
      </c>
      <c r="S1535" t="str">
        <f>"RECEITAS COM ENTREGAS (303)"</f>
        <v>RECEITAS COM ENTREGAS (303)</v>
      </c>
      <c r="T1535">
        <v>4296</v>
      </c>
      <c r="U1535">
        <v>3689</v>
      </c>
      <c r="V1535" t="s">
        <v>88</v>
      </c>
    </row>
    <row r="1536" spans="1:22">
      <c r="A1536" t="str">
        <f t="shared" si="543"/>
        <v>12/02/2026</v>
      </c>
      <c r="B1536" t="str">
        <f t="shared" si="544"/>
        <v>ENTRADA</v>
      </c>
      <c r="C1536" t="str">
        <f t="shared" si="545"/>
        <v>NFSE</v>
      </c>
      <c r="D1536" t="str">
        <f>"272"</f>
        <v>272</v>
      </c>
      <c r="E1536" t="str">
        <f t="shared" si="546"/>
        <v>1</v>
      </c>
      <c r="F1536" t="str">
        <f t="shared" si="547"/>
        <v>COM</v>
      </c>
      <c r="G1536" t="str">
        <f>"FRAN FARMA (10124)"</f>
        <v>FRAN FARMA (10124)</v>
      </c>
      <c r="H1536" t="s">
        <v>395</v>
      </c>
      <c r="I1536" t="str">
        <f t="shared" si="548"/>
        <v>11/02/2026</v>
      </c>
      <c r="J1536" t="str">
        <f t="shared" si="549"/>
        <v>09/02/2026</v>
      </c>
      <c r="K1536">
        <v>46065</v>
      </c>
      <c r="N1536">
        <v>303</v>
      </c>
      <c r="O1536" t="s">
        <v>26</v>
      </c>
      <c r="Q1536">
        <v>160</v>
      </c>
      <c r="R1536" t="str">
        <f>"FRAN FARMA LJ 2 (10131)"</f>
        <v>FRAN FARMA LJ 2 (10131)</v>
      </c>
      <c r="S1536" t="s">
        <v>27</v>
      </c>
      <c r="T1536">
        <v>4296</v>
      </c>
      <c r="U1536">
        <v>3689</v>
      </c>
      <c r="V1536" t="s">
        <v>88</v>
      </c>
    </row>
    <row r="1537" spans="1:22">
      <c r="A1537" t="str">
        <f t="shared" si="543"/>
        <v>12/02/2026</v>
      </c>
      <c r="B1537" t="str">
        <f t="shared" si="544"/>
        <v>ENTRADA</v>
      </c>
      <c r="C1537" t="str">
        <f t="shared" si="545"/>
        <v>NFSE</v>
      </c>
      <c r="D1537" t="str">
        <f>"273"</f>
        <v>273</v>
      </c>
      <c r="E1537" t="str">
        <f t="shared" si="546"/>
        <v>1</v>
      </c>
      <c r="F1537" t="str">
        <f t="shared" si="547"/>
        <v>COM</v>
      </c>
      <c r="G1537" t="str">
        <f>"FARMACIA ECONOMIZE (10103)"</f>
        <v>FARMACIA ECONOMIZE (10103)</v>
      </c>
      <c r="H1537" t="str">
        <f>"Serv.Prest. 02/02/2026 a 08/02/2026 - RPS: 2195 - NFSe: 273"</f>
        <v>Serv.Prest. 02/02/2026 a 08/02/2026 - RPS: 2195 - NFSe: 273</v>
      </c>
      <c r="I1537" t="str">
        <f t="shared" si="548"/>
        <v>11/02/2026</v>
      </c>
      <c r="J1537" t="str">
        <f t="shared" si="549"/>
        <v>09/02/2026</v>
      </c>
      <c r="K1537" t="str">
        <f>("12/02/2026")</f>
        <v>12/02/2026</v>
      </c>
      <c r="L1537">
        <v>30.72</v>
      </c>
      <c r="M1537">
        <v>30.72</v>
      </c>
      <c r="N1537">
        <v>303</v>
      </c>
      <c r="O1537" t="str">
        <f>"RECEITAS COM ENTREGAS"</f>
        <v>RECEITAS COM ENTREGAS</v>
      </c>
      <c r="P1537">
        <v>30.72</v>
      </c>
      <c r="S1537" t="str">
        <f>"RECEITAS COM ENTREGAS (303)"</f>
        <v>RECEITAS COM ENTREGAS (303)</v>
      </c>
      <c r="T1537">
        <v>4297</v>
      </c>
      <c r="U1537">
        <v>3690</v>
      </c>
      <c r="V1537" t="s">
        <v>88</v>
      </c>
    </row>
    <row r="1538" spans="1:22">
      <c r="A1538" t="str">
        <f t="shared" si="543"/>
        <v>12/02/2026</v>
      </c>
      <c r="B1538" t="str">
        <f t="shared" si="544"/>
        <v>ENTRADA</v>
      </c>
      <c r="C1538" t="str">
        <f t="shared" si="545"/>
        <v>NFSE</v>
      </c>
      <c r="D1538" t="str">
        <f>"273"</f>
        <v>273</v>
      </c>
      <c r="E1538" t="str">
        <f t="shared" si="546"/>
        <v>1</v>
      </c>
      <c r="F1538" t="str">
        <f t="shared" si="547"/>
        <v>COM</v>
      </c>
      <c r="G1538" t="str">
        <f>"FARMACIA ECONOMIZE (10103)"</f>
        <v>FARMACIA ECONOMIZE (10103)</v>
      </c>
      <c r="H1538" t="s">
        <v>396</v>
      </c>
      <c r="I1538" t="str">
        <f t="shared" si="548"/>
        <v>11/02/2026</v>
      </c>
      <c r="J1538" t="str">
        <f t="shared" si="549"/>
        <v>09/02/2026</v>
      </c>
      <c r="K1538">
        <v>46065</v>
      </c>
      <c r="N1538">
        <v>303</v>
      </c>
      <c r="O1538" t="s">
        <v>26</v>
      </c>
      <c r="Q1538">
        <v>30.72</v>
      </c>
      <c r="R1538" t="str">
        <f>"FARMACIA ECONOMIZE (10103)"</f>
        <v>FARMACIA ECONOMIZE (10103)</v>
      </c>
      <c r="S1538" t="s">
        <v>27</v>
      </c>
      <c r="T1538">
        <v>4297</v>
      </c>
      <c r="U1538">
        <v>3690</v>
      </c>
      <c r="V1538" t="s">
        <v>88</v>
      </c>
    </row>
    <row r="1539" spans="1:22">
      <c r="A1539" t="str">
        <f t="shared" si="543"/>
        <v>12/02/2026</v>
      </c>
      <c r="B1539" t="str">
        <f t="shared" si="544"/>
        <v>ENTRADA</v>
      </c>
      <c r="C1539" t="str">
        <f t="shared" si="545"/>
        <v>NFSE</v>
      </c>
      <c r="D1539" t="str">
        <f>"274"</f>
        <v>274</v>
      </c>
      <c r="E1539" t="str">
        <f t="shared" si="546"/>
        <v>1</v>
      </c>
      <c r="F1539" t="str">
        <f t="shared" si="547"/>
        <v>COM</v>
      </c>
      <c r="G1539" t="str">
        <f>"ENTREFARMA (10164)"</f>
        <v>ENTREFARMA (10164)</v>
      </c>
      <c r="H1539" t="str">
        <f>"Serv.Prest. 02/02/2026 a 08/02/2026 - RPS: 2196 - NFSe: 274"</f>
        <v>Serv.Prest. 02/02/2026 a 08/02/2026 - RPS: 2196 - NFSe: 274</v>
      </c>
      <c r="I1539" t="str">
        <f t="shared" si="548"/>
        <v>11/02/2026</v>
      </c>
      <c r="J1539" t="str">
        <f t="shared" si="549"/>
        <v>09/02/2026</v>
      </c>
      <c r="K1539" t="str">
        <f>("12/02/2026")</f>
        <v>12/02/2026</v>
      </c>
      <c r="L1539">
        <v>1170.45</v>
      </c>
      <c r="M1539">
        <v>1170.45</v>
      </c>
      <c r="N1539">
        <v>303</v>
      </c>
      <c r="O1539" t="str">
        <f>"RECEITAS COM ENTREGAS"</f>
        <v>RECEITAS COM ENTREGAS</v>
      </c>
      <c r="P1539">
        <v>1170.45</v>
      </c>
      <c r="S1539" t="str">
        <f>"RECEITAS COM ENTREGAS (303)"</f>
        <v>RECEITAS COM ENTREGAS (303)</v>
      </c>
      <c r="T1539">
        <v>4298</v>
      </c>
      <c r="U1539">
        <v>3691</v>
      </c>
      <c r="V1539" t="s">
        <v>88</v>
      </c>
    </row>
    <row r="1540" spans="1:22">
      <c r="A1540" t="str">
        <f t="shared" si="543"/>
        <v>12/02/2026</v>
      </c>
      <c r="B1540" t="str">
        <f t="shared" si="544"/>
        <v>ENTRADA</v>
      </c>
      <c r="C1540" t="str">
        <f t="shared" si="545"/>
        <v>NFSE</v>
      </c>
      <c r="D1540" t="str">
        <f>"274"</f>
        <v>274</v>
      </c>
      <c r="E1540" t="str">
        <f t="shared" si="546"/>
        <v>1</v>
      </c>
      <c r="F1540" t="str">
        <f t="shared" si="547"/>
        <v>COM</v>
      </c>
      <c r="G1540" t="str">
        <f>"ENTREFARMA (10164)"</f>
        <v>ENTREFARMA (10164)</v>
      </c>
      <c r="H1540" t="s">
        <v>397</v>
      </c>
      <c r="I1540" t="str">
        <f t="shared" si="548"/>
        <v>11/02/2026</v>
      </c>
      <c r="J1540" t="str">
        <f t="shared" si="549"/>
        <v>09/02/2026</v>
      </c>
      <c r="K1540">
        <v>46065</v>
      </c>
      <c r="N1540">
        <v>303</v>
      </c>
      <c r="O1540" t="s">
        <v>26</v>
      </c>
      <c r="Q1540">
        <v>1170.45</v>
      </c>
      <c r="R1540" t="str">
        <f>"ENTREFARMA (10164)"</f>
        <v>ENTREFARMA (10164)</v>
      </c>
      <c r="S1540" t="s">
        <v>27</v>
      </c>
      <c r="T1540">
        <v>4298</v>
      </c>
      <c r="U1540">
        <v>3691</v>
      </c>
      <c r="V1540" t="s">
        <v>88</v>
      </c>
    </row>
    <row r="1541" spans="1:22">
      <c r="A1541" t="str">
        <f t="shared" si="543"/>
        <v>12/02/2026</v>
      </c>
      <c r="B1541" t="str">
        <f t="shared" si="544"/>
        <v>ENTRADA</v>
      </c>
      <c r="C1541" t="str">
        <f t="shared" si="545"/>
        <v>NFSE</v>
      </c>
      <c r="D1541" t="str">
        <f>"276"</f>
        <v>276</v>
      </c>
      <c r="E1541" t="str">
        <f t="shared" si="546"/>
        <v>1</v>
      </c>
      <c r="F1541" t="str">
        <f t="shared" si="547"/>
        <v>COM</v>
      </c>
      <c r="G1541" t="str">
        <f>"DROGARIA NIQUINHO (10257)"</f>
        <v>DROGARIA NIQUINHO (10257)</v>
      </c>
      <c r="H1541" t="str">
        <f>"Serv.Prest. 02/02/2026 a 08/02/2026 - RPS: 2198 - NFSe: 276"</f>
        <v>Serv.Prest. 02/02/2026 a 08/02/2026 - RPS: 2198 - NFSe: 276</v>
      </c>
      <c r="I1541" t="str">
        <f t="shared" si="548"/>
        <v>11/02/2026</v>
      </c>
      <c r="J1541" t="str">
        <f t="shared" si="549"/>
        <v>09/02/2026</v>
      </c>
      <c r="K1541" t="str">
        <f>("12/02/2026")</f>
        <v>12/02/2026</v>
      </c>
      <c r="L1541">
        <v>293.01</v>
      </c>
      <c r="M1541">
        <v>293.01</v>
      </c>
      <c r="N1541">
        <v>303</v>
      </c>
      <c r="O1541" t="str">
        <f>"RECEITAS COM ENTREGAS"</f>
        <v>RECEITAS COM ENTREGAS</v>
      </c>
      <c r="P1541">
        <v>293.01</v>
      </c>
      <c r="S1541" t="str">
        <f>"RECEITAS COM ENTREGAS (303)"</f>
        <v>RECEITAS COM ENTREGAS (303)</v>
      </c>
      <c r="T1541">
        <v>4299</v>
      </c>
      <c r="U1541">
        <v>3693</v>
      </c>
      <c r="V1541" t="s">
        <v>88</v>
      </c>
    </row>
    <row r="1542" spans="1:22">
      <c r="A1542" t="str">
        <f t="shared" si="543"/>
        <v>12/02/2026</v>
      </c>
      <c r="B1542" t="str">
        <f t="shared" si="544"/>
        <v>ENTRADA</v>
      </c>
      <c r="C1542" t="str">
        <f t="shared" si="545"/>
        <v>NFSE</v>
      </c>
      <c r="D1542" t="str">
        <f>"276"</f>
        <v>276</v>
      </c>
      <c r="E1542" t="str">
        <f t="shared" si="546"/>
        <v>1</v>
      </c>
      <c r="F1542" t="str">
        <f t="shared" si="547"/>
        <v>COM</v>
      </c>
      <c r="G1542" t="str">
        <f>"DROGARIA NIQUINHO (10257)"</f>
        <v>DROGARIA NIQUINHO (10257)</v>
      </c>
      <c r="H1542" t="s">
        <v>398</v>
      </c>
      <c r="I1542" t="str">
        <f t="shared" si="548"/>
        <v>11/02/2026</v>
      </c>
      <c r="J1542" t="str">
        <f t="shared" si="549"/>
        <v>09/02/2026</v>
      </c>
      <c r="K1542">
        <v>46065</v>
      </c>
      <c r="N1542">
        <v>303</v>
      </c>
      <c r="O1542" t="s">
        <v>26</v>
      </c>
      <c r="Q1542">
        <v>293.01</v>
      </c>
      <c r="R1542" t="str">
        <f>"DROGARIA NIQUINHO (10257)"</f>
        <v>DROGARIA NIQUINHO (10257)</v>
      </c>
      <c r="S1542" t="s">
        <v>27</v>
      </c>
      <c r="T1542">
        <v>4299</v>
      </c>
      <c r="U1542">
        <v>3693</v>
      </c>
      <c r="V1542" t="s">
        <v>88</v>
      </c>
    </row>
    <row r="1543" spans="1:22">
      <c r="A1543" t="str">
        <f t="shared" si="543"/>
        <v>12/02/2026</v>
      </c>
      <c r="B1543" t="str">
        <f t="shared" si="544"/>
        <v>ENTRADA</v>
      </c>
      <c r="C1543" t="str">
        <f t="shared" si="545"/>
        <v>NFSE</v>
      </c>
      <c r="D1543" t="str">
        <f>"278"</f>
        <v>278</v>
      </c>
      <c r="E1543" t="str">
        <f t="shared" si="546"/>
        <v>1</v>
      </c>
      <c r="F1543" t="str">
        <f t="shared" si="547"/>
        <v>COM</v>
      </c>
      <c r="G1543" t="str">
        <f>"DROGARIA MEDIC CENTER LTDA (10172)"</f>
        <v>DROGARIA MEDIC CENTER LTDA (10172)</v>
      </c>
      <c r="H1543" t="str">
        <f>"Serv.Prest. 02/02/2026 a 08/02/2026 - RPS: 2200 - NFSe: 278"</f>
        <v>Serv.Prest. 02/02/2026 a 08/02/2026 - RPS: 2200 - NFSe: 278</v>
      </c>
      <c r="I1543" t="str">
        <f t="shared" si="548"/>
        <v>11/02/2026</v>
      </c>
      <c r="J1543" t="str">
        <f t="shared" si="549"/>
        <v>09/02/2026</v>
      </c>
      <c r="K1543" t="str">
        <f>("12/02/2026")</f>
        <v>12/02/2026</v>
      </c>
      <c r="L1543">
        <v>174.6</v>
      </c>
      <c r="M1543">
        <v>174.6</v>
      </c>
      <c r="N1543">
        <v>303</v>
      </c>
      <c r="O1543" t="str">
        <f>"RECEITAS COM ENTREGAS"</f>
        <v>RECEITAS COM ENTREGAS</v>
      </c>
      <c r="P1543">
        <v>174.6</v>
      </c>
      <c r="S1543" t="str">
        <f>"RECEITAS COM ENTREGAS (303)"</f>
        <v>RECEITAS COM ENTREGAS (303)</v>
      </c>
      <c r="T1543">
        <v>4300</v>
      </c>
      <c r="U1543">
        <v>3695</v>
      </c>
      <c r="V1543" t="s">
        <v>88</v>
      </c>
    </row>
    <row r="1544" spans="1:22">
      <c r="A1544" t="str">
        <f t="shared" si="543"/>
        <v>12/02/2026</v>
      </c>
      <c r="B1544" t="str">
        <f t="shared" si="544"/>
        <v>ENTRADA</v>
      </c>
      <c r="C1544" t="str">
        <f t="shared" si="545"/>
        <v>NFSE</v>
      </c>
      <c r="D1544" t="str">
        <f>"278"</f>
        <v>278</v>
      </c>
      <c r="E1544" t="str">
        <f t="shared" si="546"/>
        <v>1</v>
      </c>
      <c r="F1544" t="str">
        <f t="shared" si="547"/>
        <v>COM</v>
      </c>
      <c r="G1544" t="str">
        <f>"DROGARIA MEDIC CENTER LTDA (10172)"</f>
        <v>DROGARIA MEDIC CENTER LTDA (10172)</v>
      </c>
      <c r="H1544" t="s">
        <v>399</v>
      </c>
      <c r="I1544" t="str">
        <f t="shared" si="548"/>
        <v>11/02/2026</v>
      </c>
      <c r="J1544" t="str">
        <f t="shared" si="549"/>
        <v>09/02/2026</v>
      </c>
      <c r="K1544">
        <v>46065</v>
      </c>
      <c r="N1544">
        <v>303</v>
      </c>
      <c r="O1544" t="s">
        <v>26</v>
      </c>
      <c r="Q1544">
        <v>174.6</v>
      </c>
      <c r="R1544" t="str">
        <f>"DROGARIA MEDIC CENTER LTDA (10172)"</f>
        <v>DROGARIA MEDIC CENTER LTDA (10172)</v>
      </c>
      <c r="S1544" t="s">
        <v>27</v>
      </c>
      <c r="T1544">
        <v>4300</v>
      </c>
      <c r="U1544">
        <v>3695</v>
      </c>
      <c r="V1544" t="s">
        <v>88</v>
      </c>
    </row>
    <row r="1545" spans="1:22">
      <c r="A1545" t="str">
        <f t="shared" si="543"/>
        <v>12/02/2026</v>
      </c>
      <c r="B1545" t="str">
        <f t="shared" si="544"/>
        <v>ENTRADA</v>
      </c>
      <c r="C1545" t="str">
        <f t="shared" si="545"/>
        <v>NFSE</v>
      </c>
      <c r="D1545" t="str">
        <f t="shared" ref="D1545:D1552" si="550">"280"</f>
        <v>280</v>
      </c>
      <c r="E1545" t="str">
        <f t="shared" si="546"/>
        <v>1</v>
      </c>
      <c r="F1545" t="str">
        <f t="shared" si="547"/>
        <v>COM</v>
      </c>
      <c r="G1545" t="str">
        <f t="shared" ref="G1545:G1552" si="551">"BEM TE FAZ 01 (10283)"</f>
        <v>BEM TE FAZ 01 (10283)</v>
      </c>
      <c r="H1545" t="str">
        <f>"Serv.Prest. 02/02/2026 a 08/02/2026 - RPS: 2202 - NFSe: 280"</f>
        <v>Serv.Prest. 02/02/2026 a 08/02/2026 - RPS: 2202 - NFSe: 280</v>
      </c>
      <c r="I1545" t="str">
        <f t="shared" si="548"/>
        <v>11/02/2026</v>
      </c>
      <c r="J1545" t="str">
        <f t="shared" si="549"/>
        <v>09/02/2026</v>
      </c>
      <c r="K1545" t="str">
        <f>("12/02/2026")</f>
        <v>12/02/2026</v>
      </c>
      <c r="L1545">
        <v>2744.5</v>
      </c>
      <c r="M1545">
        <v>2744.5</v>
      </c>
      <c r="N1545">
        <v>303</v>
      </c>
      <c r="O1545" t="str">
        <f>"RECEITAS COM ENTREGAS"</f>
        <v>RECEITAS COM ENTREGAS</v>
      </c>
      <c r="P1545">
        <v>2744.5</v>
      </c>
      <c r="S1545" t="str">
        <f>"RECEITAS COM ENTREGAS (303)"</f>
        <v>RECEITAS COM ENTREGAS (303)</v>
      </c>
      <c r="T1545">
        <v>4301</v>
      </c>
      <c r="U1545">
        <v>3697</v>
      </c>
      <c r="V1545" t="s">
        <v>88</v>
      </c>
    </row>
    <row r="1546" spans="1:22">
      <c r="A1546" t="str">
        <f t="shared" si="543"/>
        <v>12/02/2026</v>
      </c>
      <c r="B1546" t="str">
        <f t="shared" si="544"/>
        <v>ENTRADA</v>
      </c>
      <c r="C1546" t="str">
        <f t="shared" si="545"/>
        <v>NFSE</v>
      </c>
      <c r="D1546" t="str">
        <f t="shared" si="550"/>
        <v>280</v>
      </c>
      <c r="E1546" t="str">
        <f t="shared" si="546"/>
        <v>1</v>
      </c>
      <c r="F1546" t="str">
        <f t="shared" si="547"/>
        <v>COM</v>
      </c>
      <c r="G1546" t="str">
        <f t="shared" si="551"/>
        <v>BEM TE FAZ 01 (10283)</v>
      </c>
      <c r="H1546" t="s">
        <v>400</v>
      </c>
      <c r="I1546" t="str">
        <f t="shared" si="548"/>
        <v>11/02/2026</v>
      </c>
      <c r="J1546" t="str">
        <f t="shared" si="549"/>
        <v>09/02/2026</v>
      </c>
      <c r="K1546">
        <v>46065</v>
      </c>
      <c r="N1546">
        <v>303</v>
      </c>
      <c r="O1546" t="s">
        <v>26</v>
      </c>
      <c r="Q1546">
        <v>54.06</v>
      </c>
      <c r="R1546" t="str">
        <f>"BEM TE FAZ 01 (10283)"</f>
        <v>BEM TE FAZ 01 (10283)</v>
      </c>
      <c r="S1546" t="s">
        <v>27</v>
      </c>
      <c r="T1546">
        <v>4301</v>
      </c>
      <c r="U1546">
        <v>3697</v>
      </c>
      <c r="V1546" t="s">
        <v>88</v>
      </c>
    </row>
    <row r="1547" spans="1:22">
      <c r="A1547" t="str">
        <f t="shared" si="543"/>
        <v>12/02/2026</v>
      </c>
      <c r="B1547" t="str">
        <f t="shared" si="544"/>
        <v>ENTRADA</v>
      </c>
      <c r="C1547" t="str">
        <f t="shared" si="545"/>
        <v>NFSE</v>
      </c>
      <c r="D1547" t="str">
        <f t="shared" si="550"/>
        <v>280</v>
      </c>
      <c r="E1547" t="str">
        <f t="shared" si="546"/>
        <v>1</v>
      </c>
      <c r="F1547" t="str">
        <f t="shared" si="547"/>
        <v>COM</v>
      </c>
      <c r="G1547" t="str">
        <f t="shared" si="551"/>
        <v>BEM TE FAZ 01 (10283)</v>
      </c>
      <c r="H1547" t="s">
        <v>400</v>
      </c>
      <c r="I1547" t="str">
        <f t="shared" si="548"/>
        <v>11/02/2026</v>
      </c>
      <c r="J1547" t="str">
        <f t="shared" si="549"/>
        <v>09/02/2026</v>
      </c>
      <c r="K1547">
        <v>46065</v>
      </c>
      <c r="N1547">
        <v>303</v>
      </c>
      <c r="O1547" t="s">
        <v>26</v>
      </c>
      <c r="Q1547">
        <v>587.04999999999995</v>
      </c>
      <c r="R1547" t="str">
        <f>"BEM TE FAZ LOJA 6 (10284)"</f>
        <v>BEM TE FAZ LOJA 6 (10284)</v>
      </c>
      <c r="S1547" t="s">
        <v>27</v>
      </c>
      <c r="T1547">
        <v>4301</v>
      </c>
      <c r="U1547">
        <v>3697</v>
      </c>
      <c r="V1547" t="s">
        <v>88</v>
      </c>
    </row>
    <row r="1548" spans="1:22">
      <c r="A1548" t="str">
        <f t="shared" ref="A1548:A1569" si="552">("12/02/2026")</f>
        <v>12/02/2026</v>
      </c>
      <c r="B1548" t="str">
        <f t="shared" si="544"/>
        <v>ENTRADA</v>
      </c>
      <c r="C1548" t="str">
        <f t="shared" si="545"/>
        <v>NFSE</v>
      </c>
      <c r="D1548" t="str">
        <f t="shared" si="550"/>
        <v>280</v>
      </c>
      <c r="E1548" t="str">
        <f t="shared" si="546"/>
        <v>1</v>
      </c>
      <c r="F1548" t="str">
        <f t="shared" si="547"/>
        <v>COM</v>
      </c>
      <c r="G1548" t="str">
        <f t="shared" si="551"/>
        <v>BEM TE FAZ 01 (10283)</v>
      </c>
      <c r="H1548" t="s">
        <v>400</v>
      </c>
      <c r="I1548" t="str">
        <f t="shared" si="548"/>
        <v>11/02/2026</v>
      </c>
      <c r="J1548" t="str">
        <f t="shared" si="549"/>
        <v>09/02/2026</v>
      </c>
      <c r="K1548">
        <v>46065</v>
      </c>
      <c r="N1548">
        <v>303</v>
      </c>
      <c r="O1548" t="s">
        <v>26</v>
      </c>
      <c r="Q1548">
        <v>324.95</v>
      </c>
      <c r="R1548" t="str">
        <f>"BEM TE FAZ LOJA 7 (10285)"</f>
        <v>BEM TE FAZ LOJA 7 (10285)</v>
      </c>
      <c r="S1548" t="s">
        <v>27</v>
      </c>
      <c r="T1548">
        <v>4301</v>
      </c>
      <c r="U1548">
        <v>3697</v>
      </c>
      <c r="V1548" t="s">
        <v>88</v>
      </c>
    </row>
    <row r="1549" spans="1:22">
      <c r="A1549" t="str">
        <f t="shared" si="552"/>
        <v>12/02/2026</v>
      </c>
      <c r="B1549" t="str">
        <f t="shared" si="544"/>
        <v>ENTRADA</v>
      </c>
      <c r="C1549" t="str">
        <f t="shared" si="545"/>
        <v>NFSE</v>
      </c>
      <c r="D1549" t="str">
        <f t="shared" si="550"/>
        <v>280</v>
      </c>
      <c r="E1549" t="str">
        <f t="shared" si="546"/>
        <v>1</v>
      </c>
      <c r="F1549" t="str">
        <f t="shared" si="547"/>
        <v>COM</v>
      </c>
      <c r="G1549" t="str">
        <f t="shared" si="551"/>
        <v>BEM TE FAZ 01 (10283)</v>
      </c>
      <c r="H1549" t="s">
        <v>400</v>
      </c>
      <c r="I1549" t="str">
        <f t="shared" si="548"/>
        <v>11/02/2026</v>
      </c>
      <c r="J1549" t="str">
        <f t="shared" si="549"/>
        <v>09/02/2026</v>
      </c>
      <c r="K1549">
        <v>46065</v>
      </c>
      <c r="N1549">
        <v>303</v>
      </c>
      <c r="O1549" t="s">
        <v>26</v>
      </c>
      <c r="Q1549">
        <v>236.03</v>
      </c>
      <c r="R1549" t="str">
        <f>"BEM TE FAZ LOJA 9 (10286)"</f>
        <v>BEM TE FAZ LOJA 9 (10286)</v>
      </c>
      <c r="S1549" t="s">
        <v>27</v>
      </c>
      <c r="T1549">
        <v>4301</v>
      </c>
      <c r="U1549">
        <v>3697</v>
      </c>
      <c r="V1549" t="s">
        <v>88</v>
      </c>
    </row>
    <row r="1550" spans="1:22">
      <c r="A1550" t="str">
        <f t="shared" si="552"/>
        <v>12/02/2026</v>
      </c>
      <c r="B1550" t="str">
        <f t="shared" si="544"/>
        <v>ENTRADA</v>
      </c>
      <c r="C1550" t="str">
        <f t="shared" si="545"/>
        <v>NFSE</v>
      </c>
      <c r="D1550" t="str">
        <f t="shared" si="550"/>
        <v>280</v>
      </c>
      <c r="E1550" t="str">
        <f t="shared" si="546"/>
        <v>1</v>
      </c>
      <c r="F1550" t="str">
        <f t="shared" si="547"/>
        <v>COM</v>
      </c>
      <c r="G1550" t="str">
        <f t="shared" si="551"/>
        <v>BEM TE FAZ 01 (10283)</v>
      </c>
      <c r="H1550" t="s">
        <v>400</v>
      </c>
      <c r="I1550" t="str">
        <f t="shared" si="548"/>
        <v>11/02/2026</v>
      </c>
      <c r="J1550" t="str">
        <f t="shared" si="549"/>
        <v>09/02/2026</v>
      </c>
      <c r="K1550">
        <v>46065</v>
      </c>
      <c r="N1550">
        <v>303</v>
      </c>
      <c r="O1550" t="s">
        <v>26</v>
      </c>
      <c r="Q1550">
        <v>1534.45</v>
      </c>
      <c r="R1550" t="str">
        <f>"BEM TE FAZ LOJA 3 (10287)"</f>
        <v>BEM TE FAZ LOJA 3 (10287)</v>
      </c>
      <c r="S1550" t="s">
        <v>27</v>
      </c>
      <c r="T1550">
        <v>4301</v>
      </c>
      <c r="U1550">
        <v>3697</v>
      </c>
      <c r="V1550" t="s">
        <v>88</v>
      </c>
    </row>
    <row r="1551" spans="1:22">
      <c r="A1551" t="str">
        <f t="shared" si="552"/>
        <v>12/02/2026</v>
      </c>
      <c r="B1551" t="str">
        <f t="shared" si="544"/>
        <v>ENTRADA</v>
      </c>
      <c r="C1551" t="str">
        <f t="shared" si="545"/>
        <v>NFSE</v>
      </c>
      <c r="D1551" t="str">
        <f t="shared" si="550"/>
        <v>280</v>
      </c>
      <c r="E1551" t="str">
        <f t="shared" si="546"/>
        <v>1</v>
      </c>
      <c r="F1551" t="str">
        <f t="shared" si="547"/>
        <v>COM</v>
      </c>
      <c r="G1551" t="str">
        <f t="shared" si="551"/>
        <v>BEM TE FAZ 01 (10283)</v>
      </c>
      <c r="H1551" t="s">
        <v>400</v>
      </c>
      <c r="I1551" t="str">
        <f t="shared" si="548"/>
        <v>11/02/2026</v>
      </c>
      <c r="J1551" t="str">
        <f t="shared" si="549"/>
        <v>09/02/2026</v>
      </c>
      <c r="K1551">
        <v>46065</v>
      </c>
      <c r="N1551">
        <v>303</v>
      </c>
      <c r="O1551" t="s">
        <v>26</v>
      </c>
      <c r="Q1551">
        <v>7.96</v>
      </c>
      <c r="R1551" t="str">
        <f>"BEM TE FAZ 05 (10294)"</f>
        <v>BEM TE FAZ 05 (10294)</v>
      </c>
      <c r="S1551" t="s">
        <v>27</v>
      </c>
      <c r="T1551">
        <v>4301</v>
      </c>
      <c r="U1551">
        <v>3697</v>
      </c>
      <c r="V1551" t="s">
        <v>88</v>
      </c>
    </row>
    <row r="1552" spans="1:22">
      <c r="A1552" t="str">
        <f t="shared" si="552"/>
        <v>12/02/2026</v>
      </c>
      <c r="B1552" t="str">
        <f t="shared" si="544"/>
        <v>ENTRADA</v>
      </c>
      <c r="C1552" t="str">
        <f t="shared" si="545"/>
        <v>NFSE</v>
      </c>
      <c r="D1552" t="str">
        <f t="shared" si="550"/>
        <v>280</v>
      </c>
      <c r="E1552" t="str">
        <f t="shared" si="546"/>
        <v>1</v>
      </c>
      <c r="F1552" t="str">
        <f t="shared" si="547"/>
        <v>COM</v>
      </c>
      <c r="G1552" t="str">
        <f t="shared" si="551"/>
        <v>BEM TE FAZ 01 (10283)</v>
      </c>
      <c r="H1552" t="s">
        <v>400</v>
      </c>
      <c r="I1552" t="str">
        <f t="shared" si="548"/>
        <v>11/02/2026</v>
      </c>
      <c r="J1552" t="str">
        <f t="shared" si="549"/>
        <v>09/02/2026</v>
      </c>
      <c r="K1552">
        <v>46065</v>
      </c>
      <c r="N1552">
        <v>303</v>
      </c>
      <c r="O1552" t="s">
        <v>26</v>
      </c>
      <c r="Q1552">
        <v>0</v>
      </c>
      <c r="R1552" t="str">
        <f>"BEM TE FAZ LOJA 8 (10297)"</f>
        <v>BEM TE FAZ LOJA 8 (10297)</v>
      </c>
      <c r="S1552" t="s">
        <v>27</v>
      </c>
      <c r="T1552">
        <v>4301</v>
      </c>
      <c r="U1552">
        <v>3697</v>
      </c>
      <c r="V1552" t="s">
        <v>88</v>
      </c>
    </row>
    <row r="1553" spans="1:22">
      <c r="A1553" t="str">
        <f t="shared" si="552"/>
        <v>12/02/2026</v>
      </c>
      <c r="B1553" t="str">
        <f t="shared" si="544"/>
        <v>ENTRADA</v>
      </c>
      <c r="C1553" t="str">
        <f t="shared" si="545"/>
        <v>NFSE</v>
      </c>
      <c r="D1553" t="str">
        <f>"283"</f>
        <v>283</v>
      </c>
      <c r="E1553" t="str">
        <f t="shared" si="546"/>
        <v>1</v>
      </c>
      <c r="F1553" t="str">
        <f t="shared" si="547"/>
        <v>COM</v>
      </c>
      <c r="G1553" t="str">
        <f>"DROGARIA TOTAL JUNDIAI (10177)"</f>
        <v>DROGARIA TOTAL JUNDIAI (10177)</v>
      </c>
      <c r="H1553" t="str">
        <f>"Serv.Prest. 02/02/2026 a 08/02/2026 - RPS: 2205 - NFSe: 283"</f>
        <v>Serv.Prest. 02/02/2026 a 08/02/2026 - RPS: 2205 - NFSe: 283</v>
      </c>
      <c r="I1553" t="str">
        <f t="shared" si="548"/>
        <v>11/02/2026</v>
      </c>
      <c r="J1553" t="str">
        <f t="shared" si="549"/>
        <v>09/02/2026</v>
      </c>
      <c r="K1553" t="str">
        <f>("12/02/2026")</f>
        <v>12/02/2026</v>
      </c>
      <c r="L1553">
        <v>100.27</v>
      </c>
      <c r="M1553">
        <v>100.27</v>
      </c>
      <c r="N1553">
        <v>303</v>
      </c>
      <c r="O1553" t="str">
        <f>"RECEITAS COM ENTREGAS"</f>
        <v>RECEITAS COM ENTREGAS</v>
      </c>
      <c r="P1553">
        <v>100.27</v>
      </c>
      <c r="S1553" t="str">
        <f>"RECEITAS COM ENTREGAS (303)"</f>
        <v>RECEITAS COM ENTREGAS (303)</v>
      </c>
      <c r="T1553">
        <v>4302</v>
      </c>
      <c r="U1553">
        <v>3700</v>
      </c>
      <c r="V1553" t="s">
        <v>88</v>
      </c>
    </row>
    <row r="1554" spans="1:22">
      <c r="A1554" t="str">
        <f t="shared" si="552"/>
        <v>12/02/2026</v>
      </c>
      <c r="B1554" t="str">
        <f t="shared" si="544"/>
        <v>ENTRADA</v>
      </c>
      <c r="C1554" t="str">
        <f t="shared" si="545"/>
        <v>NFSE</v>
      </c>
      <c r="D1554" t="str">
        <f>"283"</f>
        <v>283</v>
      </c>
      <c r="E1554" t="str">
        <f t="shared" si="546"/>
        <v>1</v>
      </c>
      <c r="F1554" t="str">
        <f t="shared" si="547"/>
        <v>COM</v>
      </c>
      <c r="G1554" t="str">
        <f>"DROGARIA TOTAL JUNDIAI (10177)"</f>
        <v>DROGARIA TOTAL JUNDIAI (10177)</v>
      </c>
      <c r="H1554" t="s">
        <v>401</v>
      </c>
      <c r="I1554" t="str">
        <f t="shared" si="548"/>
        <v>11/02/2026</v>
      </c>
      <c r="J1554" t="str">
        <f t="shared" si="549"/>
        <v>09/02/2026</v>
      </c>
      <c r="K1554">
        <v>46065</v>
      </c>
      <c r="N1554">
        <v>303</v>
      </c>
      <c r="O1554" t="s">
        <v>26</v>
      </c>
      <c r="Q1554">
        <v>100.27</v>
      </c>
      <c r="R1554" t="str">
        <f>"DROGARIA TOTAL JUNDIAI (10177)"</f>
        <v>DROGARIA TOTAL JUNDIAI (10177)</v>
      </c>
      <c r="S1554" t="s">
        <v>27</v>
      </c>
      <c r="T1554">
        <v>4302</v>
      </c>
      <c r="U1554">
        <v>3700</v>
      </c>
      <c r="V1554" t="s">
        <v>88</v>
      </c>
    </row>
    <row r="1555" spans="1:22">
      <c r="A1555" t="str">
        <f t="shared" si="552"/>
        <v>12/02/2026</v>
      </c>
      <c r="B1555" t="str">
        <f t="shared" si="544"/>
        <v>ENTRADA</v>
      </c>
      <c r="C1555" t="str">
        <f t="shared" si="545"/>
        <v>NFSE</v>
      </c>
      <c r="D1555" t="str">
        <f>"284"</f>
        <v>284</v>
      </c>
      <c r="E1555" t="str">
        <f t="shared" si="546"/>
        <v>1</v>
      </c>
      <c r="F1555" t="str">
        <f t="shared" si="547"/>
        <v>COM</v>
      </c>
      <c r="G1555" t="str">
        <f>"DROGARIA BEM ESTAR (10193)"</f>
        <v>DROGARIA BEM ESTAR (10193)</v>
      </c>
      <c r="H1555" t="str">
        <f>"Serv.Prest. 02/02/2026 a 08/02/2026 - RPS: 2206 - NFSe: 284"</f>
        <v>Serv.Prest. 02/02/2026 a 08/02/2026 - RPS: 2206 - NFSe: 284</v>
      </c>
      <c r="I1555" t="str">
        <f t="shared" si="548"/>
        <v>11/02/2026</v>
      </c>
      <c r="J1555" t="str">
        <f t="shared" si="549"/>
        <v>09/02/2026</v>
      </c>
      <c r="K1555" t="str">
        <f>("12/02/2026")</f>
        <v>12/02/2026</v>
      </c>
      <c r="L1555">
        <v>209.1</v>
      </c>
      <c r="M1555">
        <v>209.1</v>
      </c>
      <c r="N1555">
        <v>303</v>
      </c>
      <c r="O1555" t="str">
        <f>"RECEITAS COM ENTREGAS"</f>
        <v>RECEITAS COM ENTREGAS</v>
      </c>
      <c r="P1555">
        <v>209.1</v>
      </c>
      <c r="S1555" t="str">
        <f>"RECEITAS COM ENTREGAS (303)"</f>
        <v>RECEITAS COM ENTREGAS (303)</v>
      </c>
      <c r="T1555">
        <v>4303</v>
      </c>
      <c r="U1555">
        <v>3701</v>
      </c>
      <c r="V1555" t="s">
        <v>88</v>
      </c>
    </row>
    <row r="1556" spans="1:22">
      <c r="A1556" t="str">
        <f t="shared" si="552"/>
        <v>12/02/2026</v>
      </c>
      <c r="B1556" t="str">
        <f t="shared" si="544"/>
        <v>ENTRADA</v>
      </c>
      <c r="C1556" t="str">
        <f t="shared" si="545"/>
        <v>NFSE</v>
      </c>
      <c r="D1556" t="str">
        <f>"284"</f>
        <v>284</v>
      </c>
      <c r="E1556" t="str">
        <f t="shared" si="546"/>
        <v>1</v>
      </c>
      <c r="F1556" t="str">
        <f t="shared" si="547"/>
        <v>COM</v>
      </c>
      <c r="G1556" t="str">
        <f>"DROGARIA BEM ESTAR (10193)"</f>
        <v>DROGARIA BEM ESTAR (10193)</v>
      </c>
      <c r="H1556" t="s">
        <v>402</v>
      </c>
      <c r="I1556" t="str">
        <f t="shared" si="548"/>
        <v>11/02/2026</v>
      </c>
      <c r="J1556" t="str">
        <f t="shared" si="549"/>
        <v>09/02/2026</v>
      </c>
      <c r="K1556">
        <v>46065</v>
      </c>
      <c r="N1556">
        <v>303</v>
      </c>
      <c r="O1556" t="s">
        <v>26</v>
      </c>
      <c r="Q1556">
        <v>209.1</v>
      </c>
      <c r="R1556" t="str">
        <f>"DROGARIA BEM ESTAR (10193)"</f>
        <v>DROGARIA BEM ESTAR (10193)</v>
      </c>
      <c r="S1556" t="s">
        <v>27</v>
      </c>
      <c r="T1556">
        <v>4303</v>
      </c>
      <c r="U1556">
        <v>3701</v>
      </c>
      <c r="V1556" t="s">
        <v>88</v>
      </c>
    </row>
    <row r="1557" spans="1:22">
      <c r="A1557" t="str">
        <f t="shared" si="552"/>
        <v>12/02/2026</v>
      </c>
      <c r="B1557" t="str">
        <f t="shared" si="544"/>
        <v>ENTRADA</v>
      </c>
      <c r="C1557" t="str">
        <f t="shared" si="545"/>
        <v>NFSE</v>
      </c>
      <c r="D1557" t="str">
        <f>"290"</f>
        <v>290</v>
      </c>
      <c r="E1557" t="str">
        <f t="shared" si="546"/>
        <v>1</v>
      </c>
      <c r="F1557" t="str">
        <f t="shared" si="547"/>
        <v>COM</v>
      </c>
      <c r="G1557" t="str">
        <f>"DROGA ELIDA (10121)"</f>
        <v>DROGA ELIDA (10121)</v>
      </c>
      <c r="H1557" t="str">
        <f>"Serv.Prest. 02/02/2026 a 08/02/2026 - RPS: 2212 - NFSe: 290"</f>
        <v>Serv.Prest. 02/02/2026 a 08/02/2026 - RPS: 2212 - NFSe: 290</v>
      </c>
      <c r="I1557" t="str">
        <f t="shared" si="548"/>
        <v>11/02/2026</v>
      </c>
      <c r="J1557" t="str">
        <f t="shared" si="549"/>
        <v>09/02/2026</v>
      </c>
      <c r="K1557" t="str">
        <f>("12/02/2026")</f>
        <v>12/02/2026</v>
      </c>
      <c r="L1557">
        <v>328.5</v>
      </c>
      <c r="M1557">
        <v>328.5</v>
      </c>
      <c r="N1557">
        <v>303</v>
      </c>
      <c r="O1557" t="str">
        <f>"RECEITAS COM ENTREGAS"</f>
        <v>RECEITAS COM ENTREGAS</v>
      </c>
      <c r="P1557">
        <v>328.5</v>
      </c>
      <c r="S1557" t="str">
        <f>"RECEITAS COM ENTREGAS (303)"</f>
        <v>RECEITAS COM ENTREGAS (303)</v>
      </c>
      <c r="T1557">
        <v>4304</v>
      </c>
      <c r="U1557">
        <v>3707</v>
      </c>
      <c r="V1557" t="s">
        <v>88</v>
      </c>
    </row>
    <row r="1558" spans="1:22">
      <c r="A1558" t="str">
        <f t="shared" si="552"/>
        <v>12/02/2026</v>
      </c>
      <c r="B1558" t="str">
        <f t="shared" si="544"/>
        <v>ENTRADA</v>
      </c>
      <c r="C1558" t="str">
        <f t="shared" si="545"/>
        <v>NFSE</v>
      </c>
      <c r="D1558" t="str">
        <f>"290"</f>
        <v>290</v>
      </c>
      <c r="E1558" t="str">
        <f t="shared" si="546"/>
        <v>1</v>
      </c>
      <c r="F1558" t="str">
        <f t="shared" si="547"/>
        <v>COM</v>
      </c>
      <c r="G1558" t="str">
        <f>"DROGA ELIDA (10121)"</f>
        <v>DROGA ELIDA (10121)</v>
      </c>
      <c r="H1558" t="s">
        <v>403</v>
      </c>
      <c r="I1558" t="str">
        <f t="shared" si="548"/>
        <v>11/02/2026</v>
      </c>
      <c r="J1558" t="str">
        <f t="shared" si="549"/>
        <v>09/02/2026</v>
      </c>
      <c r="K1558">
        <v>46065</v>
      </c>
      <c r="N1558">
        <v>303</v>
      </c>
      <c r="O1558" t="s">
        <v>26</v>
      </c>
      <c r="Q1558">
        <v>328.5</v>
      </c>
      <c r="R1558" t="str">
        <f>"DROGA ELIDA (10121)"</f>
        <v>DROGA ELIDA (10121)</v>
      </c>
      <c r="S1558" t="s">
        <v>27</v>
      </c>
      <c r="T1558">
        <v>4304</v>
      </c>
      <c r="U1558">
        <v>3707</v>
      </c>
      <c r="V1558" t="s">
        <v>88</v>
      </c>
    </row>
    <row r="1559" spans="1:22">
      <c r="A1559" t="str">
        <f t="shared" si="552"/>
        <v>12/02/2026</v>
      </c>
      <c r="B1559" t="str">
        <f>"SAÍDA"</f>
        <v>SAÍDA</v>
      </c>
      <c r="C1559" t="str">
        <f>"TRANSFERENCIA"</f>
        <v>TRANSFERENCIA</v>
      </c>
      <c r="D1559" t="str">
        <f>""</f>
        <v/>
      </c>
      <c r="F1559" t="str">
        <f>"TRF"</f>
        <v>TRF</v>
      </c>
      <c r="G1559" t="str">
        <f>""</f>
        <v/>
      </c>
      <c r="H1559" t="str">
        <f>"TRANSFERENCIA PARA COOPERATIVA APOIO DE CAIXA (102-&gt;120)"</f>
        <v>TRANSFERENCIA PARA COOPERATIVA APOIO DE CAIXA (102-&gt;120)</v>
      </c>
      <c r="I1559" t="str">
        <f t="shared" ref="I1559:K1561" si="553">("12/02/2026")</f>
        <v>12/02/2026</v>
      </c>
      <c r="J1559" t="str">
        <f t="shared" si="553"/>
        <v>12/02/2026</v>
      </c>
      <c r="K1559" t="str">
        <f t="shared" si="553"/>
        <v>12/02/2026</v>
      </c>
      <c r="N1559">
        <v>102</v>
      </c>
      <c r="O1559" t="str">
        <f>"BANCO CORA"</f>
        <v>BANCO CORA</v>
      </c>
      <c r="P1559">
        <v>11830</v>
      </c>
      <c r="S1559" t="str">
        <f>"BANCO CORA (102)"</f>
        <v>BANCO CORA (102)</v>
      </c>
      <c r="T1559">
        <v>4357</v>
      </c>
      <c r="U1559">
        <v>0</v>
      </c>
      <c r="V1559" t="s">
        <v>22</v>
      </c>
    </row>
    <row r="1560" spans="1:22">
      <c r="A1560" t="str">
        <f t="shared" si="552"/>
        <v>12/02/2026</v>
      </c>
      <c r="B1560" t="str">
        <f>"ENTRADA"</f>
        <v>ENTRADA</v>
      </c>
      <c r="C1560" t="str">
        <f>"TRANSFERENCIA"</f>
        <v>TRANSFERENCIA</v>
      </c>
      <c r="D1560" t="str">
        <f>""</f>
        <v/>
      </c>
      <c r="F1560" t="str">
        <f>"TRF"</f>
        <v>TRF</v>
      </c>
      <c r="G1560" t="str">
        <f>""</f>
        <v/>
      </c>
      <c r="H1560" t="str">
        <f>"TRANSFERENCIA PARA COOPERATIVA APOIO DE CAIXA (102-&gt;120)"</f>
        <v>TRANSFERENCIA PARA COOPERATIVA APOIO DE CAIXA (102-&gt;120)</v>
      </c>
      <c r="I1560" t="str">
        <f t="shared" si="553"/>
        <v>12/02/2026</v>
      </c>
      <c r="J1560" t="str">
        <f t="shared" si="553"/>
        <v>12/02/2026</v>
      </c>
      <c r="K1560" t="str">
        <f t="shared" si="553"/>
        <v>12/02/2026</v>
      </c>
      <c r="N1560">
        <v>120</v>
      </c>
      <c r="O1560" t="str">
        <f>"CAIXA - COOPERATIVA"</f>
        <v>CAIXA - COOPERATIVA</v>
      </c>
      <c r="S1560" t="str">
        <f>"CAIXA - COOPERATIVA (120)"</f>
        <v>CAIXA - COOPERATIVA (120)</v>
      </c>
      <c r="T1560">
        <v>4357</v>
      </c>
      <c r="U1560">
        <v>0</v>
      </c>
      <c r="V1560" t="s">
        <v>56</v>
      </c>
    </row>
    <row r="1561" spans="1:22">
      <c r="A1561" t="str">
        <f t="shared" si="552"/>
        <v>12/02/2026</v>
      </c>
      <c r="B1561" t="str">
        <f>"SAÍDA"</f>
        <v>SAÍDA</v>
      </c>
      <c r="C1561" t="str">
        <f>"PIX"</f>
        <v>PIX</v>
      </c>
      <c r="D1561" t="str">
        <f>"1202"</f>
        <v>1202</v>
      </c>
      <c r="E1561" t="str">
        <f>"26"</f>
        <v>26</v>
      </c>
      <c r="F1561" t="str">
        <f t="shared" ref="F1561:F1575" si="554">"COM"</f>
        <v>COM</v>
      </c>
      <c r="G1561" t="str">
        <f>"MARCELO REZENDE ARANTES (20014)"</f>
        <v>MARCELO REZENDE ARANTES (20014)</v>
      </c>
      <c r="H1561" t="str">
        <f>"DISTRIBUIÇÃO DE LUCROS"</f>
        <v>DISTRIBUIÇÃO DE LUCROS</v>
      </c>
      <c r="I1561" t="str">
        <f t="shared" si="553"/>
        <v>12/02/2026</v>
      </c>
      <c r="J1561" t="str">
        <f t="shared" si="553"/>
        <v>12/02/2026</v>
      </c>
      <c r="K1561" t="str">
        <f t="shared" si="553"/>
        <v>12/02/2026</v>
      </c>
      <c r="L1561">
        <v>5000</v>
      </c>
      <c r="M1561">
        <v>5000</v>
      </c>
      <c r="N1561">
        <v>125</v>
      </c>
      <c r="O1561" t="str">
        <f>"DISTRIBUIÇÃO DE LUCRO"</f>
        <v>DISTRIBUIÇÃO DE LUCRO</v>
      </c>
      <c r="P1561">
        <v>5000</v>
      </c>
      <c r="S1561" t="str">
        <f>"BANCO CORA (102)"</f>
        <v>BANCO CORA (102)</v>
      </c>
      <c r="T1561">
        <v>4358</v>
      </c>
      <c r="U1561">
        <v>3845</v>
      </c>
      <c r="V1561" t="s">
        <v>22</v>
      </c>
    </row>
    <row r="1562" spans="1:22">
      <c r="A1562" t="str">
        <f t="shared" si="552"/>
        <v>12/02/2026</v>
      </c>
      <c r="B1562" t="str">
        <f>"SAÍDA"</f>
        <v>SAÍDA</v>
      </c>
      <c r="C1562" t="str">
        <f>"PIX"</f>
        <v>PIX</v>
      </c>
      <c r="D1562" t="str">
        <f>"1202"</f>
        <v>1202</v>
      </c>
      <c r="E1562" t="str">
        <f>"26"</f>
        <v>26</v>
      </c>
      <c r="F1562" t="str">
        <f t="shared" si="554"/>
        <v>COM</v>
      </c>
      <c r="G1562" t="str">
        <f>"MARCELO REZENDE ARANTES (20014)"</f>
        <v>MARCELO REZENDE ARANTES (20014)</v>
      </c>
      <c r="H1562" t="s">
        <v>127</v>
      </c>
      <c r="I1562" t="str">
        <f>("12/02/2026")</f>
        <v>12/02/2026</v>
      </c>
      <c r="J1562" t="str">
        <f>("12/02/2026")</f>
        <v>12/02/2026</v>
      </c>
      <c r="K1562">
        <v>46065</v>
      </c>
      <c r="N1562">
        <v>125</v>
      </c>
      <c r="O1562" t="s">
        <v>128</v>
      </c>
      <c r="Q1562">
        <v>5000</v>
      </c>
      <c r="R1562" t="str">
        <f>"MARCELO REZENDE ARANTES (20014)"</f>
        <v>MARCELO REZENDE ARANTES (20014)</v>
      </c>
      <c r="S1562" t="s">
        <v>22</v>
      </c>
      <c r="T1562">
        <v>4358</v>
      </c>
      <c r="U1562">
        <v>3845</v>
      </c>
      <c r="V1562" t="s">
        <v>22</v>
      </c>
    </row>
    <row r="1563" spans="1:22">
      <c r="A1563" t="str">
        <f t="shared" si="552"/>
        <v>12/02/2026</v>
      </c>
      <c r="B1563" t="str">
        <f t="shared" ref="B1563:B1575" si="555">"ENTRADA"</f>
        <v>ENTRADA</v>
      </c>
      <c r="C1563" t="str">
        <f t="shared" ref="C1563:C1575" si="556">"NFSE"</f>
        <v>NFSE</v>
      </c>
      <c r="D1563" t="str">
        <f t="shared" ref="D1563:D1569" si="557">"218"</f>
        <v>218</v>
      </c>
      <c r="E1563" t="str">
        <f t="shared" ref="E1563:E1575" si="558">"1"</f>
        <v>1</v>
      </c>
      <c r="F1563" t="str">
        <f t="shared" si="554"/>
        <v>COM</v>
      </c>
      <c r="G1563" t="str">
        <f t="shared" ref="G1563:G1569" si="559">"BEM TE FAZ 01 (10283)"</f>
        <v>BEM TE FAZ 01 (10283)</v>
      </c>
      <c r="H1563" t="str">
        <f>"Serv.Prest. 26/01/2026 a 01/02/2026 - RPS: 2142 - NFSe: 218"</f>
        <v>Serv.Prest. 26/01/2026 a 01/02/2026 - RPS: 2142 - NFSe: 218</v>
      </c>
      <c r="I1563" t="str">
        <f t="shared" ref="I1563:I1569" si="560">("09/02/2026")</f>
        <v>09/02/2026</v>
      </c>
      <c r="J1563" t="str">
        <f t="shared" ref="J1563:J1569" si="561">("02/02/2026")</f>
        <v>02/02/2026</v>
      </c>
      <c r="K1563" t="str">
        <f>("12/02/2026")</f>
        <v>12/02/2026</v>
      </c>
      <c r="L1563">
        <v>2305</v>
      </c>
      <c r="M1563">
        <v>2305</v>
      </c>
      <c r="N1563">
        <v>303</v>
      </c>
      <c r="O1563" t="str">
        <f>"RECEITAS COM ENTREGAS"</f>
        <v>RECEITAS COM ENTREGAS</v>
      </c>
      <c r="P1563">
        <v>2305</v>
      </c>
      <c r="S1563" t="str">
        <f>"RECEITAS COM ENTREGAS (303)"</f>
        <v>RECEITAS COM ENTREGAS (303)</v>
      </c>
      <c r="T1563">
        <v>4359</v>
      </c>
      <c r="U1563">
        <v>3622</v>
      </c>
      <c r="V1563" t="s">
        <v>22</v>
      </c>
    </row>
    <row r="1564" spans="1:22">
      <c r="A1564" t="str">
        <f t="shared" si="552"/>
        <v>12/02/2026</v>
      </c>
      <c r="B1564" t="str">
        <f t="shared" si="555"/>
        <v>ENTRADA</v>
      </c>
      <c r="C1564" t="str">
        <f t="shared" si="556"/>
        <v>NFSE</v>
      </c>
      <c r="D1564" t="str">
        <f t="shared" si="557"/>
        <v>218</v>
      </c>
      <c r="E1564" t="str">
        <f t="shared" si="558"/>
        <v>1</v>
      </c>
      <c r="F1564" t="str">
        <f t="shared" si="554"/>
        <v>COM</v>
      </c>
      <c r="G1564" t="str">
        <f t="shared" si="559"/>
        <v>BEM TE FAZ 01 (10283)</v>
      </c>
      <c r="H1564" t="s">
        <v>404</v>
      </c>
      <c r="I1564" t="str">
        <f t="shared" si="560"/>
        <v>09/02/2026</v>
      </c>
      <c r="J1564" t="str">
        <f t="shared" si="561"/>
        <v>02/02/2026</v>
      </c>
      <c r="K1564">
        <v>46065</v>
      </c>
      <c r="N1564">
        <v>303</v>
      </c>
      <c r="O1564" t="s">
        <v>26</v>
      </c>
      <c r="Q1564">
        <v>29.95</v>
      </c>
      <c r="R1564" t="str">
        <f>"BEM TE FAZ 01 (10283)"</f>
        <v>BEM TE FAZ 01 (10283)</v>
      </c>
      <c r="S1564" t="s">
        <v>27</v>
      </c>
      <c r="T1564">
        <v>4359</v>
      </c>
      <c r="U1564">
        <v>3622</v>
      </c>
      <c r="V1564" t="s">
        <v>22</v>
      </c>
    </row>
    <row r="1565" spans="1:22">
      <c r="A1565" t="str">
        <f t="shared" si="552"/>
        <v>12/02/2026</v>
      </c>
      <c r="B1565" t="str">
        <f t="shared" si="555"/>
        <v>ENTRADA</v>
      </c>
      <c r="C1565" t="str">
        <f t="shared" si="556"/>
        <v>NFSE</v>
      </c>
      <c r="D1565" t="str">
        <f t="shared" si="557"/>
        <v>218</v>
      </c>
      <c r="E1565" t="str">
        <f t="shared" si="558"/>
        <v>1</v>
      </c>
      <c r="F1565" t="str">
        <f t="shared" si="554"/>
        <v>COM</v>
      </c>
      <c r="G1565" t="str">
        <f t="shared" si="559"/>
        <v>BEM TE FAZ 01 (10283)</v>
      </c>
      <c r="H1565" t="s">
        <v>404</v>
      </c>
      <c r="I1565" t="str">
        <f t="shared" si="560"/>
        <v>09/02/2026</v>
      </c>
      <c r="J1565" t="str">
        <f t="shared" si="561"/>
        <v>02/02/2026</v>
      </c>
      <c r="K1565">
        <v>46065</v>
      </c>
      <c r="N1565">
        <v>303</v>
      </c>
      <c r="O1565" t="s">
        <v>26</v>
      </c>
      <c r="Q1565">
        <v>556.89</v>
      </c>
      <c r="R1565" t="str">
        <f>"BEM TE FAZ LOJA 6 (10284)"</f>
        <v>BEM TE FAZ LOJA 6 (10284)</v>
      </c>
      <c r="S1565" t="s">
        <v>27</v>
      </c>
      <c r="T1565">
        <v>4359</v>
      </c>
      <c r="U1565">
        <v>3622</v>
      </c>
      <c r="V1565" t="s">
        <v>22</v>
      </c>
    </row>
    <row r="1566" spans="1:22">
      <c r="A1566" t="str">
        <f t="shared" si="552"/>
        <v>12/02/2026</v>
      </c>
      <c r="B1566" t="str">
        <f t="shared" si="555"/>
        <v>ENTRADA</v>
      </c>
      <c r="C1566" t="str">
        <f t="shared" si="556"/>
        <v>NFSE</v>
      </c>
      <c r="D1566" t="str">
        <f t="shared" si="557"/>
        <v>218</v>
      </c>
      <c r="E1566" t="str">
        <f t="shared" si="558"/>
        <v>1</v>
      </c>
      <c r="F1566" t="str">
        <f t="shared" si="554"/>
        <v>COM</v>
      </c>
      <c r="G1566" t="str">
        <f t="shared" si="559"/>
        <v>BEM TE FAZ 01 (10283)</v>
      </c>
      <c r="H1566" t="s">
        <v>404</v>
      </c>
      <c r="I1566" t="str">
        <f t="shared" si="560"/>
        <v>09/02/2026</v>
      </c>
      <c r="J1566" t="str">
        <f t="shared" si="561"/>
        <v>02/02/2026</v>
      </c>
      <c r="K1566">
        <v>46065</v>
      </c>
      <c r="N1566">
        <v>303</v>
      </c>
      <c r="O1566" t="s">
        <v>26</v>
      </c>
      <c r="Q1566">
        <v>408.91</v>
      </c>
      <c r="R1566" t="str">
        <f>"BEM TE FAZ LOJA 7 (10285)"</f>
        <v>BEM TE FAZ LOJA 7 (10285)</v>
      </c>
      <c r="S1566" t="s">
        <v>27</v>
      </c>
      <c r="T1566">
        <v>4359</v>
      </c>
      <c r="U1566">
        <v>3622</v>
      </c>
      <c r="V1566" t="s">
        <v>22</v>
      </c>
    </row>
    <row r="1567" spans="1:22">
      <c r="A1567" t="str">
        <f t="shared" si="552"/>
        <v>12/02/2026</v>
      </c>
      <c r="B1567" t="str">
        <f t="shared" si="555"/>
        <v>ENTRADA</v>
      </c>
      <c r="C1567" t="str">
        <f t="shared" si="556"/>
        <v>NFSE</v>
      </c>
      <c r="D1567" t="str">
        <f t="shared" si="557"/>
        <v>218</v>
      </c>
      <c r="E1567" t="str">
        <f t="shared" si="558"/>
        <v>1</v>
      </c>
      <c r="F1567" t="str">
        <f t="shared" si="554"/>
        <v>COM</v>
      </c>
      <c r="G1567" t="str">
        <f t="shared" si="559"/>
        <v>BEM TE FAZ 01 (10283)</v>
      </c>
      <c r="H1567" t="s">
        <v>404</v>
      </c>
      <c r="I1567" t="str">
        <f t="shared" si="560"/>
        <v>09/02/2026</v>
      </c>
      <c r="J1567" t="str">
        <f t="shared" si="561"/>
        <v>02/02/2026</v>
      </c>
      <c r="K1567">
        <v>46065</v>
      </c>
      <c r="N1567">
        <v>303</v>
      </c>
      <c r="O1567" t="s">
        <v>26</v>
      </c>
      <c r="Q1567">
        <v>186.94</v>
      </c>
      <c r="R1567" t="str">
        <f>"BEM TE FAZ LOJA 9 (10286)"</f>
        <v>BEM TE FAZ LOJA 9 (10286)</v>
      </c>
      <c r="S1567" t="s">
        <v>27</v>
      </c>
      <c r="T1567">
        <v>4359</v>
      </c>
      <c r="U1567">
        <v>3622</v>
      </c>
      <c r="V1567" t="s">
        <v>22</v>
      </c>
    </row>
    <row r="1568" spans="1:22">
      <c r="A1568" t="str">
        <f t="shared" si="552"/>
        <v>12/02/2026</v>
      </c>
      <c r="B1568" t="str">
        <f t="shared" si="555"/>
        <v>ENTRADA</v>
      </c>
      <c r="C1568" t="str">
        <f t="shared" si="556"/>
        <v>NFSE</v>
      </c>
      <c r="D1568" t="str">
        <f t="shared" si="557"/>
        <v>218</v>
      </c>
      <c r="E1568" t="str">
        <f t="shared" si="558"/>
        <v>1</v>
      </c>
      <c r="F1568" t="str">
        <f t="shared" si="554"/>
        <v>COM</v>
      </c>
      <c r="G1568" t="str">
        <f t="shared" si="559"/>
        <v>BEM TE FAZ 01 (10283)</v>
      </c>
      <c r="H1568" t="s">
        <v>404</v>
      </c>
      <c r="I1568" t="str">
        <f t="shared" si="560"/>
        <v>09/02/2026</v>
      </c>
      <c r="J1568" t="str">
        <f t="shared" si="561"/>
        <v>02/02/2026</v>
      </c>
      <c r="K1568">
        <v>46065</v>
      </c>
      <c r="N1568">
        <v>303</v>
      </c>
      <c r="O1568" t="s">
        <v>26</v>
      </c>
      <c r="Q1568">
        <v>1114.01</v>
      </c>
      <c r="R1568" t="str">
        <f>"BEM TE FAZ LOJA 3 (10287)"</f>
        <v>BEM TE FAZ LOJA 3 (10287)</v>
      </c>
      <c r="S1568" t="s">
        <v>27</v>
      </c>
      <c r="T1568">
        <v>4359</v>
      </c>
      <c r="U1568">
        <v>3622</v>
      </c>
      <c r="V1568" t="s">
        <v>22</v>
      </c>
    </row>
    <row r="1569" spans="1:22">
      <c r="A1569" t="str">
        <f t="shared" si="552"/>
        <v>12/02/2026</v>
      </c>
      <c r="B1569" t="str">
        <f t="shared" si="555"/>
        <v>ENTRADA</v>
      </c>
      <c r="C1569" t="str">
        <f t="shared" si="556"/>
        <v>NFSE</v>
      </c>
      <c r="D1569" t="str">
        <f t="shared" si="557"/>
        <v>218</v>
      </c>
      <c r="E1569" t="str">
        <f t="shared" si="558"/>
        <v>1</v>
      </c>
      <c r="F1569" t="str">
        <f t="shared" si="554"/>
        <v>COM</v>
      </c>
      <c r="G1569" t="str">
        <f t="shared" si="559"/>
        <v>BEM TE FAZ 01 (10283)</v>
      </c>
      <c r="H1569" t="s">
        <v>404</v>
      </c>
      <c r="I1569" t="str">
        <f t="shared" si="560"/>
        <v>09/02/2026</v>
      </c>
      <c r="J1569" t="str">
        <f t="shared" si="561"/>
        <v>02/02/2026</v>
      </c>
      <c r="K1569">
        <v>46065</v>
      </c>
      <c r="N1569">
        <v>303</v>
      </c>
      <c r="O1569" t="s">
        <v>26</v>
      </c>
      <c r="Q1569">
        <v>8.3000000000000007</v>
      </c>
      <c r="R1569" t="str">
        <f>"BEM TE FAZ 05 (10294)"</f>
        <v>BEM TE FAZ 05 (10294)</v>
      </c>
      <c r="S1569" t="s">
        <v>27</v>
      </c>
      <c r="T1569">
        <v>4359</v>
      </c>
      <c r="U1569">
        <v>3622</v>
      </c>
      <c r="V1569" t="s">
        <v>22</v>
      </c>
    </row>
    <row r="1570" spans="1:22">
      <c r="A1570" t="str">
        <f t="shared" ref="A1570:A1576" si="562">("13/02/2026")</f>
        <v>13/02/2026</v>
      </c>
      <c r="B1570" t="str">
        <f t="shared" si="555"/>
        <v>ENTRADA</v>
      </c>
      <c r="C1570" t="str">
        <f t="shared" si="556"/>
        <v>NFSE</v>
      </c>
      <c r="D1570" t="str">
        <f>"281"</f>
        <v>281</v>
      </c>
      <c r="E1570" t="str">
        <f t="shared" si="558"/>
        <v>1</v>
      </c>
      <c r="F1570" t="str">
        <f t="shared" si="554"/>
        <v>COM</v>
      </c>
      <c r="G1570" t="str">
        <f>"DROGARIA POUPA MINAS (DOIS AMIGOS) 5 (10140)"</f>
        <v>DROGARIA POUPA MINAS (DOIS AMIGOS) 5 (10140)</v>
      </c>
      <c r="H1570" t="str">
        <f>"Serv.Prest. 02/02/2026 a 08/02/2026 - RPS: 2203 - NFSe: 281"</f>
        <v>Serv.Prest. 02/02/2026 a 08/02/2026 - RPS: 2203 - NFSe: 281</v>
      </c>
      <c r="I1570" t="str">
        <f>("12/02/2026")</f>
        <v>12/02/2026</v>
      </c>
      <c r="J1570" t="str">
        <f>("09/02/2026")</f>
        <v>09/02/2026</v>
      </c>
      <c r="K1570" t="str">
        <f>("13/02/2026")</f>
        <v>13/02/2026</v>
      </c>
      <c r="L1570">
        <v>809.37</v>
      </c>
      <c r="M1570">
        <v>809.37</v>
      </c>
      <c r="N1570">
        <v>303</v>
      </c>
      <c r="O1570" t="str">
        <f>"RECEITAS COM ENTREGAS"</f>
        <v>RECEITAS COM ENTREGAS</v>
      </c>
      <c r="P1570">
        <v>809.37</v>
      </c>
      <c r="S1570" t="str">
        <f>"RECEITAS COM ENTREGAS (303)"</f>
        <v>RECEITAS COM ENTREGAS (303)</v>
      </c>
      <c r="T1570">
        <v>4305</v>
      </c>
      <c r="U1570">
        <v>3698</v>
      </c>
      <c r="V1570" t="s">
        <v>88</v>
      </c>
    </row>
    <row r="1571" spans="1:22">
      <c r="A1571" t="str">
        <f t="shared" si="562"/>
        <v>13/02/2026</v>
      </c>
      <c r="B1571" t="str">
        <f t="shared" si="555"/>
        <v>ENTRADA</v>
      </c>
      <c r="C1571" t="str">
        <f t="shared" si="556"/>
        <v>NFSE</v>
      </c>
      <c r="D1571" t="str">
        <f>"281"</f>
        <v>281</v>
      </c>
      <c r="E1571" t="str">
        <f t="shared" si="558"/>
        <v>1</v>
      </c>
      <c r="F1571" t="str">
        <f t="shared" si="554"/>
        <v>COM</v>
      </c>
      <c r="G1571" t="str">
        <f>"DROGARIA POUPA MINAS (DOIS AMIGOS) 5 (10140)"</f>
        <v>DROGARIA POUPA MINAS (DOIS AMIGOS) 5 (10140)</v>
      </c>
      <c r="H1571" t="s">
        <v>405</v>
      </c>
      <c r="I1571" t="str">
        <f>("12/02/2026")</f>
        <v>12/02/2026</v>
      </c>
      <c r="J1571" t="str">
        <f>("09/02/2026")</f>
        <v>09/02/2026</v>
      </c>
      <c r="K1571">
        <v>46066</v>
      </c>
      <c r="N1571">
        <v>303</v>
      </c>
      <c r="O1571" t="s">
        <v>26</v>
      </c>
      <c r="Q1571">
        <v>809.37</v>
      </c>
      <c r="R1571" t="str">
        <f>"DROGARIA POUPA MINAS (ULTRAMINAS) 1 (10181)"</f>
        <v>DROGARIA POUPA MINAS (ULTRAMINAS) 1 (10181)</v>
      </c>
      <c r="S1571" t="s">
        <v>27</v>
      </c>
      <c r="T1571">
        <v>4305</v>
      </c>
      <c r="U1571">
        <v>3698</v>
      </c>
      <c r="V1571" t="s">
        <v>88</v>
      </c>
    </row>
    <row r="1572" spans="1:22">
      <c r="A1572" t="str">
        <f t="shared" si="562"/>
        <v>13/02/2026</v>
      </c>
      <c r="B1572" t="str">
        <f t="shared" si="555"/>
        <v>ENTRADA</v>
      </c>
      <c r="C1572" t="str">
        <f t="shared" si="556"/>
        <v>NFSE</v>
      </c>
      <c r="D1572" t="str">
        <f>"282"</f>
        <v>282</v>
      </c>
      <c r="E1572" t="str">
        <f t="shared" si="558"/>
        <v>1</v>
      </c>
      <c r="F1572" t="str">
        <f t="shared" si="554"/>
        <v>COM</v>
      </c>
      <c r="G1572" t="str">
        <f>"DROGARIA POUPA MINAS (ULTRAMINAS) 3 (10129)"</f>
        <v>DROGARIA POUPA MINAS (ULTRAMINAS) 3 (10129)</v>
      </c>
      <c r="H1572" t="str">
        <f>"Serv.Prest. 02/02/2026 a 08/02/2026 - RPS: 2204 - NFSe: 282"</f>
        <v>Serv.Prest. 02/02/2026 a 08/02/2026 - RPS: 2204 - NFSe: 282</v>
      </c>
      <c r="I1572" t="str">
        <f>("12/02/2026")</f>
        <v>12/02/2026</v>
      </c>
      <c r="J1572" t="str">
        <f>("09/02/2026")</f>
        <v>09/02/2026</v>
      </c>
      <c r="K1572" t="str">
        <f>("13/02/2026")</f>
        <v>13/02/2026</v>
      </c>
      <c r="L1572">
        <v>171.6</v>
      </c>
      <c r="M1572">
        <v>171.6</v>
      </c>
      <c r="N1572">
        <v>303</v>
      </c>
      <c r="O1572" t="str">
        <f>"RECEITAS COM ENTREGAS"</f>
        <v>RECEITAS COM ENTREGAS</v>
      </c>
      <c r="P1572">
        <v>171.6</v>
      </c>
      <c r="S1572" t="str">
        <f>"RECEITAS COM ENTREGAS (303)"</f>
        <v>RECEITAS COM ENTREGAS (303)</v>
      </c>
      <c r="T1572">
        <v>4306</v>
      </c>
      <c r="U1572">
        <v>3699</v>
      </c>
      <c r="V1572" t="s">
        <v>88</v>
      </c>
    </row>
    <row r="1573" spans="1:22">
      <c r="A1573" t="str">
        <f t="shared" si="562"/>
        <v>13/02/2026</v>
      </c>
      <c r="B1573" t="str">
        <f t="shared" si="555"/>
        <v>ENTRADA</v>
      </c>
      <c r="C1573" t="str">
        <f t="shared" si="556"/>
        <v>NFSE</v>
      </c>
      <c r="D1573" t="str">
        <f>"282"</f>
        <v>282</v>
      </c>
      <c r="E1573" t="str">
        <f t="shared" si="558"/>
        <v>1</v>
      </c>
      <c r="F1573" t="str">
        <f t="shared" si="554"/>
        <v>COM</v>
      </c>
      <c r="G1573" t="str">
        <f>"DROGARIA POUPA MINAS (ULTRAMINAS) 3 (10129)"</f>
        <v>DROGARIA POUPA MINAS (ULTRAMINAS) 3 (10129)</v>
      </c>
      <c r="H1573" t="s">
        <v>406</v>
      </c>
      <c r="I1573" t="str">
        <f>("12/02/2026")</f>
        <v>12/02/2026</v>
      </c>
      <c r="J1573" t="str">
        <f>("09/02/2026")</f>
        <v>09/02/2026</v>
      </c>
      <c r="K1573">
        <v>46066</v>
      </c>
      <c r="N1573">
        <v>303</v>
      </c>
      <c r="O1573" t="s">
        <v>26</v>
      </c>
      <c r="Q1573">
        <v>171.6</v>
      </c>
      <c r="R1573" t="str">
        <f>"DROGARIA POUPA MINAS (ULTRAMINAS) 3 (10129)"</f>
        <v>DROGARIA POUPA MINAS (ULTRAMINAS) 3 (10129)</v>
      </c>
      <c r="S1573" t="s">
        <v>27</v>
      </c>
      <c r="T1573">
        <v>4306</v>
      </c>
      <c r="U1573">
        <v>3699</v>
      </c>
      <c r="V1573" t="s">
        <v>88</v>
      </c>
    </row>
    <row r="1574" spans="1:22">
      <c r="A1574" t="str">
        <f t="shared" si="562"/>
        <v>13/02/2026</v>
      </c>
      <c r="B1574" t="str">
        <f t="shared" si="555"/>
        <v>ENTRADA</v>
      </c>
      <c r="C1574" t="str">
        <f t="shared" si="556"/>
        <v>NFSE</v>
      </c>
      <c r="D1574" t="str">
        <f>"312"</f>
        <v>312</v>
      </c>
      <c r="E1574" t="str">
        <f t="shared" si="558"/>
        <v>1</v>
      </c>
      <c r="F1574" t="str">
        <f t="shared" si="554"/>
        <v>COM</v>
      </c>
      <c r="G1574" t="str">
        <f>"FARMACIA ROSAS (10288)"</f>
        <v>FARMACIA ROSAS (10288)</v>
      </c>
      <c r="H1574" t="str">
        <f>"Serv.Prest. 02/02/2026 a 08/02/2026 - RPS: 2234 - NFSe: 312"</f>
        <v>Serv.Prest. 02/02/2026 a 08/02/2026 - RPS: 2234 - NFSe: 312</v>
      </c>
      <c r="I1574" t="str">
        <f>("13/02/2026")</f>
        <v>13/02/2026</v>
      </c>
      <c r="J1574" t="str">
        <f>("11/02/2026")</f>
        <v>11/02/2026</v>
      </c>
      <c r="K1574" t="str">
        <f>("13/02/2026")</f>
        <v>13/02/2026</v>
      </c>
      <c r="L1574">
        <v>370.5</v>
      </c>
      <c r="M1574">
        <v>370.5</v>
      </c>
      <c r="N1574">
        <v>303</v>
      </c>
      <c r="O1574" t="str">
        <f>"RECEITAS COM ENTREGAS"</f>
        <v>RECEITAS COM ENTREGAS</v>
      </c>
      <c r="P1574">
        <v>370.5</v>
      </c>
      <c r="S1574" t="str">
        <f>"RECEITAS COM ENTREGAS (303)"</f>
        <v>RECEITAS COM ENTREGAS (303)</v>
      </c>
      <c r="T1574">
        <v>4307</v>
      </c>
      <c r="U1574">
        <v>3735</v>
      </c>
      <c r="V1574" t="s">
        <v>88</v>
      </c>
    </row>
    <row r="1575" spans="1:22">
      <c r="A1575" t="str">
        <f t="shared" si="562"/>
        <v>13/02/2026</v>
      </c>
      <c r="B1575" t="str">
        <f t="shared" si="555"/>
        <v>ENTRADA</v>
      </c>
      <c r="C1575" t="str">
        <f t="shared" si="556"/>
        <v>NFSE</v>
      </c>
      <c r="D1575" t="str">
        <f>"312"</f>
        <v>312</v>
      </c>
      <c r="E1575" t="str">
        <f t="shared" si="558"/>
        <v>1</v>
      </c>
      <c r="F1575" t="str">
        <f t="shared" si="554"/>
        <v>COM</v>
      </c>
      <c r="G1575" t="str">
        <f>"FARMACIA ROSAS (10288)"</f>
        <v>FARMACIA ROSAS (10288)</v>
      </c>
      <c r="H1575" t="s">
        <v>407</v>
      </c>
      <c r="I1575" t="str">
        <f>("13/02/2026")</f>
        <v>13/02/2026</v>
      </c>
      <c r="J1575" t="str">
        <f>("11/02/2026")</f>
        <v>11/02/2026</v>
      </c>
      <c r="K1575">
        <v>46066</v>
      </c>
      <c r="N1575">
        <v>303</v>
      </c>
      <c r="O1575" t="s">
        <v>26</v>
      </c>
      <c r="Q1575">
        <v>370.5</v>
      </c>
      <c r="R1575" t="str">
        <f>"FARMACIA ROSAS (10288)"</f>
        <v>FARMACIA ROSAS (10288)</v>
      </c>
      <c r="S1575" t="s">
        <v>27</v>
      </c>
      <c r="T1575">
        <v>4307</v>
      </c>
      <c r="U1575">
        <v>3735</v>
      </c>
      <c r="V1575" t="s">
        <v>88</v>
      </c>
    </row>
    <row r="1576" spans="1:22">
      <c r="A1576" t="str">
        <f t="shared" si="562"/>
        <v>13/02/2026</v>
      </c>
      <c r="B1576" t="str">
        <f>"SAÍDA"</f>
        <v>SAÍDA</v>
      </c>
      <c r="C1576" t="str">
        <f>""</f>
        <v/>
      </c>
      <c r="D1576" t="str">
        <f>""</f>
        <v/>
      </c>
      <c r="F1576" t="str">
        <f>"CXA"</f>
        <v>CXA</v>
      </c>
      <c r="G1576" t="str">
        <f>""</f>
        <v/>
      </c>
      <c r="H1576" t="str">
        <f>"COMPRA EQUIPAMENTO DE FILMAGEM - CAMILLA RODRIGUES ALVES RESENDE TEIXEIRA"</f>
        <v>COMPRA EQUIPAMENTO DE FILMAGEM - CAMILLA RODRIGUES ALVES RESENDE TEIXEIRA</v>
      </c>
      <c r="I1576" t="str">
        <f>("13/02/2026")</f>
        <v>13/02/2026</v>
      </c>
      <c r="J1576" t="str">
        <f>("13/02/2026")</f>
        <v>13/02/2026</v>
      </c>
      <c r="K1576" t="str">
        <f>("13/02/2026")</f>
        <v>13/02/2026</v>
      </c>
      <c r="L1576">
        <v>2750</v>
      </c>
      <c r="M1576">
        <v>2750</v>
      </c>
      <c r="N1576">
        <v>127</v>
      </c>
      <c r="O1576" t="str">
        <f>"PUBLICIDADE E PROPAGANDAS"</f>
        <v>PUBLICIDADE E PROPAGANDAS</v>
      </c>
      <c r="P1576">
        <v>2750</v>
      </c>
      <c r="S1576" t="str">
        <f>"BANCO CORA (102)"</f>
        <v>BANCO CORA (102)</v>
      </c>
      <c r="T1576">
        <v>4360</v>
      </c>
      <c r="U1576">
        <v>0</v>
      </c>
      <c r="V1576" t="s">
        <v>408</v>
      </c>
    </row>
    <row r="1577" spans="1:22">
      <c r="A1577" t="str">
        <f t="shared" ref="A1577:A1608" si="563">("18/02/2026")</f>
        <v>18/02/2026</v>
      </c>
      <c r="B1577" t="str">
        <f>"SAÍDA"</f>
        <v>SAÍDA</v>
      </c>
      <c r="C1577" t="str">
        <f>"JUROS"</f>
        <v>JUROS</v>
      </c>
      <c r="D1577" t="str">
        <f>""</f>
        <v/>
      </c>
      <c r="F1577" t="str">
        <f>"CXA"</f>
        <v>CXA</v>
      </c>
      <c r="G1577" t="str">
        <f>""</f>
        <v/>
      </c>
      <c r="H1577" t="str">
        <f>"TARIFA BOLETOS BANCARIOS"</f>
        <v>TARIFA BOLETOS BANCARIOS</v>
      </c>
      <c r="I1577" t="str">
        <f>("18/02/2026")</f>
        <v>18/02/2026</v>
      </c>
      <c r="J1577" t="str">
        <f>("18/02/2026")</f>
        <v>18/02/2026</v>
      </c>
      <c r="K1577" t="str">
        <f>("18/02/2026")</f>
        <v>18/02/2026</v>
      </c>
      <c r="L1577">
        <v>129.61000000000001</v>
      </c>
      <c r="M1577">
        <v>129.61000000000001</v>
      </c>
      <c r="N1577">
        <v>401</v>
      </c>
      <c r="O1577" t="str">
        <f>"IOF/JUROS/DESP.FINANCEIRA"</f>
        <v>IOF/JUROS/DESP.FINANCEIRA</v>
      </c>
      <c r="P1577">
        <v>129.61000000000001</v>
      </c>
      <c r="S1577" t="str">
        <f>"BANCO SICREDI (131)"</f>
        <v>BANCO SICREDI (131)</v>
      </c>
      <c r="T1577">
        <v>4237</v>
      </c>
      <c r="U1577">
        <v>0</v>
      </c>
      <c r="V1577" t="s">
        <v>54</v>
      </c>
    </row>
    <row r="1578" spans="1:22">
      <c r="A1578" t="str">
        <f t="shared" si="563"/>
        <v>18/02/2026</v>
      </c>
      <c r="B1578" t="str">
        <f t="shared" ref="B1578:B1609" si="564">"ENTRADA"</f>
        <v>ENTRADA</v>
      </c>
      <c r="C1578" t="str">
        <f t="shared" ref="C1578:C1609" si="565">"NFSE"</f>
        <v>NFSE</v>
      </c>
      <c r="D1578" t="str">
        <f>"291"</f>
        <v>291</v>
      </c>
      <c r="E1578" t="str">
        <f t="shared" ref="E1578:E1609" si="566">"1"</f>
        <v>1</v>
      </c>
      <c r="F1578" t="str">
        <f t="shared" ref="F1578:F1609" si="567">"COM"</f>
        <v>COM</v>
      </c>
      <c r="G1578" t="str">
        <f>"ULTRA POPULAR  UBA 2 (10214)"</f>
        <v>ULTRA POPULAR  UBA 2 (10214)</v>
      </c>
      <c r="H1578" t="str">
        <f>"Serv.Prest. 02/02/2026 a 08/02/2026 - RPS: 2213 - NFSe: 291"</f>
        <v>Serv.Prest. 02/02/2026 a 08/02/2026 - RPS: 2213 - NFSe: 291</v>
      </c>
      <c r="I1578" t="str">
        <f t="shared" ref="I1578:I1609" si="568">("13/02/2026")</f>
        <v>13/02/2026</v>
      </c>
      <c r="J1578" t="str">
        <f t="shared" ref="J1578:J1609" si="569">("10/02/2026")</f>
        <v>10/02/2026</v>
      </c>
      <c r="K1578" t="str">
        <f>("18/02/2026")</f>
        <v>18/02/2026</v>
      </c>
      <c r="L1578">
        <v>120.28</v>
      </c>
      <c r="M1578">
        <v>120.28</v>
      </c>
      <c r="N1578">
        <v>303</v>
      </c>
      <c r="O1578" t="str">
        <f>"RECEITAS COM ENTREGAS"</f>
        <v>RECEITAS COM ENTREGAS</v>
      </c>
      <c r="P1578">
        <v>120.28</v>
      </c>
      <c r="S1578" t="str">
        <f>"RECEITAS COM ENTREGAS (303)"</f>
        <v>RECEITAS COM ENTREGAS (303)</v>
      </c>
      <c r="T1578">
        <v>4308</v>
      </c>
      <c r="U1578">
        <v>3708</v>
      </c>
      <c r="V1578" t="s">
        <v>88</v>
      </c>
    </row>
    <row r="1579" spans="1:22">
      <c r="A1579" t="str">
        <f t="shared" si="563"/>
        <v>18/02/2026</v>
      </c>
      <c r="B1579" t="str">
        <f t="shared" si="564"/>
        <v>ENTRADA</v>
      </c>
      <c r="C1579" t="str">
        <f t="shared" si="565"/>
        <v>NFSE</v>
      </c>
      <c r="D1579" t="str">
        <f>"291"</f>
        <v>291</v>
      </c>
      <c r="E1579" t="str">
        <f t="shared" si="566"/>
        <v>1</v>
      </c>
      <c r="F1579" t="str">
        <f t="shared" si="567"/>
        <v>COM</v>
      </c>
      <c r="G1579" t="str">
        <f>"ULTRA POPULAR  UBA 2 (10214)"</f>
        <v>ULTRA POPULAR  UBA 2 (10214)</v>
      </c>
      <c r="H1579" t="s">
        <v>409</v>
      </c>
      <c r="I1579" t="str">
        <f t="shared" si="568"/>
        <v>13/02/2026</v>
      </c>
      <c r="J1579" t="str">
        <f t="shared" si="569"/>
        <v>10/02/2026</v>
      </c>
      <c r="K1579">
        <v>46071</v>
      </c>
      <c r="N1579">
        <v>303</v>
      </c>
      <c r="O1579" t="s">
        <v>26</v>
      </c>
      <c r="Q1579">
        <v>83.17</v>
      </c>
      <c r="R1579" t="str">
        <f>"ULTRA POPULAR  UBA 2 (10214)"</f>
        <v>ULTRA POPULAR  UBA 2 (10214)</v>
      </c>
      <c r="S1579" t="s">
        <v>27</v>
      </c>
      <c r="T1579">
        <v>4308</v>
      </c>
      <c r="U1579">
        <v>3708</v>
      </c>
      <c r="V1579" t="s">
        <v>88</v>
      </c>
    </row>
    <row r="1580" spans="1:22">
      <c r="A1580" t="str">
        <f t="shared" si="563"/>
        <v>18/02/2026</v>
      </c>
      <c r="B1580" t="str">
        <f t="shared" si="564"/>
        <v>ENTRADA</v>
      </c>
      <c r="C1580" t="str">
        <f t="shared" si="565"/>
        <v>NFSE</v>
      </c>
      <c r="D1580" t="str">
        <f>"291"</f>
        <v>291</v>
      </c>
      <c r="E1580" t="str">
        <f t="shared" si="566"/>
        <v>1</v>
      </c>
      <c r="F1580" t="str">
        <f t="shared" si="567"/>
        <v>COM</v>
      </c>
      <c r="G1580" t="str">
        <f>"ULTRA POPULAR  UBA 2 (10214)"</f>
        <v>ULTRA POPULAR  UBA 2 (10214)</v>
      </c>
      <c r="H1580" t="s">
        <v>409</v>
      </c>
      <c r="I1580" t="str">
        <f t="shared" si="568"/>
        <v>13/02/2026</v>
      </c>
      <c r="J1580" t="str">
        <f t="shared" si="569"/>
        <v>10/02/2026</v>
      </c>
      <c r="K1580">
        <v>46071</v>
      </c>
      <c r="N1580">
        <v>303</v>
      </c>
      <c r="O1580" t="s">
        <v>26</v>
      </c>
      <c r="Q1580">
        <v>37.11</v>
      </c>
      <c r="R1580" t="str">
        <f>"UBA 1 (10263)"</f>
        <v>UBA 1 (10263)</v>
      </c>
      <c r="S1580" t="s">
        <v>27</v>
      </c>
      <c r="T1580">
        <v>4308</v>
      </c>
      <c r="U1580">
        <v>3708</v>
      </c>
      <c r="V1580" t="s">
        <v>88</v>
      </c>
    </row>
    <row r="1581" spans="1:22">
      <c r="A1581" t="str">
        <f t="shared" si="563"/>
        <v>18/02/2026</v>
      </c>
      <c r="B1581" t="str">
        <f t="shared" si="564"/>
        <v>ENTRADA</v>
      </c>
      <c r="C1581" t="str">
        <f t="shared" si="565"/>
        <v>NFSE</v>
      </c>
      <c r="D1581" t="str">
        <f>"296"</f>
        <v>296</v>
      </c>
      <c r="E1581" t="str">
        <f t="shared" si="566"/>
        <v>1</v>
      </c>
      <c r="F1581" t="str">
        <f t="shared" si="567"/>
        <v>COM</v>
      </c>
      <c r="G1581" t="str">
        <f>"PENSE FARMA 49 (10234)"</f>
        <v>PENSE FARMA 49 (10234)</v>
      </c>
      <c r="H1581" t="str">
        <f>"Serv.Prest. 02/02/2026 a 08/02/2026 - RPS: 2218 - NFSe: 296"</f>
        <v>Serv.Prest. 02/02/2026 a 08/02/2026 - RPS: 2218 - NFSe: 296</v>
      </c>
      <c r="I1581" t="str">
        <f t="shared" si="568"/>
        <v>13/02/2026</v>
      </c>
      <c r="J1581" t="str">
        <f t="shared" si="569"/>
        <v>10/02/2026</v>
      </c>
      <c r="K1581" t="str">
        <f>("18/02/2026")</f>
        <v>18/02/2026</v>
      </c>
      <c r="L1581">
        <v>213.43</v>
      </c>
      <c r="M1581">
        <v>213.43</v>
      </c>
      <c r="N1581">
        <v>303</v>
      </c>
      <c r="O1581" t="str">
        <f>"RECEITAS COM ENTREGAS"</f>
        <v>RECEITAS COM ENTREGAS</v>
      </c>
      <c r="P1581">
        <v>213.43</v>
      </c>
      <c r="S1581" t="str">
        <f>"RECEITAS COM ENTREGAS (303)"</f>
        <v>RECEITAS COM ENTREGAS (303)</v>
      </c>
      <c r="T1581">
        <v>4309</v>
      </c>
      <c r="U1581">
        <v>3713</v>
      </c>
      <c r="V1581" t="s">
        <v>88</v>
      </c>
    </row>
    <row r="1582" spans="1:22">
      <c r="A1582" t="str">
        <f t="shared" si="563"/>
        <v>18/02/2026</v>
      </c>
      <c r="B1582" t="str">
        <f t="shared" si="564"/>
        <v>ENTRADA</v>
      </c>
      <c r="C1582" t="str">
        <f t="shared" si="565"/>
        <v>NFSE</v>
      </c>
      <c r="D1582" t="str">
        <f>"296"</f>
        <v>296</v>
      </c>
      <c r="E1582" t="str">
        <f t="shared" si="566"/>
        <v>1</v>
      </c>
      <c r="F1582" t="str">
        <f t="shared" si="567"/>
        <v>COM</v>
      </c>
      <c r="G1582" t="str">
        <f>"PENSE FARMA 49 (10234)"</f>
        <v>PENSE FARMA 49 (10234)</v>
      </c>
      <c r="H1582" t="s">
        <v>410</v>
      </c>
      <c r="I1582" t="str">
        <f t="shared" si="568"/>
        <v>13/02/2026</v>
      </c>
      <c r="J1582" t="str">
        <f t="shared" si="569"/>
        <v>10/02/2026</v>
      </c>
      <c r="K1582">
        <v>46071</v>
      </c>
      <c r="N1582">
        <v>303</v>
      </c>
      <c r="O1582" t="s">
        <v>26</v>
      </c>
      <c r="Q1582">
        <v>213.43</v>
      </c>
      <c r="R1582" t="str">
        <f>"PENSE FARMA 49 (10234)"</f>
        <v>PENSE FARMA 49 (10234)</v>
      </c>
      <c r="S1582" t="s">
        <v>27</v>
      </c>
      <c r="T1582">
        <v>4309</v>
      </c>
      <c r="U1582">
        <v>3713</v>
      </c>
      <c r="V1582" t="s">
        <v>88</v>
      </c>
    </row>
    <row r="1583" spans="1:22">
      <c r="A1583" t="str">
        <f t="shared" si="563"/>
        <v>18/02/2026</v>
      </c>
      <c r="B1583" t="str">
        <f t="shared" si="564"/>
        <v>ENTRADA</v>
      </c>
      <c r="C1583" t="str">
        <f t="shared" si="565"/>
        <v>NFSE</v>
      </c>
      <c r="D1583" t="str">
        <f>"297"</f>
        <v>297</v>
      </c>
      <c r="E1583" t="str">
        <f t="shared" si="566"/>
        <v>1</v>
      </c>
      <c r="F1583" t="str">
        <f t="shared" si="567"/>
        <v>COM</v>
      </c>
      <c r="G1583" t="str">
        <f>"PENSE FARMA 25 (10224)"</f>
        <v>PENSE FARMA 25 (10224)</v>
      </c>
      <c r="H1583" t="str">
        <f>"Serv.Prest. 02/02/2026 a 08/02/2026 - RPS: 2219 - NFSe: 297"</f>
        <v>Serv.Prest. 02/02/2026 a 08/02/2026 - RPS: 2219 - NFSe: 297</v>
      </c>
      <c r="I1583" t="str">
        <f t="shared" si="568"/>
        <v>13/02/2026</v>
      </c>
      <c r="J1583" t="str">
        <f t="shared" si="569"/>
        <v>10/02/2026</v>
      </c>
      <c r="K1583" t="str">
        <f>("18/02/2026")</f>
        <v>18/02/2026</v>
      </c>
      <c r="L1583">
        <v>320.5</v>
      </c>
      <c r="M1583">
        <v>320.5</v>
      </c>
      <c r="N1583">
        <v>303</v>
      </c>
      <c r="O1583" t="str">
        <f>"RECEITAS COM ENTREGAS"</f>
        <v>RECEITAS COM ENTREGAS</v>
      </c>
      <c r="P1583">
        <v>320.5</v>
      </c>
      <c r="S1583" t="str">
        <f>"RECEITAS COM ENTREGAS (303)"</f>
        <v>RECEITAS COM ENTREGAS (303)</v>
      </c>
      <c r="T1583">
        <v>4310</v>
      </c>
      <c r="U1583">
        <v>3714</v>
      </c>
      <c r="V1583" t="s">
        <v>88</v>
      </c>
    </row>
    <row r="1584" spans="1:22">
      <c r="A1584" t="str">
        <f t="shared" si="563"/>
        <v>18/02/2026</v>
      </c>
      <c r="B1584" t="str">
        <f t="shared" si="564"/>
        <v>ENTRADA</v>
      </c>
      <c r="C1584" t="str">
        <f t="shared" si="565"/>
        <v>NFSE</v>
      </c>
      <c r="D1584" t="str">
        <f>"297"</f>
        <v>297</v>
      </c>
      <c r="E1584" t="str">
        <f t="shared" si="566"/>
        <v>1</v>
      </c>
      <c r="F1584" t="str">
        <f t="shared" si="567"/>
        <v>COM</v>
      </c>
      <c r="G1584" t="str">
        <f>"PENSE FARMA 25 (10224)"</f>
        <v>PENSE FARMA 25 (10224)</v>
      </c>
      <c r="H1584" t="s">
        <v>411</v>
      </c>
      <c r="I1584" t="str">
        <f t="shared" si="568"/>
        <v>13/02/2026</v>
      </c>
      <c r="J1584" t="str">
        <f t="shared" si="569"/>
        <v>10/02/2026</v>
      </c>
      <c r="K1584">
        <v>46071</v>
      </c>
      <c r="N1584">
        <v>303</v>
      </c>
      <c r="O1584" t="s">
        <v>26</v>
      </c>
      <c r="Q1584">
        <v>320.5</v>
      </c>
      <c r="R1584" t="str">
        <f>"PENSE FARMA 25 (10224)"</f>
        <v>PENSE FARMA 25 (10224)</v>
      </c>
      <c r="S1584" t="s">
        <v>27</v>
      </c>
      <c r="T1584">
        <v>4310</v>
      </c>
      <c r="U1584">
        <v>3714</v>
      </c>
      <c r="V1584" t="s">
        <v>88</v>
      </c>
    </row>
    <row r="1585" spans="1:22">
      <c r="A1585" t="str">
        <f t="shared" si="563"/>
        <v>18/02/2026</v>
      </c>
      <c r="B1585" t="str">
        <f t="shared" si="564"/>
        <v>ENTRADA</v>
      </c>
      <c r="C1585" t="str">
        <f t="shared" si="565"/>
        <v>NFSE</v>
      </c>
      <c r="D1585" t="str">
        <f>"298"</f>
        <v>298</v>
      </c>
      <c r="E1585" t="str">
        <f t="shared" si="566"/>
        <v>1</v>
      </c>
      <c r="F1585" t="str">
        <f t="shared" si="567"/>
        <v>COM</v>
      </c>
      <c r="G1585" t="str">
        <f>"PENSE FARMA 15 (10195)"</f>
        <v>PENSE FARMA 15 (10195)</v>
      </c>
      <c r="H1585" t="str">
        <f>"Serv.Prest. 02/02/2026 a 08/02/2026 - RPS: 2220 - NFSe: 298"</f>
        <v>Serv.Prest. 02/02/2026 a 08/02/2026 - RPS: 2220 - NFSe: 298</v>
      </c>
      <c r="I1585" t="str">
        <f t="shared" si="568"/>
        <v>13/02/2026</v>
      </c>
      <c r="J1585" t="str">
        <f t="shared" si="569"/>
        <v>10/02/2026</v>
      </c>
      <c r="K1585" t="str">
        <f>("18/02/2026")</f>
        <v>18/02/2026</v>
      </c>
      <c r="L1585">
        <v>642</v>
      </c>
      <c r="M1585">
        <v>642</v>
      </c>
      <c r="N1585">
        <v>303</v>
      </c>
      <c r="O1585" t="str">
        <f>"RECEITAS COM ENTREGAS"</f>
        <v>RECEITAS COM ENTREGAS</v>
      </c>
      <c r="P1585">
        <v>642</v>
      </c>
      <c r="S1585" t="str">
        <f>"RECEITAS COM ENTREGAS (303)"</f>
        <v>RECEITAS COM ENTREGAS (303)</v>
      </c>
      <c r="T1585">
        <v>4311</v>
      </c>
      <c r="U1585">
        <v>3715</v>
      </c>
      <c r="V1585" t="s">
        <v>88</v>
      </c>
    </row>
    <row r="1586" spans="1:22">
      <c r="A1586" t="str">
        <f t="shared" si="563"/>
        <v>18/02/2026</v>
      </c>
      <c r="B1586" t="str">
        <f t="shared" si="564"/>
        <v>ENTRADA</v>
      </c>
      <c r="C1586" t="str">
        <f t="shared" si="565"/>
        <v>NFSE</v>
      </c>
      <c r="D1586" t="str">
        <f>"298"</f>
        <v>298</v>
      </c>
      <c r="E1586" t="str">
        <f t="shared" si="566"/>
        <v>1</v>
      </c>
      <c r="F1586" t="str">
        <f t="shared" si="567"/>
        <v>COM</v>
      </c>
      <c r="G1586" t="str">
        <f>"PENSE FARMA 15 (10195)"</f>
        <v>PENSE FARMA 15 (10195)</v>
      </c>
      <c r="H1586" t="s">
        <v>412</v>
      </c>
      <c r="I1586" t="str">
        <f t="shared" si="568"/>
        <v>13/02/2026</v>
      </c>
      <c r="J1586" t="str">
        <f t="shared" si="569"/>
        <v>10/02/2026</v>
      </c>
      <c r="K1586">
        <v>46071</v>
      </c>
      <c r="N1586">
        <v>303</v>
      </c>
      <c r="O1586" t="s">
        <v>26</v>
      </c>
      <c r="Q1586">
        <v>160.5</v>
      </c>
      <c r="R1586" t="str">
        <f>"PENSE FARMA 15 (10195)"</f>
        <v>PENSE FARMA 15 (10195)</v>
      </c>
      <c r="S1586" t="s">
        <v>27</v>
      </c>
      <c r="T1586">
        <v>4311</v>
      </c>
      <c r="U1586">
        <v>3715</v>
      </c>
      <c r="V1586" t="s">
        <v>88</v>
      </c>
    </row>
    <row r="1587" spans="1:22">
      <c r="A1587" t="str">
        <f t="shared" si="563"/>
        <v>18/02/2026</v>
      </c>
      <c r="B1587" t="str">
        <f t="shared" si="564"/>
        <v>ENTRADA</v>
      </c>
      <c r="C1587" t="str">
        <f t="shared" si="565"/>
        <v>NFSE</v>
      </c>
      <c r="D1587" t="str">
        <f>"298"</f>
        <v>298</v>
      </c>
      <c r="E1587" t="str">
        <f t="shared" si="566"/>
        <v>1</v>
      </c>
      <c r="F1587" t="str">
        <f t="shared" si="567"/>
        <v>COM</v>
      </c>
      <c r="G1587" t="str">
        <f>"PENSE FARMA 15 (10195)"</f>
        <v>PENSE FARMA 15 (10195)</v>
      </c>
      <c r="H1587" t="s">
        <v>412</v>
      </c>
      <c r="I1587" t="str">
        <f t="shared" si="568"/>
        <v>13/02/2026</v>
      </c>
      <c r="J1587" t="str">
        <f t="shared" si="569"/>
        <v>10/02/2026</v>
      </c>
      <c r="K1587">
        <v>46071</v>
      </c>
      <c r="N1587">
        <v>303</v>
      </c>
      <c r="O1587" t="s">
        <v>26</v>
      </c>
      <c r="Q1587">
        <v>160.5</v>
      </c>
      <c r="R1587" t="str">
        <f>"PENSE FARMA 26 (10196)"</f>
        <v>PENSE FARMA 26 (10196)</v>
      </c>
      <c r="S1587" t="s">
        <v>27</v>
      </c>
      <c r="T1587">
        <v>4311</v>
      </c>
      <c r="U1587">
        <v>3715</v>
      </c>
      <c r="V1587" t="s">
        <v>88</v>
      </c>
    </row>
    <row r="1588" spans="1:22">
      <c r="A1588" t="str">
        <f t="shared" si="563"/>
        <v>18/02/2026</v>
      </c>
      <c r="B1588" t="str">
        <f t="shared" si="564"/>
        <v>ENTRADA</v>
      </c>
      <c r="C1588" t="str">
        <f t="shared" si="565"/>
        <v>NFSE</v>
      </c>
      <c r="D1588" t="str">
        <f>"298"</f>
        <v>298</v>
      </c>
      <c r="E1588" t="str">
        <f t="shared" si="566"/>
        <v>1</v>
      </c>
      <c r="F1588" t="str">
        <f t="shared" si="567"/>
        <v>COM</v>
      </c>
      <c r="G1588" t="str">
        <f>"PENSE FARMA 15 (10195)"</f>
        <v>PENSE FARMA 15 (10195)</v>
      </c>
      <c r="H1588" t="s">
        <v>412</v>
      </c>
      <c r="I1588" t="str">
        <f t="shared" si="568"/>
        <v>13/02/2026</v>
      </c>
      <c r="J1588" t="str">
        <f t="shared" si="569"/>
        <v>10/02/2026</v>
      </c>
      <c r="K1588">
        <v>46071</v>
      </c>
      <c r="N1588">
        <v>303</v>
      </c>
      <c r="O1588" t="s">
        <v>26</v>
      </c>
      <c r="Q1588">
        <v>160.5</v>
      </c>
      <c r="R1588" t="str">
        <f>"PENSE FARMA 60 (10197)"</f>
        <v>PENSE FARMA 60 (10197)</v>
      </c>
      <c r="S1588" t="s">
        <v>27</v>
      </c>
      <c r="T1588">
        <v>4311</v>
      </c>
      <c r="U1588">
        <v>3715</v>
      </c>
      <c r="V1588" t="s">
        <v>88</v>
      </c>
    </row>
    <row r="1589" spans="1:22">
      <c r="A1589" t="str">
        <f t="shared" si="563"/>
        <v>18/02/2026</v>
      </c>
      <c r="B1589" t="str">
        <f t="shared" si="564"/>
        <v>ENTRADA</v>
      </c>
      <c r="C1589" t="str">
        <f t="shared" si="565"/>
        <v>NFSE</v>
      </c>
      <c r="D1589" t="str">
        <f>"298"</f>
        <v>298</v>
      </c>
      <c r="E1589" t="str">
        <f t="shared" si="566"/>
        <v>1</v>
      </c>
      <c r="F1589" t="str">
        <f t="shared" si="567"/>
        <v>COM</v>
      </c>
      <c r="G1589" t="str">
        <f>"PENSE FARMA 15 (10195)"</f>
        <v>PENSE FARMA 15 (10195)</v>
      </c>
      <c r="H1589" t="s">
        <v>412</v>
      </c>
      <c r="I1589" t="str">
        <f t="shared" si="568"/>
        <v>13/02/2026</v>
      </c>
      <c r="J1589" t="str">
        <f t="shared" si="569"/>
        <v>10/02/2026</v>
      </c>
      <c r="K1589">
        <v>46071</v>
      </c>
      <c r="N1589">
        <v>303</v>
      </c>
      <c r="O1589" t="s">
        <v>26</v>
      </c>
      <c r="Q1589">
        <v>160.5</v>
      </c>
      <c r="R1589" t="str">
        <f>"PENSE FARMA 61 (10243)"</f>
        <v>PENSE FARMA 61 (10243)</v>
      </c>
      <c r="S1589" t="s">
        <v>27</v>
      </c>
      <c r="T1589">
        <v>4311</v>
      </c>
      <c r="U1589">
        <v>3715</v>
      </c>
      <c r="V1589" t="s">
        <v>88</v>
      </c>
    </row>
    <row r="1590" spans="1:22">
      <c r="A1590" t="str">
        <f t="shared" si="563"/>
        <v>18/02/2026</v>
      </c>
      <c r="B1590" t="str">
        <f t="shared" si="564"/>
        <v>ENTRADA</v>
      </c>
      <c r="C1590" t="str">
        <f t="shared" si="565"/>
        <v>NFSE</v>
      </c>
      <c r="D1590" t="str">
        <f t="shared" ref="D1590:D1596" si="570">"299"</f>
        <v>299</v>
      </c>
      <c r="E1590" t="str">
        <f t="shared" si="566"/>
        <v>1</v>
      </c>
      <c r="F1590" t="str">
        <f t="shared" si="567"/>
        <v>COM</v>
      </c>
      <c r="G1590" t="str">
        <f t="shared" ref="G1590:G1596" si="571">"PENSE FARMA 36 (10206)"</f>
        <v>PENSE FARMA 36 (10206)</v>
      </c>
      <c r="H1590" t="str">
        <f>"Serv.Prest. 02/02/2026 a 08/02/2026 - RPS: 2221 - NFSe: 299"</f>
        <v>Serv.Prest. 02/02/2026 a 08/02/2026 - RPS: 2221 - NFSe: 299</v>
      </c>
      <c r="I1590" t="str">
        <f t="shared" si="568"/>
        <v>13/02/2026</v>
      </c>
      <c r="J1590" t="str">
        <f t="shared" si="569"/>
        <v>10/02/2026</v>
      </c>
      <c r="K1590" t="str">
        <f>("18/02/2026")</f>
        <v>18/02/2026</v>
      </c>
      <c r="L1590">
        <v>894.35</v>
      </c>
      <c r="M1590">
        <v>894.35</v>
      </c>
      <c r="N1590">
        <v>303</v>
      </c>
      <c r="O1590" t="str">
        <f>"RECEITAS COM ENTREGAS"</f>
        <v>RECEITAS COM ENTREGAS</v>
      </c>
      <c r="P1590">
        <v>894.35</v>
      </c>
      <c r="S1590" t="str">
        <f>"RECEITAS COM ENTREGAS (303)"</f>
        <v>RECEITAS COM ENTREGAS (303)</v>
      </c>
      <c r="T1590">
        <v>4312</v>
      </c>
      <c r="U1590">
        <v>3716</v>
      </c>
      <c r="V1590" t="s">
        <v>88</v>
      </c>
    </row>
    <row r="1591" spans="1:22">
      <c r="A1591" t="str">
        <f t="shared" si="563"/>
        <v>18/02/2026</v>
      </c>
      <c r="B1591" t="str">
        <f t="shared" si="564"/>
        <v>ENTRADA</v>
      </c>
      <c r="C1591" t="str">
        <f t="shared" si="565"/>
        <v>NFSE</v>
      </c>
      <c r="D1591" t="str">
        <f t="shared" si="570"/>
        <v>299</v>
      </c>
      <c r="E1591" t="str">
        <f t="shared" si="566"/>
        <v>1</v>
      </c>
      <c r="F1591" t="str">
        <f t="shared" si="567"/>
        <v>COM</v>
      </c>
      <c r="G1591" t="str">
        <f t="shared" si="571"/>
        <v>PENSE FARMA 36 (10206)</v>
      </c>
      <c r="H1591" t="s">
        <v>413</v>
      </c>
      <c r="I1591" t="str">
        <f t="shared" si="568"/>
        <v>13/02/2026</v>
      </c>
      <c r="J1591" t="str">
        <f t="shared" si="569"/>
        <v>10/02/2026</v>
      </c>
      <c r="K1591">
        <v>46071</v>
      </c>
      <c r="N1591">
        <v>303</v>
      </c>
      <c r="O1591" t="s">
        <v>26</v>
      </c>
      <c r="Q1591">
        <v>148.30000000000001</v>
      </c>
      <c r="R1591" t="str">
        <f>"PENSE FARMA 20 (10203)"</f>
        <v>PENSE FARMA 20 (10203)</v>
      </c>
      <c r="S1591" t="s">
        <v>27</v>
      </c>
      <c r="T1591">
        <v>4312</v>
      </c>
      <c r="U1591">
        <v>3716</v>
      </c>
      <c r="V1591" t="s">
        <v>88</v>
      </c>
    </row>
    <row r="1592" spans="1:22">
      <c r="A1592" t="str">
        <f t="shared" si="563"/>
        <v>18/02/2026</v>
      </c>
      <c r="B1592" t="str">
        <f t="shared" si="564"/>
        <v>ENTRADA</v>
      </c>
      <c r="C1592" t="str">
        <f t="shared" si="565"/>
        <v>NFSE</v>
      </c>
      <c r="D1592" t="str">
        <f t="shared" si="570"/>
        <v>299</v>
      </c>
      <c r="E1592" t="str">
        <f t="shared" si="566"/>
        <v>1</v>
      </c>
      <c r="F1592" t="str">
        <f t="shared" si="567"/>
        <v>COM</v>
      </c>
      <c r="G1592" t="str">
        <f t="shared" si="571"/>
        <v>PENSE FARMA 36 (10206)</v>
      </c>
      <c r="H1592" t="s">
        <v>413</v>
      </c>
      <c r="I1592" t="str">
        <f t="shared" si="568"/>
        <v>13/02/2026</v>
      </c>
      <c r="J1592" t="str">
        <f t="shared" si="569"/>
        <v>10/02/2026</v>
      </c>
      <c r="K1592">
        <v>46071</v>
      </c>
      <c r="N1592">
        <v>303</v>
      </c>
      <c r="O1592" t="s">
        <v>26</v>
      </c>
      <c r="Q1592">
        <v>148.28</v>
      </c>
      <c r="R1592" t="str">
        <f>"PENSE FARMA 36 (10206)"</f>
        <v>PENSE FARMA 36 (10206)</v>
      </c>
      <c r="S1592" t="s">
        <v>27</v>
      </c>
      <c r="T1592">
        <v>4312</v>
      </c>
      <c r="U1592">
        <v>3716</v>
      </c>
      <c r="V1592" t="s">
        <v>88</v>
      </c>
    </row>
    <row r="1593" spans="1:22">
      <c r="A1593" t="str">
        <f t="shared" si="563"/>
        <v>18/02/2026</v>
      </c>
      <c r="B1593" t="str">
        <f t="shared" si="564"/>
        <v>ENTRADA</v>
      </c>
      <c r="C1593" t="str">
        <f t="shared" si="565"/>
        <v>NFSE</v>
      </c>
      <c r="D1593" t="str">
        <f t="shared" si="570"/>
        <v>299</v>
      </c>
      <c r="E1593" t="str">
        <f t="shared" si="566"/>
        <v>1</v>
      </c>
      <c r="F1593" t="str">
        <f t="shared" si="567"/>
        <v>COM</v>
      </c>
      <c r="G1593" t="str">
        <f t="shared" si="571"/>
        <v>PENSE FARMA 36 (10206)</v>
      </c>
      <c r="H1593" t="s">
        <v>413</v>
      </c>
      <c r="I1593" t="str">
        <f t="shared" si="568"/>
        <v>13/02/2026</v>
      </c>
      <c r="J1593" t="str">
        <f t="shared" si="569"/>
        <v>10/02/2026</v>
      </c>
      <c r="K1593">
        <v>46071</v>
      </c>
      <c r="N1593">
        <v>303</v>
      </c>
      <c r="O1593" t="s">
        <v>26</v>
      </c>
      <c r="Q1593">
        <v>148.28</v>
      </c>
      <c r="R1593" t="str">
        <f>"PENSE FARMA 40 (10207)"</f>
        <v>PENSE FARMA 40 (10207)</v>
      </c>
      <c r="S1593" t="s">
        <v>27</v>
      </c>
      <c r="T1593">
        <v>4312</v>
      </c>
      <c r="U1593">
        <v>3716</v>
      </c>
      <c r="V1593" t="s">
        <v>88</v>
      </c>
    </row>
    <row r="1594" spans="1:22">
      <c r="A1594" t="str">
        <f t="shared" si="563"/>
        <v>18/02/2026</v>
      </c>
      <c r="B1594" t="str">
        <f t="shared" si="564"/>
        <v>ENTRADA</v>
      </c>
      <c r="C1594" t="str">
        <f t="shared" si="565"/>
        <v>NFSE</v>
      </c>
      <c r="D1594" t="str">
        <f t="shared" si="570"/>
        <v>299</v>
      </c>
      <c r="E1594" t="str">
        <f t="shared" si="566"/>
        <v>1</v>
      </c>
      <c r="F1594" t="str">
        <f t="shared" si="567"/>
        <v>COM</v>
      </c>
      <c r="G1594" t="str">
        <f t="shared" si="571"/>
        <v>PENSE FARMA 36 (10206)</v>
      </c>
      <c r="H1594" t="s">
        <v>413</v>
      </c>
      <c r="I1594" t="str">
        <f t="shared" si="568"/>
        <v>13/02/2026</v>
      </c>
      <c r="J1594" t="str">
        <f t="shared" si="569"/>
        <v>10/02/2026</v>
      </c>
      <c r="K1594">
        <v>46071</v>
      </c>
      <c r="N1594">
        <v>303</v>
      </c>
      <c r="O1594" t="s">
        <v>26</v>
      </c>
      <c r="Q1594">
        <v>148.28</v>
      </c>
      <c r="R1594" t="str">
        <f>"PENSE FARMA 43 (10208)"</f>
        <v>PENSE FARMA 43 (10208)</v>
      </c>
      <c r="S1594" t="s">
        <v>27</v>
      </c>
      <c r="T1594">
        <v>4312</v>
      </c>
      <c r="U1594">
        <v>3716</v>
      </c>
      <c r="V1594" t="s">
        <v>88</v>
      </c>
    </row>
    <row r="1595" spans="1:22">
      <c r="A1595" t="str">
        <f t="shared" si="563"/>
        <v>18/02/2026</v>
      </c>
      <c r="B1595" t="str">
        <f t="shared" si="564"/>
        <v>ENTRADA</v>
      </c>
      <c r="C1595" t="str">
        <f t="shared" si="565"/>
        <v>NFSE</v>
      </c>
      <c r="D1595" t="str">
        <f t="shared" si="570"/>
        <v>299</v>
      </c>
      <c r="E1595" t="str">
        <f t="shared" si="566"/>
        <v>1</v>
      </c>
      <c r="F1595" t="str">
        <f t="shared" si="567"/>
        <v>COM</v>
      </c>
      <c r="G1595" t="str">
        <f t="shared" si="571"/>
        <v>PENSE FARMA 36 (10206)</v>
      </c>
      <c r="H1595" t="s">
        <v>413</v>
      </c>
      <c r="I1595" t="str">
        <f t="shared" si="568"/>
        <v>13/02/2026</v>
      </c>
      <c r="J1595" t="str">
        <f t="shared" si="569"/>
        <v>10/02/2026</v>
      </c>
      <c r="K1595">
        <v>46071</v>
      </c>
      <c r="N1595">
        <v>303</v>
      </c>
      <c r="O1595" t="s">
        <v>26</v>
      </c>
      <c r="Q1595">
        <v>148.28</v>
      </c>
      <c r="R1595" t="str">
        <f>"PENSE FARMA 59 (10211)"</f>
        <v>PENSE FARMA 59 (10211)</v>
      </c>
      <c r="S1595" t="s">
        <v>27</v>
      </c>
      <c r="T1595">
        <v>4312</v>
      </c>
      <c r="U1595">
        <v>3716</v>
      </c>
      <c r="V1595" t="s">
        <v>88</v>
      </c>
    </row>
    <row r="1596" spans="1:22">
      <c r="A1596" t="str">
        <f t="shared" si="563"/>
        <v>18/02/2026</v>
      </c>
      <c r="B1596" t="str">
        <f t="shared" si="564"/>
        <v>ENTRADA</v>
      </c>
      <c r="C1596" t="str">
        <f t="shared" si="565"/>
        <v>NFSE</v>
      </c>
      <c r="D1596" t="str">
        <f t="shared" si="570"/>
        <v>299</v>
      </c>
      <c r="E1596" t="str">
        <f t="shared" si="566"/>
        <v>1</v>
      </c>
      <c r="F1596" t="str">
        <f t="shared" si="567"/>
        <v>COM</v>
      </c>
      <c r="G1596" t="str">
        <f t="shared" si="571"/>
        <v>PENSE FARMA 36 (10206)</v>
      </c>
      <c r="H1596" t="s">
        <v>413</v>
      </c>
      <c r="I1596" t="str">
        <f t="shared" si="568"/>
        <v>13/02/2026</v>
      </c>
      <c r="J1596" t="str">
        <f t="shared" si="569"/>
        <v>10/02/2026</v>
      </c>
      <c r="K1596">
        <v>46071</v>
      </c>
      <c r="N1596">
        <v>303</v>
      </c>
      <c r="O1596" t="s">
        <v>26</v>
      </c>
      <c r="Q1596">
        <v>152.93</v>
      </c>
      <c r="R1596" t="str">
        <f>"PENSE FARMA DARK STORE 361 (10212)"</f>
        <v>PENSE FARMA DARK STORE 361 (10212)</v>
      </c>
      <c r="S1596" t="s">
        <v>27</v>
      </c>
      <c r="T1596">
        <v>4312</v>
      </c>
      <c r="U1596">
        <v>3716</v>
      </c>
      <c r="V1596" t="s">
        <v>88</v>
      </c>
    </row>
    <row r="1597" spans="1:22">
      <c r="A1597" t="str">
        <f t="shared" si="563"/>
        <v>18/02/2026</v>
      </c>
      <c r="B1597" t="str">
        <f t="shared" si="564"/>
        <v>ENTRADA</v>
      </c>
      <c r="C1597" t="str">
        <f t="shared" si="565"/>
        <v>NFSE</v>
      </c>
      <c r="D1597" t="str">
        <f>"300"</f>
        <v>300</v>
      </c>
      <c r="E1597" t="str">
        <f t="shared" si="566"/>
        <v>1</v>
      </c>
      <c r="F1597" t="str">
        <f t="shared" si="567"/>
        <v>COM</v>
      </c>
      <c r="G1597" t="str">
        <f>"PENSE FARMA 27 (10204)"</f>
        <v>PENSE FARMA 27 (10204)</v>
      </c>
      <c r="H1597" t="str">
        <f>"Serv.Prest. 02/02/2026 a 08/02/2026 - RPS: 2222 - NFSe: 300"</f>
        <v>Serv.Prest. 02/02/2026 a 08/02/2026 - RPS: 2222 - NFSe: 300</v>
      </c>
      <c r="I1597" t="str">
        <f t="shared" si="568"/>
        <v>13/02/2026</v>
      </c>
      <c r="J1597" t="str">
        <f t="shared" si="569"/>
        <v>10/02/2026</v>
      </c>
      <c r="K1597" t="str">
        <f>("18/02/2026")</f>
        <v>18/02/2026</v>
      </c>
      <c r="L1597">
        <v>577.5</v>
      </c>
      <c r="M1597">
        <v>577.5</v>
      </c>
      <c r="N1597">
        <v>303</v>
      </c>
      <c r="O1597" t="str">
        <f>"RECEITAS COM ENTREGAS"</f>
        <v>RECEITAS COM ENTREGAS</v>
      </c>
      <c r="P1597">
        <v>577.5</v>
      </c>
      <c r="S1597" t="str">
        <f>"RECEITAS COM ENTREGAS (303)"</f>
        <v>RECEITAS COM ENTREGAS (303)</v>
      </c>
      <c r="T1597">
        <v>4313</v>
      </c>
      <c r="U1597">
        <v>3717</v>
      </c>
      <c r="V1597" t="s">
        <v>88</v>
      </c>
    </row>
    <row r="1598" spans="1:22">
      <c r="A1598" t="str">
        <f t="shared" si="563"/>
        <v>18/02/2026</v>
      </c>
      <c r="B1598" t="str">
        <f t="shared" si="564"/>
        <v>ENTRADA</v>
      </c>
      <c r="C1598" t="str">
        <f t="shared" si="565"/>
        <v>NFSE</v>
      </c>
      <c r="D1598" t="str">
        <f>"300"</f>
        <v>300</v>
      </c>
      <c r="E1598" t="str">
        <f t="shared" si="566"/>
        <v>1</v>
      </c>
      <c r="F1598" t="str">
        <f t="shared" si="567"/>
        <v>COM</v>
      </c>
      <c r="G1598" t="str">
        <f>"PENSE FARMA 27 (10204)"</f>
        <v>PENSE FARMA 27 (10204)</v>
      </c>
      <c r="H1598" t="s">
        <v>414</v>
      </c>
      <c r="I1598" t="str">
        <f t="shared" si="568"/>
        <v>13/02/2026</v>
      </c>
      <c r="J1598" t="str">
        <f t="shared" si="569"/>
        <v>10/02/2026</v>
      </c>
      <c r="K1598">
        <v>46071</v>
      </c>
      <c r="N1598">
        <v>303</v>
      </c>
      <c r="O1598" t="s">
        <v>26</v>
      </c>
      <c r="Q1598">
        <v>192.14</v>
      </c>
      <c r="R1598" t="str">
        <f>"PENSE FARMA 05 (10200)"</f>
        <v>PENSE FARMA 05 (10200)</v>
      </c>
      <c r="S1598" t="s">
        <v>27</v>
      </c>
      <c r="T1598">
        <v>4313</v>
      </c>
      <c r="U1598">
        <v>3717</v>
      </c>
      <c r="V1598" t="s">
        <v>88</v>
      </c>
    </row>
    <row r="1599" spans="1:22">
      <c r="A1599" t="str">
        <f t="shared" si="563"/>
        <v>18/02/2026</v>
      </c>
      <c r="B1599" t="str">
        <f t="shared" si="564"/>
        <v>ENTRADA</v>
      </c>
      <c r="C1599" t="str">
        <f t="shared" si="565"/>
        <v>NFSE</v>
      </c>
      <c r="D1599" t="str">
        <f>"300"</f>
        <v>300</v>
      </c>
      <c r="E1599" t="str">
        <f t="shared" si="566"/>
        <v>1</v>
      </c>
      <c r="F1599" t="str">
        <f t="shared" si="567"/>
        <v>COM</v>
      </c>
      <c r="G1599" t="str">
        <f>"PENSE FARMA 27 (10204)"</f>
        <v>PENSE FARMA 27 (10204)</v>
      </c>
      <c r="H1599" t="s">
        <v>414</v>
      </c>
      <c r="I1599" t="str">
        <f t="shared" si="568"/>
        <v>13/02/2026</v>
      </c>
      <c r="J1599" t="str">
        <f t="shared" si="569"/>
        <v>10/02/2026</v>
      </c>
      <c r="K1599">
        <v>46071</v>
      </c>
      <c r="N1599">
        <v>303</v>
      </c>
      <c r="O1599" t="s">
        <v>26</v>
      </c>
      <c r="Q1599">
        <v>192.13</v>
      </c>
      <c r="R1599" t="str">
        <f>"PENSE FARMA 13 (10202)"</f>
        <v>PENSE FARMA 13 (10202)</v>
      </c>
      <c r="S1599" t="s">
        <v>27</v>
      </c>
      <c r="T1599">
        <v>4313</v>
      </c>
      <c r="U1599">
        <v>3717</v>
      </c>
      <c r="V1599" t="s">
        <v>88</v>
      </c>
    </row>
    <row r="1600" spans="1:22">
      <c r="A1600" t="str">
        <f t="shared" si="563"/>
        <v>18/02/2026</v>
      </c>
      <c r="B1600" t="str">
        <f t="shared" si="564"/>
        <v>ENTRADA</v>
      </c>
      <c r="C1600" t="str">
        <f t="shared" si="565"/>
        <v>NFSE</v>
      </c>
      <c r="D1600" t="str">
        <f>"300"</f>
        <v>300</v>
      </c>
      <c r="E1600" t="str">
        <f t="shared" si="566"/>
        <v>1</v>
      </c>
      <c r="F1600" t="str">
        <f t="shared" si="567"/>
        <v>COM</v>
      </c>
      <c r="G1600" t="str">
        <f>"PENSE FARMA 27 (10204)"</f>
        <v>PENSE FARMA 27 (10204)</v>
      </c>
      <c r="H1600" t="s">
        <v>414</v>
      </c>
      <c r="I1600" t="str">
        <f t="shared" si="568"/>
        <v>13/02/2026</v>
      </c>
      <c r="J1600" t="str">
        <f t="shared" si="569"/>
        <v>10/02/2026</v>
      </c>
      <c r="K1600">
        <v>46071</v>
      </c>
      <c r="N1600">
        <v>303</v>
      </c>
      <c r="O1600" t="s">
        <v>26</v>
      </c>
      <c r="Q1600">
        <v>193.23</v>
      </c>
      <c r="R1600" t="str">
        <f>"PENSE FARMA 27 (10204)"</f>
        <v>PENSE FARMA 27 (10204)</v>
      </c>
      <c r="S1600" t="s">
        <v>27</v>
      </c>
      <c r="T1600">
        <v>4313</v>
      </c>
      <c r="U1600">
        <v>3717</v>
      </c>
      <c r="V1600" t="s">
        <v>88</v>
      </c>
    </row>
    <row r="1601" spans="1:22">
      <c r="A1601" t="str">
        <f t="shared" si="563"/>
        <v>18/02/2026</v>
      </c>
      <c r="B1601" t="str">
        <f t="shared" si="564"/>
        <v>ENTRADA</v>
      </c>
      <c r="C1601" t="str">
        <f t="shared" si="565"/>
        <v>NFSE</v>
      </c>
      <c r="D1601" t="str">
        <f>"304"</f>
        <v>304</v>
      </c>
      <c r="E1601" t="str">
        <f t="shared" si="566"/>
        <v>1</v>
      </c>
      <c r="F1601" t="str">
        <f t="shared" si="567"/>
        <v>COM</v>
      </c>
      <c r="G1601" t="str">
        <f>"PENSE FARMA 35 (10227)"</f>
        <v>PENSE FARMA 35 (10227)</v>
      </c>
      <c r="H1601" t="str">
        <f>"Serv.Prest. 02/02/2026 a 08/02/2026 - RPS: 2226 - NFSe: 304"</f>
        <v>Serv.Prest. 02/02/2026 a 08/02/2026 - RPS: 2226 - NFSe: 304</v>
      </c>
      <c r="I1601" t="str">
        <f t="shared" si="568"/>
        <v>13/02/2026</v>
      </c>
      <c r="J1601" t="str">
        <f t="shared" si="569"/>
        <v>10/02/2026</v>
      </c>
      <c r="K1601" t="str">
        <f>("18/02/2026")</f>
        <v>18/02/2026</v>
      </c>
      <c r="L1601">
        <v>171.45</v>
      </c>
      <c r="M1601">
        <v>171.45</v>
      </c>
      <c r="N1601">
        <v>303</v>
      </c>
      <c r="O1601" t="str">
        <f>"RECEITAS COM ENTREGAS"</f>
        <v>RECEITAS COM ENTREGAS</v>
      </c>
      <c r="P1601">
        <v>171.45</v>
      </c>
      <c r="S1601" t="str">
        <f>"RECEITAS COM ENTREGAS (303)"</f>
        <v>RECEITAS COM ENTREGAS (303)</v>
      </c>
      <c r="T1601">
        <v>4361</v>
      </c>
      <c r="U1601">
        <v>3721</v>
      </c>
      <c r="V1601" t="s">
        <v>22</v>
      </c>
    </row>
    <row r="1602" spans="1:22">
      <c r="A1602" t="str">
        <f t="shared" si="563"/>
        <v>18/02/2026</v>
      </c>
      <c r="B1602" t="str">
        <f t="shared" si="564"/>
        <v>ENTRADA</v>
      </c>
      <c r="C1602" t="str">
        <f t="shared" si="565"/>
        <v>NFSE</v>
      </c>
      <c r="D1602" t="str">
        <f>"304"</f>
        <v>304</v>
      </c>
      <c r="E1602" t="str">
        <f t="shared" si="566"/>
        <v>1</v>
      </c>
      <c r="F1602" t="str">
        <f t="shared" si="567"/>
        <v>COM</v>
      </c>
      <c r="G1602" t="str">
        <f>"PENSE FARMA 35 (10227)"</f>
        <v>PENSE FARMA 35 (10227)</v>
      </c>
      <c r="H1602" t="s">
        <v>415</v>
      </c>
      <c r="I1602" t="str">
        <f t="shared" si="568"/>
        <v>13/02/2026</v>
      </c>
      <c r="J1602" t="str">
        <f t="shared" si="569"/>
        <v>10/02/2026</v>
      </c>
      <c r="K1602">
        <v>46071</v>
      </c>
      <c r="N1602">
        <v>303</v>
      </c>
      <c r="O1602" t="s">
        <v>26</v>
      </c>
      <c r="Q1602">
        <v>171.45</v>
      </c>
      <c r="R1602" t="str">
        <f>"PENSE FARMA 35 (10227)"</f>
        <v>PENSE FARMA 35 (10227)</v>
      </c>
      <c r="S1602" t="s">
        <v>27</v>
      </c>
      <c r="T1602">
        <v>4361</v>
      </c>
      <c r="U1602">
        <v>3721</v>
      </c>
      <c r="V1602" t="s">
        <v>22</v>
      </c>
    </row>
    <row r="1603" spans="1:22">
      <c r="A1603" t="str">
        <f t="shared" si="563"/>
        <v>18/02/2026</v>
      </c>
      <c r="B1603" t="str">
        <f t="shared" si="564"/>
        <v>ENTRADA</v>
      </c>
      <c r="C1603" t="str">
        <f t="shared" si="565"/>
        <v>NFSE</v>
      </c>
      <c r="D1603" t="str">
        <f>"311"</f>
        <v>311</v>
      </c>
      <c r="E1603" t="str">
        <f t="shared" si="566"/>
        <v>1</v>
      </c>
      <c r="F1603" t="str">
        <f t="shared" si="567"/>
        <v>COM</v>
      </c>
      <c r="G1603" t="str">
        <f>"PENSE FARMA 19 (10223)"</f>
        <v>PENSE FARMA 19 (10223)</v>
      </c>
      <c r="H1603" t="str">
        <f>"Serv.Prest. 02/02/2026 a 08/02/2026 - RPS: 2233 - NFSe: 311"</f>
        <v>Serv.Prest. 02/02/2026 a 08/02/2026 - RPS: 2233 - NFSe: 311</v>
      </c>
      <c r="I1603" t="str">
        <f t="shared" si="568"/>
        <v>13/02/2026</v>
      </c>
      <c r="J1603" t="str">
        <f t="shared" si="569"/>
        <v>10/02/2026</v>
      </c>
      <c r="K1603" t="str">
        <f>("18/02/2026")</f>
        <v>18/02/2026</v>
      </c>
      <c r="L1603">
        <v>448.95</v>
      </c>
      <c r="M1603">
        <v>448.95</v>
      </c>
      <c r="N1603">
        <v>303</v>
      </c>
      <c r="O1603" t="str">
        <f>"RECEITAS COM ENTREGAS"</f>
        <v>RECEITAS COM ENTREGAS</v>
      </c>
      <c r="P1603">
        <v>448.95</v>
      </c>
      <c r="S1603" t="str">
        <f>"RECEITAS COM ENTREGAS (303)"</f>
        <v>RECEITAS COM ENTREGAS (303)</v>
      </c>
      <c r="T1603">
        <v>4362</v>
      </c>
      <c r="U1603">
        <v>3728</v>
      </c>
      <c r="V1603" t="s">
        <v>22</v>
      </c>
    </row>
    <row r="1604" spans="1:22">
      <c r="A1604" t="str">
        <f t="shared" si="563"/>
        <v>18/02/2026</v>
      </c>
      <c r="B1604" t="str">
        <f t="shared" si="564"/>
        <v>ENTRADA</v>
      </c>
      <c r="C1604" t="str">
        <f t="shared" si="565"/>
        <v>NFSE</v>
      </c>
      <c r="D1604" t="str">
        <f>"311"</f>
        <v>311</v>
      </c>
      <c r="E1604" t="str">
        <f t="shared" si="566"/>
        <v>1</v>
      </c>
      <c r="F1604" t="str">
        <f t="shared" si="567"/>
        <v>COM</v>
      </c>
      <c r="G1604" t="str">
        <f>"PENSE FARMA 19 (10223)"</f>
        <v>PENSE FARMA 19 (10223)</v>
      </c>
      <c r="H1604" t="s">
        <v>416</v>
      </c>
      <c r="I1604" t="str">
        <f t="shared" si="568"/>
        <v>13/02/2026</v>
      </c>
      <c r="J1604" t="str">
        <f t="shared" si="569"/>
        <v>10/02/2026</v>
      </c>
      <c r="K1604">
        <v>46071</v>
      </c>
      <c r="N1604">
        <v>303</v>
      </c>
      <c r="O1604" t="s">
        <v>26</v>
      </c>
      <c r="Q1604">
        <v>448.95</v>
      </c>
      <c r="R1604" t="str">
        <f>"PENSE FARMA 19 (10223)"</f>
        <v>PENSE FARMA 19 (10223)</v>
      </c>
      <c r="S1604" t="s">
        <v>27</v>
      </c>
      <c r="T1604">
        <v>4362</v>
      </c>
      <c r="U1604">
        <v>3728</v>
      </c>
      <c r="V1604" t="s">
        <v>22</v>
      </c>
    </row>
    <row r="1605" spans="1:22">
      <c r="A1605" t="str">
        <f t="shared" si="563"/>
        <v>18/02/2026</v>
      </c>
      <c r="B1605" t="str">
        <f t="shared" si="564"/>
        <v>ENTRADA</v>
      </c>
      <c r="C1605" t="str">
        <f t="shared" si="565"/>
        <v>NFSE</v>
      </c>
      <c r="D1605" t="str">
        <f>"303"</f>
        <v>303</v>
      </c>
      <c r="E1605" t="str">
        <f t="shared" si="566"/>
        <v>1</v>
      </c>
      <c r="F1605" t="str">
        <f t="shared" si="567"/>
        <v>COM</v>
      </c>
      <c r="G1605" t="str">
        <f>"PENSE FARMA 47 (10232)"</f>
        <v>PENSE FARMA 47 (10232)</v>
      </c>
      <c r="H1605" t="str">
        <f>"Serv.Prest. 02/02/2026 a 08/02/2026 - RPS: 2225 - NFSe: 303"</f>
        <v>Serv.Prest. 02/02/2026 a 08/02/2026 - RPS: 2225 - NFSe: 303</v>
      </c>
      <c r="I1605" t="str">
        <f t="shared" si="568"/>
        <v>13/02/2026</v>
      </c>
      <c r="J1605" t="str">
        <f t="shared" si="569"/>
        <v>10/02/2026</v>
      </c>
      <c r="K1605" t="str">
        <f>("18/02/2026")</f>
        <v>18/02/2026</v>
      </c>
      <c r="L1605">
        <v>320.23</v>
      </c>
      <c r="M1605">
        <v>320.23</v>
      </c>
      <c r="N1605">
        <v>303</v>
      </c>
      <c r="O1605" t="str">
        <f>"RECEITAS COM ENTREGAS"</f>
        <v>RECEITAS COM ENTREGAS</v>
      </c>
      <c r="P1605">
        <v>320.23</v>
      </c>
      <c r="S1605" t="str">
        <f>"RECEITAS COM ENTREGAS (303)"</f>
        <v>RECEITAS COM ENTREGAS (303)</v>
      </c>
      <c r="T1605">
        <v>4363</v>
      </c>
      <c r="U1605">
        <v>3720</v>
      </c>
      <c r="V1605" t="s">
        <v>22</v>
      </c>
    </row>
    <row r="1606" spans="1:22">
      <c r="A1606" t="str">
        <f t="shared" si="563"/>
        <v>18/02/2026</v>
      </c>
      <c r="B1606" t="str">
        <f t="shared" si="564"/>
        <v>ENTRADA</v>
      </c>
      <c r="C1606" t="str">
        <f t="shared" si="565"/>
        <v>NFSE</v>
      </c>
      <c r="D1606" t="str">
        <f>"303"</f>
        <v>303</v>
      </c>
      <c r="E1606" t="str">
        <f t="shared" si="566"/>
        <v>1</v>
      </c>
      <c r="F1606" t="str">
        <f t="shared" si="567"/>
        <v>COM</v>
      </c>
      <c r="G1606" t="str">
        <f>"PENSE FARMA 47 (10232)"</f>
        <v>PENSE FARMA 47 (10232)</v>
      </c>
      <c r="H1606" t="s">
        <v>417</v>
      </c>
      <c r="I1606" t="str">
        <f t="shared" si="568"/>
        <v>13/02/2026</v>
      </c>
      <c r="J1606" t="str">
        <f t="shared" si="569"/>
        <v>10/02/2026</v>
      </c>
      <c r="K1606">
        <v>46071</v>
      </c>
      <c r="N1606">
        <v>303</v>
      </c>
      <c r="O1606" t="s">
        <v>26</v>
      </c>
      <c r="Q1606">
        <v>320.23</v>
      </c>
      <c r="R1606" t="str">
        <f>"PENSE FARMA 47 (10232)"</f>
        <v>PENSE FARMA 47 (10232)</v>
      </c>
      <c r="S1606" t="s">
        <v>27</v>
      </c>
      <c r="T1606">
        <v>4363</v>
      </c>
      <c r="U1606">
        <v>3720</v>
      </c>
      <c r="V1606" t="s">
        <v>22</v>
      </c>
    </row>
    <row r="1607" spans="1:22">
      <c r="A1607" t="str">
        <f t="shared" si="563"/>
        <v>18/02/2026</v>
      </c>
      <c r="B1607" t="str">
        <f t="shared" si="564"/>
        <v>ENTRADA</v>
      </c>
      <c r="C1607" t="str">
        <f t="shared" si="565"/>
        <v>NFSE</v>
      </c>
      <c r="D1607" t="str">
        <f>"305"</f>
        <v>305</v>
      </c>
      <c r="E1607" t="str">
        <f t="shared" si="566"/>
        <v>1</v>
      </c>
      <c r="F1607" t="str">
        <f t="shared" si="567"/>
        <v>COM</v>
      </c>
      <c r="G1607" t="str">
        <f>"PENSE FARMA 31 (10205)"</f>
        <v>PENSE FARMA 31 (10205)</v>
      </c>
      <c r="H1607" t="str">
        <f>"Serv.Prest. 02/02/2026 a 08/02/2026 - RPS: 2228 - NFSe: 305"</f>
        <v>Serv.Prest. 02/02/2026 a 08/02/2026 - RPS: 2228 - NFSe: 305</v>
      </c>
      <c r="I1607" t="str">
        <f t="shared" si="568"/>
        <v>13/02/2026</v>
      </c>
      <c r="J1607" t="str">
        <f t="shared" si="569"/>
        <v>10/02/2026</v>
      </c>
      <c r="K1607" t="str">
        <f>("18/02/2026")</f>
        <v>18/02/2026</v>
      </c>
      <c r="L1607">
        <v>540.16999999999996</v>
      </c>
      <c r="M1607">
        <v>540.16999999999996</v>
      </c>
      <c r="N1607">
        <v>303</v>
      </c>
      <c r="O1607" t="str">
        <f>"RECEITAS COM ENTREGAS"</f>
        <v>RECEITAS COM ENTREGAS</v>
      </c>
      <c r="P1607">
        <v>540.16999999999996</v>
      </c>
      <c r="S1607" t="str">
        <f>"RECEITAS COM ENTREGAS (303)"</f>
        <v>RECEITAS COM ENTREGAS (303)</v>
      </c>
      <c r="T1607">
        <v>4364</v>
      </c>
      <c r="U1607">
        <v>3723</v>
      </c>
      <c r="V1607" t="s">
        <v>22</v>
      </c>
    </row>
    <row r="1608" spans="1:22">
      <c r="A1608" t="str">
        <f t="shared" si="563"/>
        <v>18/02/2026</v>
      </c>
      <c r="B1608" t="str">
        <f t="shared" si="564"/>
        <v>ENTRADA</v>
      </c>
      <c r="C1608" t="str">
        <f t="shared" si="565"/>
        <v>NFSE</v>
      </c>
      <c r="D1608" t="str">
        <f>"305"</f>
        <v>305</v>
      </c>
      <c r="E1608" t="str">
        <f t="shared" si="566"/>
        <v>1</v>
      </c>
      <c r="F1608" t="str">
        <f t="shared" si="567"/>
        <v>COM</v>
      </c>
      <c r="G1608" t="str">
        <f>"PENSE FARMA 31 (10205)"</f>
        <v>PENSE FARMA 31 (10205)</v>
      </c>
      <c r="H1608" t="s">
        <v>418</v>
      </c>
      <c r="I1608" t="str">
        <f t="shared" si="568"/>
        <v>13/02/2026</v>
      </c>
      <c r="J1608" t="str">
        <f t="shared" si="569"/>
        <v>10/02/2026</v>
      </c>
      <c r="K1608">
        <v>46071</v>
      </c>
      <c r="N1608">
        <v>303</v>
      </c>
      <c r="O1608" t="s">
        <v>26</v>
      </c>
      <c r="Q1608">
        <v>134.94</v>
      </c>
      <c r="R1608" t="str">
        <f>"PENSE FARMA 31 (10205)"</f>
        <v>PENSE FARMA 31 (10205)</v>
      </c>
      <c r="S1608" t="s">
        <v>27</v>
      </c>
      <c r="T1608">
        <v>4364</v>
      </c>
      <c r="U1608">
        <v>3723</v>
      </c>
      <c r="V1608" t="s">
        <v>22</v>
      </c>
    </row>
    <row r="1609" spans="1:22">
      <c r="A1609" t="str">
        <f t="shared" ref="A1609:A1640" si="572">("18/02/2026")</f>
        <v>18/02/2026</v>
      </c>
      <c r="B1609" t="str">
        <f t="shared" si="564"/>
        <v>ENTRADA</v>
      </c>
      <c r="C1609" t="str">
        <f t="shared" si="565"/>
        <v>NFSE</v>
      </c>
      <c r="D1609" t="str">
        <f>"305"</f>
        <v>305</v>
      </c>
      <c r="E1609" t="str">
        <f t="shared" si="566"/>
        <v>1</v>
      </c>
      <c r="F1609" t="str">
        <f t="shared" si="567"/>
        <v>COM</v>
      </c>
      <c r="G1609" t="str">
        <f>"PENSE FARMA 31 (10205)"</f>
        <v>PENSE FARMA 31 (10205)</v>
      </c>
      <c r="H1609" t="s">
        <v>418</v>
      </c>
      <c r="I1609" t="str">
        <f t="shared" si="568"/>
        <v>13/02/2026</v>
      </c>
      <c r="J1609" t="str">
        <f t="shared" si="569"/>
        <v>10/02/2026</v>
      </c>
      <c r="K1609">
        <v>46071</v>
      </c>
      <c r="N1609">
        <v>303</v>
      </c>
      <c r="O1609" t="s">
        <v>26</v>
      </c>
      <c r="Q1609">
        <v>134.93</v>
      </c>
      <c r="R1609" t="str">
        <f>"PENSE FARMA 16 (10221)"</f>
        <v>PENSE FARMA 16 (10221)</v>
      </c>
      <c r="S1609" t="s">
        <v>27</v>
      </c>
      <c r="T1609">
        <v>4364</v>
      </c>
      <c r="U1609">
        <v>3723</v>
      </c>
      <c r="V1609" t="s">
        <v>22</v>
      </c>
    </row>
    <row r="1610" spans="1:22">
      <c r="A1610" t="str">
        <f t="shared" si="572"/>
        <v>18/02/2026</v>
      </c>
      <c r="B1610" t="str">
        <f t="shared" ref="B1610:B1641" si="573">"ENTRADA"</f>
        <v>ENTRADA</v>
      </c>
      <c r="C1610" t="str">
        <f t="shared" ref="C1610:C1641" si="574">"NFSE"</f>
        <v>NFSE</v>
      </c>
      <c r="D1610" t="str">
        <f>"305"</f>
        <v>305</v>
      </c>
      <c r="E1610" t="str">
        <f t="shared" ref="E1610:E1641" si="575">"1"</f>
        <v>1</v>
      </c>
      <c r="F1610" t="str">
        <f t="shared" ref="F1610:F1641" si="576">"COM"</f>
        <v>COM</v>
      </c>
      <c r="G1610" t="str">
        <f>"PENSE FARMA 31 (10205)"</f>
        <v>PENSE FARMA 31 (10205)</v>
      </c>
      <c r="H1610" t="s">
        <v>418</v>
      </c>
      <c r="I1610" t="str">
        <f t="shared" ref="I1610:I1630" si="577">("13/02/2026")</f>
        <v>13/02/2026</v>
      </c>
      <c r="J1610" t="str">
        <f t="shared" ref="J1610:J1626" si="578">("10/02/2026")</f>
        <v>10/02/2026</v>
      </c>
      <c r="K1610">
        <v>46071</v>
      </c>
      <c r="N1610">
        <v>303</v>
      </c>
      <c r="O1610" t="s">
        <v>26</v>
      </c>
      <c r="Q1610">
        <v>134.93</v>
      </c>
      <c r="R1610" t="str">
        <f>"PENSE FARMA 17 (10222)"</f>
        <v>PENSE FARMA 17 (10222)</v>
      </c>
      <c r="S1610" t="s">
        <v>27</v>
      </c>
      <c r="T1610">
        <v>4364</v>
      </c>
      <c r="U1610">
        <v>3723</v>
      </c>
      <c r="V1610" t="s">
        <v>22</v>
      </c>
    </row>
    <row r="1611" spans="1:22">
      <c r="A1611" t="str">
        <f t="shared" si="572"/>
        <v>18/02/2026</v>
      </c>
      <c r="B1611" t="str">
        <f t="shared" si="573"/>
        <v>ENTRADA</v>
      </c>
      <c r="C1611" t="str">
        <f t="shared" si="574"/>
        <v>NFSE</v>
      </c>
      <c r="D1611" t="str">
        <f>"305"</f>
        <v>305</v>
      </c>
      <c r="E1611" t="str">
        <f t="shared" si="575"/>
        <v>1</v>
      </c>
      <c r="F1611" t="str">
        <f t="shared" si="576"/>
        <v>COM</v>
      </c>
      <c r="G1611" t="str">
        <f>"PENSE FARMA 31 (10205)"</f>
        <v>PENSE FARMA 31 (10205)</v>
      </c>
      <c r="H1611" t="s">
        <v>418</v>
      </c>
      <c r="I1611" t="str">
        <f t="shared" si="577"/>
        <v>13/02/2026</v>
      </c>
      <c r="J1611" t="str">
        <f t="shared" si="578"/>
        <v>10/02/2026</v>
      </c>
      <c r="K1611">
        <v>46071</v>
      </c>
      <c r="N1611">
        <v>303</v>
      </c>
      <c r="O1611" t="s">
        <v>26</v>
      </c>
      <c r="Q1611">
        <v>135.37</v>
      </c>
      <c r="R1611" t="str">
        <f>"PENSE FARMA 62 (10274)"</f>
        <v>PENSE FARMA 62 (10274)</v>
      </c>
      <c r="S1611" t="s">
        <v>27</v>
      </c>
      <c r="T1611">
        <v>4364</v>
      </c>
      <c r="U1611">
        <v>3723</v>
      </c>
      <c r="V1611" t="s">
        <v>22</v>
      </c>
    </row>
    <row r="1612" spans="1:22">
      <c r="A1612" t="str">
        <f t="shared" si="572"/>
        <v>18/02/2026</v>
      </c>
      <c r="B1612" t="str">
        <f t="shared" si="573"/>
        <v>ENTRADA</v>
      </c>
      <c r="C1612" t="str">
        <f t="shared" si="574"/>
        <v>NFSE</v>
      </c>
      <c r="D1612" t="str">
        <f>"308"</f>
        <v>308</v>
      </c>
      <c r="E1612" t="str">
        <f t="shared" si="575"/>
        <v>1</v>
      </c>
      <c r="F1612" t="str">
        <f t="shared" si="576"/>
        <v>COM</v>
      </c>
      <c r="G1612" t="str">
        <f>"PENSE FARMA 09 (10218)"</f>
        <v>PENSE FARMA 09 (10218)</v>
      </c>
      <c r="H1612" t="str">
        <f>"Serv.Prest. 02/02/2026 a 08/02/2026 - RPS: 2227 - NFSe: 308"</f>
        <v>Serv.Prest. 02/02/2026 a 08/02/2026 - RPS: 2227 - NFSe: 308</v>
      </c>
      <c r="I1612" t="str">
        <f t="shared" si="577"/>
        <v>13/02/2026</v>
      </c>
      <c r="J1612" t="str">
        <f t="shared" si="578"/>
        <v>10/02/2026</v>
      </c>
      <c r="K1612" t="str">
        <f>("18/02/2026")</f>
        <v>18/02/2026</v>
      </c>
      <c r="L1612">
        <v>336.54</v>
      </c>
      <c r="M1612">
        <v>336.54</v>
      </c>
      <c r="N1612">
        <v>303</v>
      </c>
      <c r="O1612" t="str">
        <f>"RECEITAS COM ENTREGAS"</f>
        <v>RECEITAS COM ENTREGAS</v>
      </c>
      <c r="P1612">
        <v>336.54</v>
      </c>
      <c r="S1612" t="str">
        <f>"RECEITAS COM ENTREGAS (303)"</f>
        <v>RECEITAS COM ENTREGAS (303)</v>
      </c>
      <c r="T1612">
        <v>4365</v>
      </c>
      <c r="U1612">
        <v>3722</v>
      </c>
      <c r="V1612" t="s">
        <v>22</v>
      </c>
    </row>
    <row r="1613" spans="1:22">
      <c r="A1613" t="str">
        <f t="shared" si="572"/>
        <v>18/02/2026</v>
      </c>
      <c r="B1613" t="str">
        <f t="shared" si="573"/>
        <v>ENTRADA</v>
      </c>
      <c r="C1613" t="str">
        <f t="shared" si="574"/>
        <v>NFSE</v>
      </c>
      <c r="D1613" t="str">
        <f>"308"</f>
        <v>308</v>
      </c>
      <c r="E1613" t="str">
        <f t="shared" si="575"/>
        <v>1</v>
      </c>
      <c r="F1613" t="str">
        <f t="shared" si="576"/>
        <v>COM</v>
      </c>
      <c r="G1613" t="str">
        <f>"PENSE FARMA 09 (10218)"</f>
        <v>PENSE FARMA 09 (10218)</v>
      </c>
      <c r="H1613" t="s">
        <v>419</v>
      </c>
      <c r="I1613" t="str">
        <f t="shared" si="577"/>
        <v>13/02/2026</v>
      </c>
      <c r="J1613" t="str">
        <f t="shared" si="578"/>
        <v>10/02/2026</v>
      </c>
      <c r="K1613">
        <v>46071</v>
      </c>
      <c r="N1613">
        <v>303</v>
      </c>
      <c r="O1613" t="s">
        <v>26</v>
      </c>
      <c r="Q1613">
        <v>168.27</v>
      </c>
      <c r="R1613" t="str">
        <f>"PENSE FARMA 09 (10218)"</f>
        <v>PENSE FARMA 09 (10218)</v>
      </c>
      <c r="S1613" t="s">
        <v>27</v>
      </c>
      <c r="T1613">
        <v>4365</v>
      </c>
      <c r="U1613">
        <v>3722</v>
      </c>
      <c r="V1613" t="s">
        <v>22</v>
      </c>
    </row>
    <row r="1614" spans="1:22">
      <c r="A1614" t="str">
        <f t="shared" si="572"/>
        <v>18/02/2026</v>
      </c>
      <c r="B1614" t="str">
        <f t="shared" si="573"/>
        <v>ENTRADA</v>
      </c>
      <c r="C1614" t="str">
        <f t="shared" si="574"/>
        <v>NFSE</v>
      </c>
      <c r="D1614" t="str">
        <f>"308"</f>
        <v>308</v>
      </c>
      <c r="E1614" t="str">
        <f t="shared" si="575"/>
        <v>1</v>
      </c>
      <c r="F1614" t="str">
        <f t="shared" si="576"/>
        <v>COM</v>
      </c>
      <c r="G1614" t="str">
        <f>"PENSE FARMA 09 (10218)"</f>
        <v>PENSE FARMA 09 (10218)</v>
      </c>
      <c r="H1614" t="s">
        <v>419</v>
      </c>
      <c r="I1614" t="str">
        <f t="shared" si="577"/>
        <v>13/02/2026</v>
      </c>
      <c r="J1614" t="str">
        <f t="shared" si="578"/>
        <v>10/02/2026</v>
      </c>
      <c r="K1614">
        <v>46071</v>
      </c>
      <c r="N1614">
        <v>303</v>
      </c>
      <c r="O1614" t="s">
        <v>26</v>
      </c>
      <c r="Q1614">
        <v>168.27</v>
      </c>
      <c r="R1614" t="str">
        <f>"PENSE FARMA 10 (10219)"</f>
        <v>PENSE FARMA 10 (10219)</v>
      </c>
      <c r="S1614" t="s">
        <v>27</v>
      </c>
      <c r="T1614">
        <v>4365</v>
      </c>
      <c r="U1614">
        <v>3722</v>
      </c>
      <c r="V1614" t="s">
        <v>22</v>
      </c>
    </row>
    <row r="1615" spans="1:22">
      <c r="A1615" t="str">
        <f t="shared" si="572"/>
        <v>18/02/2026</v>
      </c>
      <c r="B1615" t="str">
        <f t="shared" si="573"/>
        <v>ENTRADA</v>
      </c>
      <c r="C1615" t="str">
        <f t="shared" si="574"/>
        <v>NFSE</v>
      </c>
      <c r="D1615" t="str">
        <f>"310"</f>
        <v>310</v>
      </c>
      <c r="E1615" t="str">
        <f t="shared" si="575"/>
        <v>1</v>
      </c>
      <c r="F1615" t="str">
        <f t="shared" si="576"/>
        <v>COM</v>
      </c>
      <c r="G1615" t="str">
        <f>"PENSE FARMA 39 (10228)"</f>
        <v>PENSE FARMA 39 (10228)</v>
      </c>
      <c r="H1615" t="str">
        <f>"Serv.Prest. 02/02/2026 a 08/02/2026 - RPS: 2232 - NFSe: 310"</f>
        <v>Serv.Prest. 02/02/2026 a 08/02/2026 - RPS: 2232 - NFSe: 310</v>
      </c>
      <c r="I1615" t="str">
        <f t="shared" si="577"/>
        <v>13/02/2026</v>
      </c>
      <c r="J1615" t="str">
        <f t="shared" si="578"/>
        <v>10/02/2026</v>
      </c>
      <c r="K1615" t="str">
        <f>("18/02/2026")</f>
        <v>18/02/2026</v>
      </c>
      <c r="L1615">
        <v>599.98</v>
      </c>
      <c r="M1615">
        <v>599.98</v>
      </c>
      <c r="N1615">
        <v>303</v>
      </c>
      <c r="O1615" t="str">
        <f>"RECEITAS COM ENTREGAS"</f>
        <v>RECEITAS COM ENTREGAS</v>
      </c>
      <c r="P1615">
        <v>599.98</v>
      </c>
      <c r="S1615" t="str">
        <f>"RECEITAS COM ENTREGAS (303)"</f>
        <v>RECEITAS COM ENTREGAS (303)</v>
      </c>
      <c r="T1615">
        <v>4366</v>
      </c>
      <c r="U1615">
        <v>3727</v>
      </c>
      <c r="V1615" t="s">
        <v>22</v>
      </c>
    </row>
    <row r="1616" spans="1:22">
      <c r="A1616" t="str">
        <f t="shared" si="572"/>
        <v>18/02/2026</v>
      </c>
      <c r="B1616" t="str">
        <f t="shared" si="573"/>
        <v>ENTRADA</v>
      </c>
      <c r="C1616" t="str">
        <f t="shared" si="574"/>
        <v>NFSE</v>
      </c>
      <c r="D1616" t="str">
        <f>"310"</f>
        <v>310</v>
      </c>
      <c r="E1616" t="str">
        <f t="shared" si="575"/>
        <v>1</v>
      </c>
      <c r="F1616" t="str">
        <f t="shared" si="576"/>
        <v>COM</v>
      </c>
      <c r="G1616" t="str">
        <f>"PENSE FARMA 39 (10228)"</f>
        <v>PENSE FARMA 39 (10228)</v>
      </c>
      <c r="H1616" t="s">
        <v>420</v>
      </c>
      <c r="I1616" t="str">
        <f t="shared" si="577"/>
        <v>13/02/2026</v>
      </c>
      <c r="J1616" t="str">
        <f t="shared" si="578"/>
        <v>10/02/2026</v>
      </c>
      <c r="K1616">
        <v>46071</v>
      </c>
      <c r="N1616">
        <v>303</v>
      </c>
      <c r="O1616" t="s">
        <v>26</v>
      </c>
      <c r="Q1616">
        <v>148.85</v>
      </c>
      <c r="R1616" t="str">
        <f>"PENSE FARMA 02 (10199)"</f>
        <v>PENSE FARMA 02 (10199)</v>
      </c>
      <c r="S1616" t="s">
        <v>27</v>
      </c>
      <c r="T1616">
        <v>4366</v>
      </c>
      <c r="U1616">
        <v>3727</v>
      </c>
      <c r="V1616" t="s">
        <v>22</v>
      </c>
    </row>
    <row r="1617" spans="1:22">
      <c r="A1617" t="str">
        <f t="shared" si="572"/>
        <v>18/02/2026</v>
      </c>
      <c r="B1617" t="str">
        <f t="shared" si="573"/>
        <v>ENTRADA</v>
      </c>
      <c r="C1617" t="str">
        <f t="shared" si="574"/>
        <v>NFSE</v>
      </c>
      <c r="D1617" t="str">
        <f>"310"</f>
        <v>310</v>
      </c>
      <c r="E1617" t="str">
        <f t="shared" si="575"/>
        <v>1</v>
      </c>
      <c r="F1617" t="str">
        <f t="shared" si="576"/>
        <v>COM</v>
      </c>
      <c r="G1617" t="str">
        <f>"PENSE FARMA 39 (10228)"</f>
        <v>PENSE FARMA 39 (10228)</v>
      </c>
      <c r="H1617" t="s">
        <v>420</v>
      </c>
      <c r="I1617" t="str">
        <f t="shared" si="577"/>
        <v>13/02/2026</v>
      </c>
      <c r="J1617" t="str">
        <f t="shared" si="578"/>
        <v>10/02/2026</v>
      </c>
      <c r="K1617">
        <v>46071</v>
      </c>
      <c r="N1617">
        <v>303</v>
      </c>
      <c r="O1617" t="s">
        <v>26</v>
      </c>
      <c r="Q1617">
        <v>148.86000000000001</v>
      </c>
      <c r="R1617" t="str">
        <f>"PENSE FARMA 01 (10215)"</f>
        <v>PENSE FARMA 01 (10215)</v>
      </c>
      <c r="S1617" t="s">
        <v>27</v>
      </c>
      <c r="T1617">
        <v>4366</v>
      </c>
      <c r="U1617">
        <v>3727</v>
      </c>
      <c r="V1617" t="s">
        <v>22</v>
      </c>
    </row>
    <row r="1618" spans="1:22">
      <c r="A1618" t="str">
        <f t="shared" si="572"/>
        <v>18/02/2026</v>
      </c>
      <c r="B1618" t="str">
        <f t="shared" si="573"/>
        <v>ENTRADA</v>
      </c>
      <c r="C1618" t="str">
        <f t="shared" si="574"/>
        <v>NFSE</v>
      </c>
      <c r="D1618" t="str">
        <f>"310"</f>
        <v>310</v>
      </c>
      <c r="E1618" t="str">
        <f t="shared" si="575"/>
        <v>1</v>
      </c>
      <c r="F1618" t="str">
        <f t="shared" si="576"/>
        <v>COM</v>
      </c>
      <c r="G1618" t="str">
        <f>"PENSE FARMA 39 (10228)"</f>
        <v>PENSE FARMA 39 (10228)</v>
      </c>
      <c r="H1618" t="s">
        <v>420</v>
      </c>
      <c r="I1618" t="str">
        <f t="shared" si="577"/>
        <v>13/02/2026</v>
      </c>
      <c r="J1618" t="str">
        <f t="shared" si="578"/>
        <v>10/02/2026</v>
      </c>
      <c r="K1618">
        <v>46071</v>
      </c>
      <c r="N1618">
        <v>303</v>
      </c>
      <c r="O1618" t="s">
        <v>26</v>
      </c>
      <c r="Q1618">
        <v>148.86000000000001</v>
      </c>
      <c r="R1618" t="str">
        <f>"PENSE FARMA 03 (10216)"</f>
        <v>PENSE FARMA 03 (10216)</v>
      </c>
      <c r="S1618" t="s">
        <v>27</v>
      </c>
      <c r="T1618">
        <v>4366</v>
      </c>
      <c r="U1618">
        <v>3727</v>
      </c>
      <c r="V1618" t="s">
        <v>22</v>
      </c>
    </row>
    <row r="1619" spans="1:22">
      <c r="A1619" t="str">
        <f t="shared" si="572"/>
        <v>18/02/2026</v>
      </c>
      <c r="B1619" t="str">
        <f t="shared" si="573"/>
        <v>ENTRADA</v>
      </c>
      <c r="C1619" t="str">
        <f t="shared" si="574"/>
        <v>NFSE</v>
      </c>
      <c r="D1619" t="str">
        <f>"310"</f>
        <v>310</v>
      </c>
      <c r="E1619" t="str">
        <f t="shared" si="575"/>
        <v>1</v>
      </c>
      <c r="F1619" t="str">
        <f t="shared" si="576"/>
        <v>COM</v>
      </c>
      <c r="G1619" t="str">
        <f>"PENSE FARMA 39 (10228)"</f>
        <v>PENSE FARMA 39 (10228)</v>
      </c>
      <c r="H1619" t="s">
        <v>420</v>
      </c>
      <c r="I1619" t="str">
        <f t="shared" si="577"/>
        <v>13/02/2026</v>
      </c>
      <c r="J1619" t="str">
        <f t="shared" si="578"/>
        <v>10/02/2026</v>
      </c>
      <c r="K1619">
        <v>46071</v>
      </c>
      <c r="N1619">
        <v>303</v>
      </c>
      <c r="O1619" t="s">
        <v>26</v>
      </c>
      <c r="Q1619">
        <v>153.41</v>
      </c>
      <c r="R1619" t="str">
        <f>"PENSE FARMA 39 (10228)"</f>
        <v>PENSE FARMA 39 (10228)</v>
      </c>
      <c r="S1619" t="s">
        <v>27</v>
      </c>
      <c r="T1619">
        <v>4366</v>
      </c>
      <c r="U1619">
        <v>3727</v>
      </c>
      <c r="V1619" t="s">
        <v>22</v>
      </c>
    </row>
    <row r="1620" spans="1:22">
      <c r="A1620" t="str">
        <f t="shared" si="572"/>
        <v>18/02/2026</v>
      </c>
      <c r="B1620" t="str">
        <f t="shared" si="573"/>
        <v>ENTRADA</v>
      </c>
      <c r="C1620" t="str">
        <f t="shared" si="574"/>
        <v>NFSE</v>
      </c>
      <c r="D1620" t="str">
        <f>"309"</f>
        <v>309</v>
      </c>
      <c r="E1620" t="str">
        <f t="shared" si="575"/>
        <v>1</v>
      </c>
      <c r="F1620" t="str">
        <f t="shared" si="576"/>
        <v>COM</v>
      </c>
      <c r="G1620" t="str">
        <f>"PENSE FARMA 22 (10198)"</f>
        <v>PENSE FARMA 22 (10198)</v>
      </c>
      <c r="H1620" t="str">
        <f>"Serv.Prest. 02/02/2026 a 08/02/2026 - RPS: 2231 - NFSe: 309"</f>
        <v>Serv.Prest. 02/02/2026 a 08/02/2026 - RPS: 2231 - NFSe: 309</v>
      </c>
      <c r="I1620" t="str">
        <f t="shared" si="577"/>
        <v>13/02/2026</v>
      </c>
      <c r="J1620" t="str">
        <f t="shared" si="578"/>
        <v>10/02/2026</v>
      </c>
      <c r="K1620" t="str">
        <f>("18/02/2026")</f>
        <v>18/02/2026</v>
      </c>
      <c r="L1620">
        <v>418.56</v>
      </c>
      <c r="M1620">
        <v>418.56</v>
      </c>
      <c r="N1620">
        <v>303</v>
      </c>
      <c r="O1620" t="str">
        <f>"RECEITAS COM ENTREGAS"</f>
        <v>RECEITAS COM ENTREGAS</v>
      </c>
      <c r="P1620">
        <v>418.56</v>
      </c>
      <c r="S1620" t="str">
        <f>"RECEITAS COM ENTREGAS (303)"</f>
        <v>RECEITAS COM ENTREGAS (303)</v>
      </c>
      <c r="T1620">
        <v>4367</v>
      </c>
      <c r="U1620">
        <v>3726</v>
      </c>
      <c r="V1620" t="s">
        <v>22</v>
      </c>
    </row>
    <row r="1621" spans="1:22">
      <c r="A1621" t="str">
        <f t="shared" si="572"/>
        <v>18/02/2026</v>
      </c>
      <c r="B1621" t="str">
        <f t="shared" si="573"/>
        <v>ENTRADA</v>
      </c>
      <c r="C1621" t="str">
        <f t="shared" si="574"/>
        <v>NFSE</v>
      </c>
      <c r="D1621" t="str">
        <f>"309"</f>
        <v>309</v>
      </c>
      <c r="E1621" t="str">
        <f t="shared" si="575"/>
        <v>1</v>
      </c>
      <c r="F1621" t="str">
        <f t="shared" si="576"/>
        <v>COM</v>
      </c>
      <c r="G1621" t="str">
        <f>"PENSE FARMA 22 (10198)"</f>
        <v>PENSE FARMA 22 (10198)</v>
      </c>
      <c r="H1621" t="s">
        <v>421</v>
      </c>
      <c r="I1621" t="str">
        <f t="shared" si="577"/>
        <v>13/02/2026</v>
      </c>
      <c r="J1621" t="str">
        <f t="shared" si="578"/>
        <v>10/02/2026</v>
      </c>
      <c r="K1621">
        <v>46071</v>
      </c>
      <c r="N1621">
        <v>303</v>
      </c>
      <c r="O1621" t="s">
        <v>26</v>
      </c>
      <c r="Q1621">
        <v>418.56</v>
      </c>
      <c r="R1621" t="str">
        <f>"PENSE FARMA 22 (10198)"</f>
        <v>PENSE FARMA 22 (10198)</v>
      </c>
      <c r="S1621" t="s">
        <v>27</v>
      </c>
      <c r="T1621">
        <v>4367</v>
      </c>
      <c r="U1621">
        <v>3726</v>
      </c>
      <c r="V1621" t="s">
        <v>22</v>
      </c>
    </row>
    <row r="1622" spans="1:22">
      <c r="A1622" t="str">
        <f t="shared" si="572"/>
        <v>18/02/2026</v>
      </c>
      <c r="B1622" t="str">
        <f t="shared" si="573"/>
        <v>ENTRADA</v>
      </c>
      <c r="C1622" t="str">
        <f t="shared" si="574"/>
        <v>NFSE</v>
      </c>
      <c r="D1622" t="str">
        <f>"307"</f>
        <v>307</v>
      </c>
      <c r="E1622" t="str">
        <f t="shared" si="575"/>
        <v>1</v>
      </c>
      <c r="F1622" t="str">
        <f t="shared" si="576"/>
        <v>COM</v>
      </c>
      <c r="G1622" t="str">
        <f>"PENSE FARMA 44 (10231)"</f>
        <v>PENSE FARMA 44 (10231)</v>
      </c>
      <c r="H1622" t="str">
        <f>"Serv.Prest. 02/02/2026 a 08/02/2026 - RPS: 2230 - NFSe: 307"</f>
        <v>Serv.Prest. 02/02/2026 a 08/02/2026 - RPS: 2230 - NFSe: 307</v>
      </c>
      <c r="I1622" t="str">
        <f t="shared" si="577"/>
        <v>13/02/2026</v>
      </c>
      <c r="J1622" t="str">
        <f t="shared" si="578"/>
        <v>10/02/2026</v>
      </c>
      <c r="K1622" t="str">
        <f>("18/02/2026")</f>
        <v>18/02/2026</v>
      </c>
      <c r="L1622">
        <v>630.80999999999995</v>
      </c>
      <c r="M1622">
        <v>630.80999999999995</v>
      </c>
      <c r="N1622">
        <v>303</v>
      </c>
      <c r="O1622" t="str">
        <f>"RECEITAS COM ENTREGAS"</f>
        <v>RECEITAS COM ENTREGAS</v>
      </c>
      <c r="P1622">
        <v>630.80999999999995</v>
      </c>
      <c r="S1622" t="str">
        <f>"RECEITAS COM ENTREGAS (303)"</f>
        <v>RECEITAS COM ENTREGAS (303)</v>
      </c>
      <c r="T1622">
        <v>4368</v>
      </c>
      <c r="U1622">
        <v>3725</v>
      </c>
      <c r="V1622" t="s">
        <v>22</v>
      </c>
    </row>
    <row r="1623" spans="1:22">
      <c r="A1623" t="str">
        <f t="shared" si="572"/>
        <v>18/02/2026</v>
      </c>
      <c r="B1623" t="str">
        <f t="shared" si="573"/>
        <v>ENTRADA</v>
      </c>
      <c r="C1623" t="str">
        <f t="shared" si="574"/>
        <v>NFSE</v>
      </c>
      <c r="D1623" t="str">
        <f>"307"</f>
        <v>307</v>
      </c>
      <c r="E1623" t="str">
        <f t="shared" si="575"/>
        <v>1</v>
      </c>
      <c r="F1623" t="str">
        <f t="shared" si="576"/>
        <v>COM</v>
      </c>
      <c r="G1623" t="str">
        <f>"PENSE FARMA 44 (10231)"</f>
        <v>PENSE FARMA 44 (10231)</v>
      </c>
      <c r="H1623" t="s">
        <v>422</v>
      </c>
      <c r="I1623" t="str">
        <f t="shared" si="577"/>
        <v>13/02/2026</v>
      </c>
      <c r="J1623" t="str">
        <f t="shared" si="578"/>
        <v>10/02/2026</v>
      </c>
      <c r="K1623">
        <v>46071</v>
      </c>
      <c r="N1623">
        <v>303</v>
      </c>
      <c r="O1623" t="s">
        <v>26</v>
      </c>
      <c r="Q1623">
        <v>314.89999999999998</v>
      </c>
      <c r="R1623" t="str">
        <f>"PENSE FARMA 44 (10231)"</f>
        <v>PENSE FARMA 44 (10231)</v>
      </c>
      <c r="S1623" t="s">
        <v>27</v>
      </c>
      <c r="T1623">
        <v>4368</v>
      </c>
      <c r="U1623">
        <v>3725</v>
      </c>
      <c r="V1623" t="s">
        <v>22</v>
      </c>
    </row>
    <row r="1624" spans="1:22">
      <c r="A1624" t="str">
        <f t="shared" si="572"/>
        <v>18/02/2026</v>
      </c>
      <c r="B1624" t="str">
        <f t="shared" si="573"/>
        <v>ENTRADA</v>
      </c>
      <c r="C1624" t="str">
        <f t="shared" si="574"/>
        <v>NFSE</v>
      </c>
      <c r="D1624" t="str">
        <f>"307"</f>
        <v>307</v>
      </c>
      <c r="E1624" t="str">
        <f t="shared" si="575"/>
        <v>1</v>
      </c>
      <c r="F1624" t="str">
        <f t="shared" si="576"/>
        <v>COM</v>
      </c>
      <c r="G1624" t="str">
        <f>"PENSE FARMA 44 (10231)"</f>
        <v>PENSE FARMA 44 (10231)</v>
      </c>
      <c r="H1624" t="s">
        <v>422</v>
      </c>
      <c r="I1624" t="str">
        <f t="shared" si="577"/>
        <v>13/02/2026</v>
      </c>
      <c r="J1624" t="str">
        <f t="shared" si="578"/>
        <v>10/02/2026</v>
      </c>
      <c r="K1624">
        <v>46071</v>
      </c>
      <c r="N1624">
        <v>303</v>
      </c>
      <c r="O1624" t="s">
        <v>26</v>
      </c>
      <c r="Q1624">
        <v>315.91000000000003</v>
      </c>
      <c r="R1624" t="str">
        <f>"PENSE FARMA 48 (10233)"</f>
        <v>PENSE FARMA 48 (10233)</v>
      </c>
      <c r="S1624" t="s">
        <v>27</v>
      </c>
      <c r="T1624">
        <v>4368</v>
      </c>
      <c r="U1624">
        <v>3725</v>
      </c>
      <c r="V1624" t="s">
        <v>22</v>
      </c>
    </row>
    <row r="1625" spans="1:22">
      <c r="A1625" t="str">
        <f t="shared" si="572"/>
        <v>18/02/2026</v>
      </c>
      <c r="B1625" t="str">
        <f t="shared" si="573"/>
        <v>ENTRADA</v>
      </c>
      <c r="C1625" t="str">
        <f t="shared" si="574"/>
        <v>NFSE</v>
      </c>
      <c r="D1625" t="str">
        <f>"302"</f>
        <v>302</v>
      </c>
      <c r="E1625" t="str">
        <f t="shared" si="575"/>
        <v>1</v>
      </c>
      <c r="F1625" t="str">
        <f t="shared" si="576"/>
        <v>COM</v>
      </c>
      <c r="G1625" t="str">
        <f>"PENSE FARMA 46 (10194)"</f>
        <v>PENSE FARMA 46 (10194)</v>
      </c>
      <c r="H1625" t="str">
        <f>"Serv.Prest. 02/02/2026 a 08/02/2026 - RPS: 2224 - NFSe: 302"</f>
        <v>Serv.Prest. 02/02/2026 a 08/02/2026 - RPS: 2224 - NFSe: 302</v>
      </c>
      <c r="I1625" t="str">
        <f t="shared" si="577"/>
        <v>13/02/2026</v>
      </c>
      <c r="J1625" t="str">
        <f t="shared" si="578"/>
        <v>10/02/2026</v>
      </c>
      <c r="K1625" t="str">
        <f>("18/02/2026")</f>
        <v>18/02/2026</v>
      </c>
      <c r="L1625">
        <v>342</v>
      </c>
      <c r="M1625">
        <v>342</v>
      </c>
      <c r="N1625">
        <v>303</v>
      </c>
      <c r="O1625" t="str">
        <f>"RECEITAS COM ENTREGAS"</f>
        <v>RECEITAS COM ENTREGAS</v>
      </c>
      <c r="P1625">
        <v>342</v>
      </c>
      <c r="S1625" t="str">
        <f>"RECEITAS COM ENTREGAS (303)"</f>
        <v>RECEITAS COM ENTREGAS (303)</v>
      </c>
      <c r="T1625">
        <v>4369</v>
      </c>
      <c r="U1625">
        <v>3719</v>
      </c>
      <c r="V1625" t="s">
        <v>22</v>
      </c>
    </row>
    <row r="1626" spans="1:22">
      <c r="A1626" t="str">
        <f t="shared" si="572"/>
        <v>18/02/2026</v>
      </c>
      <c r="B1626" t="str">
        <f t="shared" si="573"/>
        <v>ENTRADA</v>
      </c>
      <c r="C1626" t="str">
        <f t="shared" si="574"/>
        <v>NFSE</v>
      </c>
      <c r="D1626" t="str">
        <f>"302"</f>
        <v>302</v>
      </c>
      <c r="E1626" t="str">
        <f t="shared" si="575"/>
        <v>1</v>
      </c>
      <c r="F1626" t="str">
        <f t="shared" si="576"/>
        <v>COM</v>
      </c>
      <c r="G1626" t="str">
        <f>"PENSE FARMA 46 (10194)"</f>
        <v>PENSE FARMA 46 (10194)</v>
      </c>
      <c r="H1626" t="s">
        <v>423</v>
      </c>
      <c r="I1626" t="str">
        <f t="shared" si="577"/>
        <v>13/02/2026</v>
      </c>
      <c r="J1626" t="str">
        <f t="shared" si="578"/>
        <v>10/02/2026</v>
      </c>
      <c r="K1626">
        <v>46071</v>
      </c>
      <c r="N1626">
        <v>303</v>
      </c>
      <c r="O1626" t="s">
        <v>26</v>
      </c>
      <c r="Q1626">
        <v>342</v>
      </c>
      <c r="R1626" t="str">
        <f>"PENSE FARMA 46 (10194)"</f>
        <v>PENSE FARMA 46 (10194)</v>
      </c>
      <c r="S1626" t="s">
        <v>27</v>
      </c>
      <c r="T1626">
        <v>4369</v>
      </c>
      <c r="U1626">
        <v>3719</v>
      </c>
      <c r="V1626" t="s">
        <v>22</v>
      </c>
    </row>
    <row r="1627" spans="1:22">
      <c r="A1627" t="str">
        <f t="shared" si="572"/>
        <v>18/02/2026</v>
      </c>
      <c r="B1627" t="str">
        <f t="shared" si="573"/>
        <v>ENTRADA</v>
      </c>
      <c r="C1627" t="str">
        <f t="shared" si="574"/>
        <v>NFSE</v>
      </c>
      <c r="D1627" t="str">
        <f>"6"</f>
        <v>6</v>
      </c>
      <c r="E1627" t="str">
        <f t="shared" si="575"/>
        <v>1</v>
      </c>
      <c r="F1627" t="str">
        <f t="shared" si="576"/>
        <v>COM</v>
      </c>
      <c r="G1627" t="str">
        <f>"PENSE FARMA 07 (10201)"</f>
        <v>PENSE FARMA 07 (10201)</v>
      </c>
      <c r="H1627" t="str">
        <f>"Serv.Prest. 29/12/2025 a 04/01/2026 - RPS: 1933 - NFSe: 6"</f>
        <v>Serv.Prest. 29/12/2025 a 04/01/2026 - RPS: 1933 - NFSe: 6</v>
      </c>
      <c r="I1627" t="str">
        <f t="shared" si="577"/>
        <v>13/02/2026</v>
      </c>
      <c r="J1627" t="str">
        <f>("06/01/2026")</f>
        <v>06/01/2026</v>
      </c>
      <c r="K1627" t="str">
        <f>("18/02/2026")</f>
        <v>18/02/2026</v>
      </c>
      <c r="L1627">
        <v>309.75</v>
      </c>
      <c r="M1627">
        <v>309.75</v>
      </c>
      <c r="N1627">
        <v>303</v>
      </c>
      <c r="O1627" t="str">
        <f>"RECEITAS COM ENTREGAS"</f>
        <v>RECEITAS COM ENTREGAS</v>
      </c>
      <c r="P1627">
        <v>309.75</v>
      </c>
      <c r="S1627" t="str">
        <f>"RECEITAS COM ENTREGAS (303)"</f>
        <v>RECEITAS COM ENTREGAS (303)</v>
      </c>
      <c r="T1627">
        <v>4370</v>
      </c>
      <c r="U1627">
        <v>3243</v>
      </c>
      <c r="V1627" t="s">
        <v>22</v>
      </c>
    </row>
    <row r="1628" spans="1:22">
      <c r="A1628" t="str">
        <f t="shared" si="572"/>
        <v>18/02/2026</v>
      </c>
      <c r="B1628" t="str">
        <f t="shared" si="573"/>
        <v>ENTRADA</v>
      </c>
      <c r="C1628" t="str">
        <f t="shared" si="574"/>
        <v>NFSE</v>
      </c>
      <c r="D1628" t="str">
        <f>"6"</f>
        <v>6</v>
      </c>
      <c r="E1628" t="str">
        <f t="shared" si="575"/>
        <v>1</v>
      </c>
      <c r="F1628" t="str">
        <f t="shared" si="576"/>
        <v>COM</v>
      </c>
      <c r="G1628" t="str">
        <f>"PENSE FARMA 07 (10201)"</f>
        <v>PENSE FARMA 07 (10201)</v>
      </c>
      <c r="H1628" t="s">
        <v>424</v>
      </c>
      <c r="I1628" t="str">
        <f t="shared" si="577"/>
        <v>13/02/2026</v>
      </c>
      <c r="J1628" t="str">
        <f>("06/01/2026")</f>
        <v>06/01/2026</v>
      </c>
      <c r="K1628">
        <v>46071</v>
      </c>
      <c r="N1628">
        <v>303</v>
      </c>
      <c r="O1628" t="s">
        <v>26</v>
      </c>
      <c r="Q1628">
        <v>102.9</v>
      </c>
      <c r="R1628" t="str">
        <f>"PENSE FARMA 07 (10201)"</f>
        <v>PENSE FARMA 07 (10201)</v>
      </c>
      <c r="S1628" t="s">
        <v>27</v>
      </c>
      <c r="T1628">
        <v>4370</v>
      </c>
      <c r="U1628">
        <v>3243</v>
      </c>
      <c r="V1628" t="s">
        <v>22</v>
      </c>
    </row>
    <row r="1629" spans="1:22">
      <c r="A1629" t="str">
        <f t="shared" si="572"/>
        <v>18/02/2026</v>
      </c>
      <c r="B1629" t="str">
        <f t="shared" si="573"/>
        <v>ENTRADA</v>
      </c>
      <c r="C1629" t="str">
        <f t="shared" si="574"/>
        <v>NFSE</v>
      </c>
      <c r="D1629" t="str">
        <f>"6"</f>
        <v>6</v>
      </c>
      <c r="E1629" t="str">
        <f t="shared" si="575"/>
        <v>1</v>
      </c>
      <c r="F1629" t="str">
        <f t="shared" si="576"/>
        <v>COM</v>
      </c>
      <c r="G1629" t="str">
        <f>"PENSE FARMA 07 (10201)"</f>
        <v>PENSE FARMA 07 (10201)</v>
      </c>
      <c r="H1629" t="s">
        <v>424</v>
      </c>
      <c r="I1629" t="str">
        <f t="shared" si="577"/>
        <v>13/02/2026</v>
      </c>
      <c r="J1629" t="str">
        <f>("06/01/2026")</f>
        <v>06/01/2026</v>
      </c>
      <c r="K1629">
        <v>46071</v>
      </c>
      <c r="N1629">
        <v>303</v>
      </c>
      <c r="O1629" t="s">
        <v>26</v>
      </c>
      <c r="Q1629">
        <v>102.9</v>
      </c>
      <c r="R1629" t="str">
        <f>"PENSE FARMA 45 (10209)"</f>
        <v>PENSE FARMA 45 (10209)</v>
      </c>
      <c r="S1629" t="s">
        <v>27</v>
      </c>
      <c r="T1629">
        <v>4370</v>
      </c>
      <c r="U1629">
        <v>3243</v>
      </c>
      <c r="V1629" t="s">
        <v>22</v>
      </c>
    </row>
    <row r="1630" spans="1:22">
      <c r="A1630" t="str">
        <f t="shared" si="572"/>
        <v>18/02/2026</v>
      </c>
      <c r="B1630" t="str">
        <f t="shared" si="573"/>
        <v>ENTRADA</v>
      </c>
      <c r="C1630" t="str">
        <f t="shared" si="574"/>
        <v>NFSE</v>
      </c>
      <c r="D1630" t="str">
        <f>"6"</f>
        <v>6</v>
      </c>
      <c r="E1630" t="str">
        <f t="shared" si="575"/>
        <v>1</v>
      </c>
      <c r="F1630" t="str">
        <f t="shared" si="576"/>
        <v>COM</v>
      </c>
      <c r="G1630" t="str">
        <f>"PENSE FARMA 07 (10201)"</f>
        <v>PENSE FARMA 07 (10201)</v>
      </c>
      <c r="H1630" t="s">
        <v>424</v>
      </c>
      <c r="I1630" t="str">
        <f t="shared" si="577"/>
        <v>13/02/2026</v>
      </c>
      <c r="J1630" t="str">
        <f>("06/01/2026")</f>
        <v>06/01/2026</v>
      </c>
      <c r="K1630">
        <v>46071</v>
      </c>
      <c r="N1630">
        <v>303</v>
      </c>
      <c r="O1630" t="s">
        <v>26</v>
      </c>
      <c r="Q1630">
        <v>103.95</v>
      </c>
      <c r="R1630" t="str">
        <f>"PENSE FARMA 50 (10210)"</f>
        <v>PENSE FARMA 50 (10210)</v>
      </c>
      <c r="S1630" t="s">
        <v>27</v>
      </c>
      <c r="T1630">
        <v>4370</v>
      </c>
      <c r="U1630">
        <v>3243</v>
      </c>
      <c r="V1630" t="s">
        <v>22</v>
      </c>
    </row>
    <row r="1631" spans="1:22">
      <c r="A1631" t="str">
        <f t="shared" si="572"/>
        <v>18/02/2026</v>
      </c>
      <c r="B1631" t="str">
        <f t="shared" si="573"/>
        <v>ENTRADA</v>
      </c>
      <c r="C1631" t="str">
        <f t="shared" si="574"/>
        <v>NFSE</v>
      </c>
      <c r="D1631" t="str">
        <f t="shared" ref="D1631:D1649" si="579">"294"</f>
        <v>294</v>
      </c>
      <c r="E1631" t="str">
        <f t="shared" si="575"/>
        <v>1</v>
      </c>
      <c r="F1631" t="str">
        <f t="shared" si="576"/>
        <v>COM</v>
      </c>
      <c r="G1631" t="str">
        <f t="shared" ref="G1631:G1649" si="580">"FARMÁCIA INDIANA LJ 30 (10127)"</f>
        <v>FARMÁCIA INDIANA LJ 30 (10127)</v>
      </c>
      <c r="H1631" t="str">
        <f>"Serv.Prest. 02/02/2026 a 08/02/2026 - RPS: 2216 - NFSe: 294"</f>
        <v>Serv.Prest. 02/02/2026 a 08/02/2026 - RPS: 2216 - NFSe: 294</v>
      </c>
      <c r="I1631" t="str">
        <f t="shared" ref="I1631:I1662" si="581">("18/02/2026")</f>
        <v>18/02/2026</v>
      </c>
      <c r="J1631" t="str">
        <f t="shared" ref="J1631:J1660" si="582">("10/02/2026")</f>
        <v>10/02/2026</v>
      </c>
      <c r="K1631" t="str">
        <f>("18/02/2026")</f>
        <v>18/02/2026</v>
      </c>
      <c r="L1631">
        <v>3345.28</v>
      </c>
      <c r="M1631">
        <v>3345.28</v>
      </c>
      <c r="N1631">
        <v>303</v>
      </c>
      <c r="O1631" t="str">
        <f>"RECEITAS COM ENTREGAS"</f>
        <v>RECEITAS COM ENTREGAS</v>
      </c>
      <c r="P1631">
        <v>3345.28</v>
      </c>
      <c r="S1631" t="str">
        <f>"RECEITAS COM ENTREGAS (303)"</f>
        <v>RECEITAS COM ENTREGAS (303)</v>
      </c>
      <c r="T1631">
        <v>4371</v>
      </c>
      <c r="U1631">
        <v>3711</v>
      </c>
      <c r="V1631" t="s">
        <v>22</v>
      </c>
    </row>
    <row r="1632" spans="1:22">
      <c r="A1632" t="str">
        <f t="shared" si="572"/>
        <v>18/02/2026</v>
      </c>
      <c r="B1632" t="str">
        <f t="shared" si="573"/>
        <v>ENTRADA</v>
      </c>
      <c r="C1632" t="str">
        <f t="shared" si="574"/>
        <v>NFSE</v>
      </c>
      <c r="D1632" t="str">
        <f t="shared" si="579"/>
        <v>294</v>
      </c>
      <c r="E1632" t="str">
        <f t="shared" si="575"/>
        <v>1</v>
      </c>
      <c r="F1632" t="str">
        <f t="shared" si="576"/>
        <v>COM</v>
      </c>
      <c r="G1632" t="str">
        <f t="shared" si="580"/>
        <v>FARMÁCIA INDIANA LJ 30 (10127)</v>
      </c>
      <c r="H1632" t="s">
        <v>425</v>
      </c>
      <c r="I1632" t="str">
        <f t="shared" si="581"/>
        <v>18/02/2026</v>
      </c>
      <c r="J1632" t="str">
        <f t="shared" si="582"/>
        <v>10/02/2026</v>
      </c>
      <c r="K1632">
        <v>46071</v>
      </c>
      <c r="N1632">
        <v>303</v>
      </c>
      <c r="O1632" t="s">
        <v>26</v>
      </c>
      <c r="Q1632">
        <v>343.55</v>
      </c>
      <c r="R1632" t="str">
        <f>"FARMÁCIA INDIANA LJ 34 (10014)"</f>
        <v>FARMÁCIA INDIANA LJ 34 (10014)</v>
      </c>
      <c r="S1632" t="s">
        <v>27</v>
      </c>
      <c r="T1632">
        <v>4371</v>
      </c>
      <c r="U1632">
        <v>3711</v>
      </c>
      <c r="V1632" t="s">
        <v>22</v>
      </c>
    </row>
    <row r="1633" spans="1:22">
      <c r="A1633" t="str">
        <f t="shared" si="572"/>
        <v>18/02/2026</v>
      </c>
      <c r="B1633" t="str">
        <f t="shared" si="573"/>
        <v>ENTRADA</v>
      </c>
      <c r="C1633" t="str">
        <f t="shared" si="574"/>
        <v>NFSE</v>
      </c>
      <c r="D1633" t="str">
        <f t="shared" si="579"/>
        <v>294</v>
      </c>
      <c r="E1633" t="str">
        <f t="shared" si="575"/>
        <v>1</v>
      </c>
      <c r="F1633" t="str">
        <f t="shared" si="576"/>
        <v>COM</v>
      </c>
      <c r="G1633" t="str">
        <f t="shared" si="580"/>
        <v>FARMÁCIA INDIANA LJ 30 (10127)</v>
      </c>
      <c r="H1633" t="s">
        <v>425</v>
      </c>
      <c r="I1633" t="str">
        <f t="shared" si="581"/>
        <v>18/02/2026</v>
      </c>
      <c r="J1633" t="str">
        <f t="shared" si="582"/>
        <v>10/02/2026</v>
      </c>
      <c r="K1633">
        <v>46071</v>
      </c>
      <c r="N1633">
        <v>303</v>
      </c>
      <c r="O1633" t="s">
        <v>26</v>
      </c>
      <c r="Q1633">
        <v>167.93</v>
      </c>
      <c r="R1633" t="str">
        <f>"FARMÁCIA INDIANA LJ 35 (10015)"</f>
        <v>FARMÁCIA INDIANA LJ 35 (10015)</v>
      </c>
      <c r="S1633" t="s">
        <v>27</v>
      </c>
      <c r="T1633">
        <v>4371</v>
      </c>
      <c r="U1633">
        <v>3711</v>
      </c>
      <c r="V1633" t="s">
        <v>22</v>
      </c>
    </row>
    <row r="1634" spans="1:22">
      <c r="A1634" t="str">
        <f t="shared" si="572"/>
        <v>18/02/2026</v>
      </c>
      <c r="B1634" t="str">
        <f t="shared" si="573"/>
        <v>ENTRADA</v>
      </c>
      <c r="C1634" t="str">
        <f t="shared" si="574"/>
        <v>NFSE</v>
      </c>
      <c r="D1634" t="str">
        <f t="shared" si="579"/>
        <v>294</v>
      </c>
      <c r="E1634" t="str">
        <f t="shared" si="575"/>
        <v>1</v>
      </c>
      <c r="F1634" t="str">
        <f t="shared" si="576"/>
        <v>COM</v>
      </c>
      <c r="G1634" t="str">
        <f t="shared" si="580"/>
        <v>FARMÁCIA INDIANA LJ 30 (10127)</v>
      </c>
      <c r="H1634" t="s">
        <v>425</v>
      </c>
      <c r="I1634" t="str">
        <f t="shared" si="581"/>
        <v>18/02/2026</v>
      </c>
      <c r="J1634" t="str">
        <f t="shared" si="582"/>
        <v>10/02/2026</v>
      </c>
      <c r="K1634">
        <v>46071</v>
      </c>
      <c r="N1634">
        <v>303</v>
      </c>
      <c r="O1634" t="s">
        <v>26</v>
      </c>
      <c r="Q1634">
        <v>321.82</v>
      </c>
      <c r="R1634" t="str">
        <f>"FARMÁCIA INDIANA LJ 48 (10018)"</f>
        <v>FARMÁCIA INDIANA LJ 48 (10018)</v>
      </c>
      <c r="S1634" t="s">
        <v>27</v>
      </c>
      <c r="T1634">
        <v>4371</v>
      </c>
      <c r="U1634">
        <v>3711</v>
      </c>
      <c r="V1634" t="s">
        <v>22</v>
      </c>
    </row>
    <row r="1635" spans="1:22">
      <c r="A1635" t="str">
        <f t="shared" si="572"/>
        <v>18/02/2026</v>
      </c>
      <c r="B1635" t="str">
        <f t="shared" si="573"/>
        <v>ENTRADA</v>
      </c>
      <c r="C1635" t="str">
        <f t="shared" si="574"/>
        <v>NFSE</v>
      </c>
      <c r="D1635" t="str">
        <f t="shared" si="579"/>
        <v>294</v>
      </c>
      <c r="E1635" t="str">
        <f t="shared" si="575"/>
        <v>1</v>
      </c>
      <c r="F1635" t="str">
        <f t="shared" si="576"/>
        <v>COM</v>
      </c>
      <c r="G1635" t="str">
        <f t="shared" si="580"/>
        <v>FARMÁCIA INDIANA LJ 30 (10127)</v>
      </c>
      <c r="H1635" t="s">
        <v>425</v>
      </c>
      <c r="I1635" t="str">
        <f t="shared" si="581"/>
        <v>18/02/2026</v>
      </c>
      <c r="J1635" t="str">
        <f t="shared" si="582"/>
        <v>10/02/2026</v>
      </c>
      <c r="K1635">
        <v>46071</v>
      </c>
      <c r="N1635">
        <v>303</v>
      </c>
      <c r="O1635" t="s">
        <v>26</v>
      </c>
      <c r="Q1635">
        <v>348.91</v>
      </c>
      <c r="R1635" t="str">
        <f>"FARMÁCIA INDIANA LJ 65 (10030)"</f>
        <v>FARMÁCIA INDIANA LJ 65 (10030)</v>
      </c>
      <c r="S1635" t="s">
        <v>27</v>
      </c>
      <c r="T1635">
        <v>4371</v>
      </c>
      <c r="U1635">
        <v>3711</v>
      </c>
      <c r="V1635" t="s">
        <v>22</v>
      </c>
    </row>
    <row r="1636" spans="1:22">
      <c r="A1636" t="str">
        <f t="shared" si="572"/>
        <v>18/02/2026</v>
      </c>
      <c r="B1636" t="str">
        <f t="shared" si="573"/>
        <v>ENTRADA</v>
      </c>
      <c r="C1636" t="str">
        <f t="shared" si="574"/>
        <v>NFSE</v>
      </c>
      <c r="D1636" t="str">
        <f t="shared" si="579"/>
        <v>294</v>
      </c>
      <c r="E1636" t="str">
        <f t="shared" si="575"/>
        <v>1</v>
      </c>
      <c r="F1636" t="str">
        <f t="shared" si="576"/>
        <v>COM</v>
      </c>
      <c r="G1636" t="str">
        <f t="shared" si="580"/>
        <v>FARMÁCIA INDIANA LJ 30 (10127)</v>
      </c>
      <c r="H1636" t="s">
        <v>425</v>
      </c>
      <c r="I1636" t="str">
        <f t="shared" si="581"/>
        <v>18/02/2026</v>
      </c>
      <c r="J1636" t="str">
        <f t="shared" si="582"/>
        <v>10/02/2026</v>
      </c>
      <c r="K1636">
        <v>46071</v>
      </c>
      <c r="N1636">
        <v>303</v>
      </c>
      <c r="O1636" t="s">
        <v>26</v>
      </c>
      <c r="Q1636">
        <v>85.64</v>
      </c>
      <c r="R1636" t="str">
        <f>"FARMÁCIA INDIANA LJ 77 (10034)"</f>
        <v>FARMÁCIA INDIANA LJ 77 (10034)</v>
      </c>
      <c r="S1636" t="s">
        <v>27</v>
      </c>
      <c r="T1636">
        <v>4371</v>
      </c>
      <c r="U1636">
        <v>3711</v>
      </c>
      <c r="V1636" t="s">
        <v>22</v>
      </c>
    </row>
    <row r="1637" spans="1:22">
      <c r="A1637" t="str">
        <f t="shared" si="572"/>
        <v>18/02/2026</v>
      </c>
      <c r="B1637" t="str">
        <f t="shared" si="573"/>
        <v>ENTRADA</v>
      </c>
      <c r="C1637" t="str">
        <f t="shared" si="574"/>
        <v>NFSE</v>
      </c>
      <c r="D1637" t="str">
        <f t="shared" si="579"/>
        <v>294</v>
      </c>
      <c r="E1637" t="str">
        <f t="shared" si="575"/>
        <v>1</v>
      </c>
      <c r="F1637" t="str">
        <f t="shared" si="576"/>
        <v>COM</v>
      </c>
      <c r="G1637" t="str">
        <f t="shared" si="580"/>
        <v>FARMÁCIA INDIANA LJ 30 (10127)</v>
      </c>
      <c r="H1637" t="s">
        <v>425</v>
      </c>
      <c r="I1637" t="str">
        <f t="shared" si="581"/>
        <v>18/02/2026</v>
      </c>
      <c r="J1637" t="str">
        <f t="shared" si="582"/>
        <v>10/02/2026</v>
      </c>
      <c r="K1637">
        <v>46071</v>
      </c>
      <c r="N1637">
        <v>303</v>
      </c>
      <c r="O1637" t="s">
        <v>26</v>
      </c>
      <c r="Q1637">
        <v>614.53</v>
      </c>
      <c r="R1637" t="str">
        <f>"FARMÁCIA INDIANA LJ 91 (10037)"</f>
        <v>FARMÁCIA INDIANA LJ 91 (10037)</v>
      </c>
      <c r="S1637" t="s">
        <v>27</v>
      </c>
      <c r="T1637">
        <v>4371</v>
      </c>
      <c r="U1637">
        <v>3711</v>
      </c>
      <c r="V1637" t="s">
        <v>22</v>
      </c>
    </row>
    <row r="1638" spans="1:22">
      <c r="A1638" t="str">
        <f t="shared" si="572"/>
        <v>18/02/2026</v>
      </c>
      <c r="B1638" t="str">
        <f t="shared" si="573"/>
        <v>ENTRADA</v>
      </c>
      <c r="C1638" t="str">
        <f t="shared" si="574"/>
        <v>NFSE</v>
      </c>
      <c r="D1638" t="str">
        <f t="shared" si="579"/>
        <v>294</v>
      </c>
      <c r="E1638" t="str">
        <f t="shared" si="575"/>
        <v>1</v>
      </c>
      <c r="F1638" t="str">
        <f t="shared" si="576"/>
        <v>COM</v>
      </c>
      <c r="G1638" t="str">
        <f t="shared" si="580"/>
        <v>FARMÁCIA INDIANA LJ 30 (10127)</v>
      </c>
      <c r="H1638" t="s">
        <v>425</v>
      </c>
      <c r="I1638" t="str">
        <f t="shared" si="581"/>
        <v>18/02/2026</v>
      </c>
      <c r="J1638" t="str">
        <f t="shared" si="582"/>
        <v>10/02/2026</v>
      </c>
      <c r="K1638">
        <v>46071</v>
      </c>
      <c r="N1638">
        <v>303</v>
      </c>
      <c r="O1638" t="s">
        <v>26</v>
      </c>
      <c r="Q1638">
        <v>165.59</v>
      </c>
      <c r="R1638" t="str">
        <f>"FARMÁCIA INDIANA LJ 95 (10039)"</f>
        <v>FARMÁCIA INDIANA LJ 95 (10039)</v>
      </c>
      <c r="S1638" t="s">
        <v>27</v>
      </c>
      <c r="T1638">
        <v>4371</v>
      </c>
      <c r="U1638">
        <v>3711</v>
      </c>
      <c r="V1638" t="s">
        <v>22</v>
      </c>
    </row>
    <row r="1639" spans="1:22">
      <c r="A1639" t="str">
        <f t="shared" si="572"/>
        <v>18/02/2026</v>
      </c>
      <c r="B1639" t="str">
        <f t="shared" si="573"/>
        <v>ENTRADA</v>
      </c>
      <c r="C1639" t="str">
        <f t="shared" si="574"/>
        <v>NFSE</v>
      </c>
      <c r="D1639" t="str">
        <f t="shared" si="579"/>
        <v>294</v>
      </c>
      <c r="E1639" t="str">
        <f t="shared" si="575"/>
        <v>1</v>
      </c>
      <c r="F1639" t="str">
        <f t="shared" si="576"/>
        <v>COM</v>
      </c>
      <c r="G1639" t="str">
        <f t="shared" si="580"/>
        <v>FARMÁCIA INDIANA LJ 30 (10127)</v>
      </c>
      <c r="H1639" t="s">
        <v>425</v>
      </c>
      <c r="I1639" t="str">
        <f t="shared" si="581"/>
        <v>18/02/2026</v>
      </c>
      <c r="J1639" t="str">
        <f t="shared" si="582"/>
        <v>10/02/2026</v>
      </c>
      <c r="K1639">
        <v>46071</v>
      </c>
      <c r="N1639">
        <v>303</v>
      </c>
      <c r="O1639" t="s">
        <v>26</v>
      </c>
      <c r="Q1639">
        <v>141.51</v>
      </c>
      <c r="R1639" t="str">
        <f>"FARMÁCIA INDIANA LJ 145 (10068)"</f>
        <v>FARMÁCIA INDIANA LJ 145 (10068)</v>
      </c>
      <c r="S1639" t="s">
        <v>27</v>
      </c>
      <c r="T1639">
        <v>4371</v>
      </c>
      <c r="U1639">
        <v>3711</v>
      </c>
      <c r="V1639" t="s">
        <v>22</v>
      </c>
    </row>
    <row r="1640" spans="1:22">
      <c r="A1640" t="str">
        <f t="shared" si="572"/>
        <v>18/02/2026</v>
      </c>
      <c r="B1640" t="str">
        <f t="shared" si="573"/>
        <v>ENTRADA</v>
      </c>
      <c r="C1640" t="str">
        <f t="shared" si="574"/>
        <v>NFSE</v>
      </c>
      <c r="D1640" t="str">
        <f t="shared" si="579"/>
        <v>294</v>
      </c>
      <c r="E1640" t="str">
        <f t="shared" si="575"/>
        <v>1</v>
      </c>
      <c r="F1640" t="str">
        <f t="shared" si="576"/>
        <v>COM</v>
      </c>
      <c r="G1640" t="str">
        <f t="shared" si="580"/>
        <v>FARMÁCIA INDIANA LJ 30 (10127)</v>
      </c>
      <c r="H1640" t="s">
        <v>425</v>
      </c>
      <c r="I1640" t="str">
        <f t="shared" si="581"/>
        <v>18/02/2026</v>
      </c>
      <c r="J1640" t="str">
        <f t="shared" si="582"/>
        <v>10/02/2026</v>
      </c>
      <c r="K1640">
        <v>46071</v>
      </c>
      <c r="N1640">
        <v>303</v>
      </c>
      <c r="O1640" t="s">
        <v>26</v>
      </c>
      <c r="Q1640">
        <v>158.57</v>
      </c>
      <c r="R1640" t="str">
        <f>"FARMÁCIA INDIANA LJ 169 (10073)"</f>
        <v>FARMÁCIA INDIANA LJ 169 (10073)</v>
      </c>
      <c r="S1640" t="s">
        <v>27</v>
      </c>
      <c r="T1640">
        <v>4371</v>
      </c>
      <c r="U1640">
        <v>3711</v>
      </c>
      <c r="V1640" t="s">
        <v>22</v>
      </c>
    </row>
    <row r="1641" spans="1:22">
      <c r="A1641" t="str">
        <f t="shared" ref="A1641:A1661" si="583">("18/02/2026")</f>
        <v>18/02/2026</v>
      </c>
      <c r="B1641" t="str">
        <f t="shared" si="573"/>
        <v>ENTRADA</v>
      </c>
      <c r="C1641" t="str">
        <f t="shared" si="574"/>
        <v>NFSE</v>
      </c>
      <c r="D1641" t="str">
        <f t="shared" si="579"/>
        <v>294</v>
      </c>
      <c r="E1641" t="str">
        <f t="shared" si="575"/>
        <v>1</v>
      </c>
      <c r="F1641" t="str">
        <f t="shared" si="576"/>
        <v>COM</v>
      </c>
      <c r="G1641" t="str">
        <f t="shared" si="580"/>
        <v>FARMÁCIA INDIANA LJ 30 (10127)</v>
      </c>
      <c r="H1641" t="s">
        <v>425</v>
      </c>
      <c r="I1641" t="str">
        <f t="shared" si="581"/>
        <v>18/02/2026</v>
      </c>
      <c r="J1641" t="str">
        <f t="shared" si="582"/>
        <v>10/02/2026</v>
      </c>
      <c r="K1641">
        <v>46071</v>
      </c>
      <c r="N1641">
        <v>303</v>
      </c>
      <c r="O1641" t="s">
        <v>26</v>
      </c>
      <c r="Q1641">
        <v>174.29</v>
      </c>
      <c r="R1641" t="str">
        <f>"FARMÁCIA INDIANA LJ 173 (10075)"</f>
        <v>FARMÁCIA INDIANA LJ 173 (10075)</v>
      </c>
      <c r="S1641" t="s">
        <v>27</v>
      </c>
      <c r="T1641">
        <v>4371</v>
      </c>
      <c r="U1641">
        <v>3711</v>
      </c>
      <c r="V1641" t="s">
        <v>22</v>
      </c>
    </row>
    <row r="1642" spans="1:22">
      <c r="A1642" t="str">
        <f t="shared" si="583"/>
        <v>18/02/2026</v>
      </c>
      <c r="B1642" t="str">
        <f t="shared" ref="B1642:B1660" si="584">"ENTRADA"</f>
        <v>ENTRADA</v>
      </c>
      <c r="C1642" t="str">
        <f t="shared" ref="C1642:C1660" si="585">"NFSE"</f>
        <v>NFSE</v>
      </c>
      <c r="D1642" t="str">
        <f t="shared" si="579"/>
        <v>294</v>
      </c>
      <c r="E1642" t="str">
        <f t="shared" ref="E1642:E1660" si="586">"1"</f>
        <v>1</v>
      </c>
      <c r="F1642" t="str">
        <f t="shared" ref="F1642:F1660" si="587">"COM"</f>
        <v>COM</v>
      </c>
      <c r="G1642" t="str">
        <f t="shared" si="580"/>
        <v>FARMÁCIA INDIANA LJ 30 (10127)</v>
      </c>
      <c r="H1642" t="s">
        <v>425</v>
      </c>
      <c r="I1642" t="str">
        <f t="shared" si="581"/>
        <v>18/02/2026</v>
      </c>
      <c r="J1642" t="str">
        <f t="shared" si="582"/>
        <v>10/02/2026</v>
      </c>
      <c r="K1642">
        <v>46071</v>
      </c>
      <c r="N1642">
        <v>303</v>
      </c>
      <c r="O1642" t="s">
        <v>26</v>
      </c>
      <c r="Q1642">
        <v>100.02</v>
      </c>
      <c r="R1642" t="str">
        <f>"FARMÁCIA INDIANA LJ 213 (10090)"</f>
        <v>FARMÁCIA INDIANA LJ 213 (10090)</v>
      </c>
      <c r="S1642" t="s">
        <v>27</v>
      </c>
      <c r="T1642">
        <v>4371</v>
      </c>
      <c r="U1642">
        <v>3711</v>
      </c>
      <c r="V1642" t="s">
        <v>22</v>
      </c>
    </row>
    <row r="1643" spans="1:22">
      <c r="A1643" t="str">
        <f t="shared" si="583"/>
        <v>18/02/2026</v>
      </c>
      <c r="B1643" t="str">
        <f t="shared" si="584"/>
        <v>ENTRADA</v>
      </c>
      <c r="C1643" t="str">
        <f t="shared" si="585"/>
        <v>NFSE</v>
      </c>
      <c r="D1643" t="str">
        <f t="shared" si="579"/>
        <v>294</v>
      </c>
      <c r="E1643" t="str">
        <f t="shared" si="586"/>
        <v>1</v>
      </c>
      <c r="F1643" t="str">
        <f t="shared" si="587"/>
        <v>COM</v>
      </c>
      <c r="G1643" t="str">
        <f t="shared" si="580"/>
        <v>FARMÁCIA INDIANA LJ 30 (10127)</v>
      </c>
      <c r="H1643" t="s">
        <v>425</v>
      </c>
      <c r="I1643" t="str">
        <f t="shared" si="581"/>
        <v>18/02/2026</v>
      </c>
      <c r="J1643" t="str">
        <f t="shared" si="582"/>
        <v>10/02/2026</v>
      </c>
      <c r="K1643">
        <v>46071</v>
      </c>
      <c r="N1643">
        <v>303</v>
      </c>
      <c r="O1643" t="s">
        <v>26</v>
      </c>
      <c r="Q1643">
        <v>135.82</v>
      </c>
      <c r="R1643" t="str">
        <f>"FARMÁCIA INDIANA LJ 200 (10155)"</f>
        <v>FARMÁCIA INDIANA LJ 200 (10155)</v>
      </c>
      <c r="S1643" t="s">
        <v>27</v>
      </c>
      <c r="T1643">
        <v>4371</v>
      </c>
      <c r="U1643">
        <v>3711</v>
      </c>
      <c r="V1643" t="s">
        <v>22</v>
      </c>
    </row>
    <row r="1644" spans="1:22">
      <c r="A1644" t="str">
        <f t="shared" si="583"/>
        <v>18/02/2026</v>
      </c>
      <c r="B1644" t="str">
        <f t="shared" si="584"/>
        <v>ENTRADA</v>
      </c>
      <c r="C1644" t="str">
        <f t="shared" si="585"/>
        <v>NFSE</v>
      </c>
      <c r="D1644" t="str">
        <f t="shared" si="579"/>
        <v>294</v>
      </c>
      <c r="E1644" t="str">
        <f t="shared" si="586"/>
        <v>1</v>
      </c>
      <c r="F1644" t="str">
        <f t="shared" si="587"/>
        <v>COM</v>
      </c>
      <c r="G1644" t="str">
        <f t="shared" si="580"/>
        <v>FARMÁCIA INDIANA LJ 30 (10127)</v>
      </c>
      <c r="H1644" t="s">
        <v>425</v>
      </c>
      <c r="I1644" t="str">
        <f t="shared" si="581"/>
        <v>18/02/2026</v>
      </c>
      <c r="J1644" t="str">
        <f t="shared" si="582"/>
        <v>10/02/2026</v>
      </c>
      <c r="K1644">
        <v>46071</v>
      </c>
      <c r="N1644">
        <v>303</v>
      </c>
      <c r="O1644" t="s">
        <v>26</v>
      </c>
      <c r="Q1644">
        <v>123.78</v>
      </c>
      <c r="R1644" t="str">
        <f>"FARMÁCIA INDIANA LJ 33 (10187)"</f>
        <v>FARMÁCIA INDIANA LJ 33 (10187)</v>
      </c>
      <c r="S1644" t="s">
        <v>27</v>
      </c>
      <c r="T1644">
        <v>4371</v>
      </c>
      <c r="U1644">
        <v>3711</v>
      </c>
      <c r="V1644" t="s">
        <v>22</v>
      </c>
    </row>
    <row r="1645" spans="1:22">
      <c r="A1645" t="str">
        <f t="shared" si="583"/>
        <v>18/02/2026</v>
      </c>
      <c r="B1645" t="str">
        <f t="shared" si="584"/>
        <v>ENTRADA</v>
      </c>
      <c r="C1645" t="str">
        <f t="shared" si="585"/>
        <v>NFSE</v>
      </c>
      <c r="D1645" t="str">
        <f t="shared" si="579"/>
        <v>294</v>
      </c>
      <c r="E1645" t="str">
        <f t="shared" si="586"/>
        <v>1</v>
      </c>
      <c r="F1645" t="str">
        <f t="shared" si="587"/>
        <v>COM</v>
      </c>
      <c r="G1645" t="str">
        <f t="shared" si="580"/>
        <v>FARMÁCIA INDIANA LJ 30 (10127)</v>
      </c>
      <c r="H1645" t="s">
        <v>425</v>
      </c>
      <c r="I1645" t="str">
        <f t="shared" si="581"/>
        <v>18/02/2026</v>
      </c>
      <c r="J1645" t="str">
        <f t="shared" si="582"/>
        <v>10/02/2026</v>
      </c>
      <c r="K1645">
        <v>46071</v>
      </c>
      <c r="N1645">
        <v>303</v>
      </c>
      <c r="O1645" t="s">
        <v>26</v>
      </c>
      <c r="Q1645">
        <v>71.25</v>
      </c>
      <c r="R1645" t="str">
        <f>"FARMÁCIA INDIANA LJ 271 (10260)"</f>
        <v>FARMÁCIA INDIANA LJ 271 (10260)</v>
      </c>
      <c r="S1645" t="s">
        <v>27</v>
      </c>
      <c r="T1645">
        <v>4371</v>
      </c>
      <c r="U1645">
        <v>3711</v>
      </c>
      <c r="V1645" t="s">
        <v>22</v>
      </c>
    </row>
    <row r="1646" spans="1:22">
      <c r="A1646" t="str">
        <f t="shared" si="583"/>
        <v>18/02/2026</v>
      </c>
      <c r="B1646" t="str">
        <f t="shared" si="584"/>
        <v>ENTRADA</v>
      </c>
      <c r="C1646" t="str">
        <f t="shared" si="585"/>
        <v>NFSE</v>
      </c>
      <c r="D1646" t="str">
        <f t="shared" si="579"/>
        <v>294</v>
      </c>
      <c r="E1646" t="str">
        <f t="shared" si="586"/>
        <v>1</v>
      </c>
      <c r="F1646" t="str">
        <f t="shared" si="587"/>
        <v>COM</v>
      </c>
      <c r="G1646" t="str">
        <f t="shared" si="580"/>
        <v>FARMÁCIA INDIANA LJ 30 (10127)</v>
      </c>
      <c r="H1646" t="s">
        <v>425</v>
      </c>
      <c r="I1646" t="str">
        <f t="shared" si="581"/>
        <v>18/02/2026</v>
      </c>
      <c r="J1646" t="str">
        <f t="shared" si="582"/>
        <v>10/02/2026</v>
      </c>
      <c r="K1646">
        <v>46071</v>
      </c>
      <c r="N1646">
        <v>303</v>
      </c>
      <c r="O1646" t="s">
        <v>26</v>
      </c>
      <c r="Q1646">
        <v>99.69</v>
      </c>
      <c r="R1646" t="str">
        <f>"FARMÁCIA INDIANA LJ 283 (10268)"</f>
        <v>FARMÁCIA INDIANA LJ 283 (10268)</v>
      </c>
      <c r="S1646" t="s">
        <v>27</v>
      </c>
      <c r="T1646">
        <v>4371</v>
      </c>
      <c r="U1646">
        <v>3711</v>
      </c>
      <c r="V1646" t="s">
        <v>22</v>
      </c>
    </row>
    <row r="1647" spans="1:22">
      <c r="A1647" t="str">
        <f t="shared" si="583"/>
        <v>18/02/2026</v>
      </c>
      <c r="B1647" t="str">
        <f t="shared" si="584"/>
        <v>ENTRADA</v>
      </c>
      <c r="C1647" t="str">
        <f t="shared" si="585"/>
        <v>NFSE</v>
      </c>
      <c r="D1647" t="str">
        <f t="shared" si="579"/>
        <v>294</v>
      </c>
      <c r="E1647" t="str">
        <f t="shared" si="586"/>
        <v>1</v>
      </c>
      <c r="F1647" t="str">
        <f t="shared" si="587"/>
        <v>COM</v>
      </c>
      <c r="G1647" t="str">
        <f t="shared" si="580"/>
        <v>FARMÁCIA INDIANA LJ 30 (10127)</v>
      </c>
      <c r="H1647" t="s">
        <v>425</v>
      </c>
      <c r="I1647" t="str">
        <f t="shared" si="581"/>
        <v>18/02/2026</v>
      </c>
      <c r="J1647" t="str">
        <f t="shared" si="582"/>
        <v>10/02/2026</v>
      </c>
      <c r="K1647">
        <v>46071</v>
      </c>
      <c r="N1647">
        <v>303</v>
      </c>
      <c r="O1647" t="s">
        <v>26</v>
      </c>
      <c r="Q1647">
        <v>47.17</v>
      </c>
      <c r="R1647" t="str">
        <f>"FARMÁCIA INDIANA LJ 155 (10273)"</f>
        <v>FARMÁCIA INDIANA LJ 155 (10273)</v>
      </c>
      <c r="S1647" t="s">
        <v>27</v>
      </c>
      <c r="T1647">
        <v>4371</v>
      </c>
      <c r="U1647">
        <v>3711</v>
      </c>
      <c r="V1647" t="s">
        <v>22</v>
      </c>
    </row>
    <row r="1648" spans="1:22">
      <c r="A1648" t="str">
        <f t="shared" si="583"/>
        <v>18/02/2026</v>
      </c>
      <c r="B1648" t="str">
        <f t="shared" si="584"/>
        <v>ENTRADA</v>
      </c>
      <c r="C1648" t="str">
        <f t="shared" si="585"/>
        <v>NFSE</v>
      </c>
      <c r="D1648" t="str">
        <f t="shared" si="579"/>
        <v>294</v>
      </c>
      <c r="E1648" t="str">
        <f t="shared" si="586"/>
        <v>1</v>
      </c>
      <c r="F1648" t="str">
        <f t="shared" si="587"/>
        <v>COM</v>
      </c>
      <c r="G1648" t="str">
        <f t="shared" si="580"/>
        <v>FARMÁCIA INDIANA LJ 30 (10127)</v>
      </c>
      <c r="H1648" t="s">
        <v>425</v>
      </c>
      <c r="I1648" t="str">
        <f t="shared" si="581"/>
        <v>18/02/2026</v>
      </c>
      <c r="J1648" t="str">
        <f t="shared" si="582"/>
        <v>10/02/2026</v>
      </c>
      <c r="K1648">
        <v>46071</v>
      </c>
      <c r="N1648">
        <v>303</v>
      </c>
      <c r="O1648" t="s">
        <v>26</v>
      </c>
      <c r="Q1648">
        <v>113.74</v>
      </c>
      <c r="R1648" t="str">
        <f>"FARMÁCIA INDIANA LJ 158 (10275)"</f>
        <v>FARMÁCIA INDIANA LJ 158 (10275)</v>
      </c>
      <c r="S1648" t="s">
        <v>27</v>
      </c>
      <c r="T1648">
        <v>4371</v>
      </c>
      <c r="U1648">
        <v>3711</v>
      </c>
      <c r="V1648" t="s">
        <v>22</v>
      </c>
    </row>
    <row r="1649" spans="1:22">
      <c r="A1649" t="str">
        <f t="shared" si="583"/>
        <v>18/02/2026</v>
      </c>
      <c r="B1649" t="str">
        <f t="shared" si="584"/>
        <v>ENTRADA</v>
      </c>
      <c r="C1649" t="str">
        <f t="shared" si="585"/>
        <v>NFSE</v>
      </c>
      <c r="D1649" t="str">
        <f t="shared" si="579"/>
        <v>294</v>
      </c>
      <c r="E1649" t="str">
        <f t="shared" si="586"/>
        <v>1</v>
      </c>
      <c r="F1649" t="str">
        <f t="shared" si="587"/>
        <v>COM</v>
      </c>
      <c r="G1649" t="str">
        <f t="shared" si="580"/>
        <v>FARMÁCIA INDIANA LJ 30 (10127)</v>
      </c>
      <c r="H1649" t="s">
        <v>425</v>
      </c>
      <c r="I1649" t="str">
        <f t="shared" si="581"/>
        <v>18/02/2026</v>
      </c>
      <c r="J1649" t="str">
        <f t="shared" si="582"/>
        <v>10/02/2026</v>
      </c>
      <c r="K1649">
        <v>46071</v>
      </c>
      <c r="N1649">
        <v>303</v>
      </c>
      <c r="O1649" t="s">
        <v>26</v>
      </c>
      <c r="Q1649">
        <v>131.47</v>
      </c>
      <c r="R1649" t="str">
        <f>"FARMÁCIA INDIANA LJ 92 (10281)"</f>
        <v>FARMÁCIA INDIANA LJ 92 (10281)</v>
      </c>
      <c r="S1649" t="s">
        <v>27</v>
      </c>
      <c r="T1649">
        <v>4371</v>
      </c>
      <c r="U1649">
        <v>3711</v>
      </c>
      <c r="V1649" t="s">
        <v>22</v>
      </c>
    </row>
    <row r="1650" spans="1:22">
      <c r="A1650" t="str">
        <f t="shared" si="583"/>
        <v>18/02/2026</v>
      </c>
      <c r="B1650" t="str">
        <f t="shared" si="584"/>
        <v>ENTRADA</v>
      </c>
      <c r="C1650" t="str">
        <f t="shared" si="585"/>
        <v>NFSE</v>
      </c>
      <c r="D1650" t="str">
        <f t="shared" ref="D1650:D1660" si="588">"293"</f>
        <v>293</v>
      </c>
      <c r="E1650" t="str">
        <f t="shared" si="586"/>
        <v>1</v>
      </c>
      <c r="F1650" t="str">
        <f t="shared" si="587"/>
        <v>COM</v>
      </c>
      <c r="G1650" t="str">
        <f t="shared" ref="G1650:G1660" si="589">"FARMÁCIA INDIANA LJ 85 (10128)"</f>
        <v>FARMÁCIA INDIANA LJ 85 (10128)</v>
      </c>
      <c r="H1650" t="str">
        <f>"Serv.Prest. 02/02/2026 a 08/02/2026 - RPS: 2215 - NFSe: 293"</f>
        <v>Serv.Prest. 02/02/2026 a 08/02/2026 - RPS: 2215 - NFSe: 293</v>
      </c>
      <c r="I1650" t="str">
        <f t="shared" si="581"/>
        <v>18/02/2026</v>
      </c>
      <c r="J1650" t="str">
        <f t="shared" si="582"/>
        <v>10/02/2026</v>
      </c>
      <c r="K1650" t="str">
        <f>("18/02/2026")</f>
        <v>18/02/2026</v>
      </c>
      <c r="L1650">
        <v>893.82</v>
      </c>
      <c r="M1650">
        <v>893.82</v>
      </c>
      <c r="N1650">
        <v>303</v>
      </c>
      <c r="O1650" t="str">
        <f>"RECEITAS COM ENTREGAS"</f>
        <v>RECEITAS COM ENTREGAS</v>
      </c>
      <c r="P1650">
        <v>893.82</v>
      </c>
      <c r="S1650" t="str">
        <f>"RECEITAS COM ENTREGAS (303)"</f>
        <v>RECEITAS COM ENTREGAS (303)</v>
      </c>
      <c r="T1650">
        <v>4372</v>
      </c>
      <c r="U1650">
        <v>3710</v>
      </c>
      <c r="V1650" t="s">
        <v>22</v>
      </c>
    </row>
    <row r="1651" spans="1:22">
      <c r="A1651" t="str">
        <f t="shared" si="583"/>
        <v>18/02/2026</v>
      </c>
      <c r="B1651" t="str">
        <f t="shared" si="584"/>
        <v>ENTRADA</v>
      </c>
      <c r="C1651" t="str">
        <f t="shared" si="585"/>
        <v>NFSE</v>
      </c>
      <c r="D1651" t="str">
        <f t="shared" si="588"/>
        <v>293</v>
      </c>
      <c r="E1651" t="str">
        <f t="shared" si="586"/>
        <v>1</v>
      </c>
      <c r="F1651" t="str">
        <f t="shared" si="587"/>
        <v>COM</v>
      </c>
      <c r="G1651" t="str">
        <f t="shared" si="589"/>
        <v>FARMÁCIA INDIANA LJ 85 (10128)</v>
      </c>
      <c r="H1651" t="s">
        <v>426</v>
      </c>
      <c r="I1651" t="str">
        <f t="shared" si="581"/>
        <v>18/02/2026</v>
      </c>
      <c r="J1651" t="str">
        <f t="shared" si="582"/>
        <v>10/02/2026</v>
      </c>
      <c r="K1651">
        <v>46071</v>
      </c>
      <c r="N1651">
        <v>303</v>
      </c>
      <c r="O1651" t="s">
        <v>26</v>
      </c>
      <c r="Q1651">
        <v>107.96</v>
      </c>
      <c r="R1651" t="str">
        <f>"FARMÁCIA INDIANA LJ 119 (10053)"</f>
        <v>FARMÁCIA INDIANA LJ 119 (10053)</v>
      </c>
      <c r="S1651" t="s">
        <v>27</v>
      </c>
      <c r="T1651">
        <v>4372</v>
      </c>
      <c r="U1651">
        <v>3710</v>
      </c>
      <c r="V1651" t="s">
        <v>22</v>
      </c>
    </row>
    <row r="1652" spans="1:22">
      <c r="A1652" t="str">
        <f t="shared" si="583"/>
        <v>18/02/2026</v>
      </c>
      <c r="B1652" t="str">
        <f t="shared" si="584"/>
        <v>ENTRADA</v>
      </c>
      <c r="C1652" t="str">
        <f t="shared" si="585"/>
        <v>NFSE</v>
      </c>
      <c r="D1652" t="str">
        <f t="shared" si="588"/>
        <v>293</v>
      </c>
      <c r="E1652" t="str">
        <f t="shared" si="586"/>
        <v>1</v>
      </c>
      <c r="F1652" t="str">
        <f t="shared" si="587"/>
        <v>COM</v>
      </c>
      <c r="G1652" t="str">
        <f t="shared" si="589"/>
        <v>FARMÁCIA INDIANA LJ 85 (10128)</v>
      </c>
      <c r="H1652" t="s">
        <v>426</v>
      </c>
      <c r="I1652" t="str">
        <f t="shared" si="581"/>
        <v>18/02/2026</v>
      </c>
      <c r="J1652" t="str">
        <f t="shared" si="582"/>
        <v>10/02/2026</v>
      </c>
      <c r="K1652">
        <v>46071</v>
      </c>
      <c r="N1652">
        <v>303</v>
      </c>
      <c r="O1652" t="s">
        <v>26</v>
      </c>
      <c r="Q1652">
        <v>128</v>
      </c>
      <c r="R1652" t="str">
        <f>"FARMÁCIA INDIANA LJ 163 (10072)"</f>
        <v>FARMÁCIA INDIANA LJ 163 (10072)</v>
      </c>
      <c r="S1652" t="s">
        <v>27</v>
      </c>
      <c r="T1652">
        <v>4372</v>
      </c>
      <c r="U1652">
        <v>3710</v>
      </c>
      <c r="V1652" t="s">
        <v>22</v>
      </c>
    </row>
    <row r="1653" spans="1:22">
      <c r="A1653" t="str">
        <f t="shared" si="583"/>
        <v>18/02/2026</v>
      </c>
      <c r="B1653" t="str">
        <f t="shared" si="584"/>
        <v>ENTRADA</v>
      </c>
      <c r="C1653" t="str">
        <f t="shared" si="585"/>
        <v>NFSE</v>
      </c>
      <c r="D1653" t="str">
        <f t="shared" si="588"/>
        <v>293</v>
      </c>
      <c r="E1653" t="str">
        <f t="shared" si="586"/>
        <v>1</v>
      </c>
      <c r="F1653" t="str">
        <f t="shared" si="587"/>
        <v>COM</v>
      </c>
      <c r="G1653" t="str">
        <f t="shared" si="589"/>
        <v>FARMÁCIA INDIANA LJ 85 (10128)</v>
      </c>
      <c r="H1653" t="s">
        <v>426</v>
      </c>
      <c r="I1653" t="str">
        <f t="shared" si="581"/>
        <v>18/02/2026</v>
      </c>
      <c r="J1653" t="str">
        <f t="shared" si="582"/>
        <v>10/02/2026</v>
      </c>
      <c r="K1653">
        <v>46071</v>
      </c>
      <c r="N1653">
        <v>303</v>
      </c>
      <c r="O1653" t="s">
        <v>26</v>
      </c>
      <c r="Q1653">
        <v>127.19</v>
      </c>
      <c r="R1653" t="str">
        <f>"FARMÁCIA INDIANA LJ 181 (10078)"</f>
        <v>FARMÁCIA INDIANA LJ 181 (10078)</v>
      </c>
      <c r="S1653" t="s">
        <v>27</v>
      </c>
      <c r="T1653">
        <v>4372</v>
      </c>
      <c r="U1653">
        <v>3710</v>
      </c>
      <c r="V1653" t="s">
        <v>22</v>
      </c>
    </row>
    <row r="1654" spans="1:22">
      <c r="A1654" t="str">
        <f t="shared" si="583"/>
        <v>18/02/2026</v>
      </c>
      <c r="B1654" t="str">
        <f t="shared" si="584"/>
        <v>ENTRADA</v>
      </c>
      <c r="C1654" t="str">
        <f t="shared" si="585"/>
        <v>NFSE</v>
      </c>
      <c r="D1654" t="str">
        <f t="shared" si="588"/>
        <v>293</v>
      </c>
      <c r="E1654" t="str">
        <f t="shared" si="586"/>
        <v>1</v>
      </c>
      <c r="F1654" t="str">
        <f t="shared" si="587"/>
        <v>COM</v>
      </c>
      <c r="G1654" t="str">
        <f t="shared" si="589"/>
        <v>FARMÁCIA INDIANA LJ 85 (10128)</v>
      </c>
      <c r="H1654" t="s">
        <v>426</v>
      </c>
      <c r="I1654" t="str">
        <f t="shared" si="581"/>
        <v>18/02/2026</v>
      </c>
      <c r="J1654" t="str">
        <f t="shared" si="582"/>
        <v>10/02/2026</v>
      </c>
      <c r="K1654">
        <v>46071</v>
      </c>
      <c r="N1654">
        <v>303</v>
      </c>
      <c r="O1654" t="s">
        <v>26</v>
      </c>
      <c r="Q1654">
        <v>107.79</v>
      </c>
      <c r="R1654" t="str">
        <f>"FARMÁCIA INDIANA LJ 221 (10093)"</f>
        <v>FARMÁCIA INDIANA LJ 221 (10093)</v>
      </c>
      <c r="S1654" t="s">
        <v>27</v>
      </c>
      <c r="T1654">
        <v>4372</v>
      </c>
      <c r="U1654">
        <v>3710</v>
      </c>
      <c r="V1654" t="s">
        <v>22</v>
      </c>
    </row>
    <row r="1655" spans="1:22">
      <c r="A1655" t="str">
        <f t="shared" si="583"/>
        <v>18/02/2026</v>
      </c>
      <c r="B1655" t="str">
        <f t="shared" si="584"/>
        <v>ENTRADA</v>
      </c>
      <c r="C1655" t="str">
        <f t="shared" si="585"/>
        <v>NFSE</v>
      </c>
      <c r="D1655" t="str">
        <f t="shared" si="588"/>
        <v>293</v>
      </c>
      <c r="E1655" t="str">
        <f t="shared" si="586"/>
        <v>1</v>
      </c>
      <c r="F1655" t="str">
        <f t="shared" si="587"/>
        <v>COM</v>
      </c>
      <c r="G1655" t="str">
        <f t="shared" si="589"/>
        <v>FARMÁCIA INDIANA LJ 85 (10128)</v>
      </c>
      <c r="H1655" t="s">
        <v>426</v>
      </c>
      <c r="I1655" t="str">
        <f t="shared" si="581"/>
        <v>18/02/2026</v>
      </c>
      <c r="J1655" t="str">
        <f t="shared" si="582"/>
        <v>10/02/2026</v>
      </c>
      <c r="K1655">
        <v>46071</v>
      </c>
      <c r="N1655">
        <v>303</v>
      </c>
      <c r="O1655" t="s">
        <v>26</v>
      </c>
      <c r="Q1655">
        <v>118.52</v>
      </c>
      <c r="R1655" t="str">
        <f>"FARMÁCIA INDIANA LJ 243 (10142)"</f>
        <v>FARMÁCIA INDIANA LJ 243 (10142)</v>
      </c>
      <c r="S1655" t="s">
        <v>27</v>
      </c>
      <c r="T1655">
        <v>4372</v>
      </c>
      <c r="U1655">
        <v>3710</v>
      </c>
      <c r="V1655" t="s">
        <v>22</v>
      </c>
    </row>
    <row r="1656" spans="1:22">
      <c r="A1656" t="str">
        <f t="shared" si="583"/>
        <v>18/02/2026</v>
      </c>
      <c r="B1656" t="str">
        <f t="shared" si="584"/>
        <v>ENTRADA</v>
      </c>
      <c r="C1656" t="str">
        <f t="shared" si="585"/>
        <v>NFSE</v>
      </c>
      <c r="D1656" t="str">
        <f t="shared" si="588"/>
        <v>293</v>
      </c>
      <c r="E1656" t="str">
        <f t="shared" si="586"/>
        <v>1</v>
      </c>
      <c r="F1656" t="str">
        <f t="shared" si="587"/>
        <v>COM</v>
      </c>
      <c r="G1656" t="str">
        <f t="shared" si="589"/>
        <v>FARMÁCIA INDIANA LJ 85 (10128)</v>
      </c>
      <c r="H1656" t="s">
        <v>426</v>
      </c>
      <c r="I1656" t="str">
        <f t="shared" si="581"/>
        <v>18/02/2026</v>
      </c>
      <c r="J1656" t="str">
        <f t="shared" si="582"/>
        <v>10/02/2026</v>
      </c>
      <c r="K1656">
        <v>46071</v>
      </c>
      <c r="N1656">
        <v>303</v>
      </c>
      <c r="O1656" t="s">
        <v>26</v>
      </c>
      <c r="Q1656">
        <v>58.28</v>
      </c>
      <c r="R1656" t="str">
        <f>"FARMÁCIA INDIANA LJ 211 (10168)"</f>
        <v>FARMÁCIA INDIANA LJ 211 (10168)</v>
      </c>
      <c r="S1656" t="s">
        <v>27</v>
      </c>
      <c r="T1656">
        <v>4372</v>
      </c>
      <c r="U1656">
        <v>3710</v>
      </c>
      <c r="V1656" t="s">
        <v>22</v>
      </c>
    </row>
    <row r="1657" spans="1:22">
      <c r="A1657" t="str">
        <f t="shared" si="583"/>
        <v>18/02/2026</v>
      </c>
      <c r="B1657" t="str">
        <f t="shared" si="584"/>
        <v>ENTRADA</v>
      </c>
      <c r="C1657" t="str">
        <f t="shared" si="585"/>
        <v>NFSE</v>
      </c>
      <c r="D1657" t="str">
        <f t="shared" si="588"/>
        <v>293</v>
      </c>
      <c r="E1657" t="str">
        <f t="shared" si="586"/>
        <v>1</v>
      </c>
      <c r="F1657" t="str">
        <f t="shared" si="587"/>
        <v>COM</v>
      </c>
      <c r="G1657" t="str">
        <f t="shared" si="589"/>
        <v>FARMÁCIA INDIANA LJ 85 (10128)</v>
      </c>
      <c r="H1657" t="s">
        <v>426</v>
      </c>
      <c r="I1657" t="str">
        <f t="shared" si="581"/>
        <v>18/02/2026</v>
      </c>
      <c r="J1657" t="str">
        <f t="shared" si="582"/>
        <v>10/02/2026</v>
      </c>
      <c r="K1657">
        <v>46071</v>
      </c>
      <c r="N1657">
        <v>303</v>
      </c>
      <c r="O1657" t="s">
        <v>26</v>
      </c>
      <c r="Q1657">
        <v>56.58</v>
      </c>
      <c r="R1657" t="str">
        <f>"FARMÁCIA INDIANA LJ 236 (10169)"</f>
        <v>FARMÁCIA INDIANA LJ 236 (10169)</v>
      </c>
      <c r="S1657" t="s">
        <v>27</v>
      </c>
      <c r="T1657">
        <v>4372</v>
      </c>
      <c r="U1657">
        <v>3710</v>
      </c>
      <c r="V1657" t="s">
        <v>22</v>
      </c>
    </row>
    <row r="1658" spans="1:22">
      <c r="A1658" t="str">
        <f t="shared" si="583"/>
        <v>18/02/2026</v>
      </c>
      <c r="B1658" t="str">
        <f t="shared" si="584"/>
        <v>ENTRADA</v>
      </c>
      <c r="C1658" t="str">
        <f t="shared" si="585"/>
        <v>NFSE</v>
      </c>
      <c r="D1658" t="str">
        <f t="shared" si="588"/>
        <v>293</v>
      </c>
      <c r="E1658" t="str">
        <f t="shared" si="586"/>
        <v>1</v>
      </c>
      <c r="F1658" t="str">
        <f t="shared" si="587"/>
        <v>COM</v>
      </c>
      <c r="G1658" t="str">
        <f t="shared" si="589"/>
        <v>FARMÁCIA INDIANA LJ 85 (10128)</v>
      </c>
      <c r="H1658" t="s">
        <v>426</v>
      </c>
      <c r="I1658" t="str">
        <f t="shared" si="581"/>
        <v>18/02/2026</v>
      </c>
      <c r="J1658" t="str">
        <f t="shared" si="582"/>
        <v>10/02/2026</v>
      </c>
      <c r="K1658">
        <v>46071</v>
      </c>
      <c r="N1658">
        <v>303</v>
      </c>
      <c r="O1658" t="s">
        <v>26</v>
      </c>
      <c r="Q1658">
        <v>114.86</v>
      </c>
      <c r="R1658" t="str">
        <f>"FARMÁCIA INDIANA LJ 188 (10176)"</f>
        <v>FARMÁCIA INDIANA LJ 188 (10176)</v>
      </c>
      <c r="S1658" t="s">
        <v>27</v>
      </c>
      <c r="T1658">
        <v>4372</v>
      </c>
      <c r="U1658">
        <v>3710</v>
      </c>
      <c r="V1658" t="s">
        <v>22</v>
      </c>
    </row>
    <row r="1659" spans="1:22">
      <c r="A1659" t="str">
        <f t="shared" si="583"/>
        <v>18/02/2026</v>
      </c>
      <c r="B1659" t="str">
        <f t="shared" si="584"/>
        <v>ENTRADA</v>
      </c>
      <c r="C1659" t="str">
        <f t="shared" si="585"/>
        <v>NFSE</v>
      </c>
      <c r="D1659" t="str">
        <f t="shared" si="588"/>
        <v>293</v>
      </c>
      <c r="E1659" t="str">
        <f t="shared" si="586"/>
        <v>1</v>
      </c>
      <c r="F1659" t="str">
        <f t="shared" si="587"/>
        <v>COM</v>
      </c>
      <c r="G1659" t="str">
        <f t="shared" si="589"/>
        <v>FARMÁCIA INDIANA LJ 85 (10128)</v>
      </c>
      <c r="H1659" t="s">
        <v>426</v>
      </c>
      <c r="I1659" t="str">
        <f t="shared" si="581"/>
        <v>18/02/2026</v>
      </c>
      <c r="J1659" t="str">
        <f t="shared" si="582"/>
        <v>10/02/2026</v>
      </c>
      <c r="K1659">
        <v>46071</v>
      </c>
      <c r="N1659">
        <v>303</v>
      </c>
      <c r="O1659" t="s">
        <v>26</v>
      </c>
      <c r="Q1659">
        <v>18.059999999999999</v>
      </c>
      <c r="R1659" t="str">
        <f>"FARMÁCIA INDIANA LJ 235 (10190)"</f>
        <v>FARMÁCIA INDIANA LJ 235 (10190)</v>
      </c>
      <c r="S1659" t="s">
        <v>27</v>
      </c>
      <c r="T1659">
        <v>4372</v>
      </c>
      <c r="U1659">
        <v>3710</v>
      </c>
      <c r="V1659" t="s">
        <v>22</v>
      </c>
    </row>
    <row r="1660" spans="1:22">
      <c r="A1660" t="str">
        <f t="shared" si="583"/>
        <v>18/02/2026</v>
      </c>
      <c r="B1660" t="str">
        <f t="shared" si="584"/>
        <v>ENTRADA</v>
      </c>
      <c r="C1660" t="str">
        <f t="shared" si="585"/>
        <v>NFSE</v>
      </c>
      <c r="D1660" t="str">
        <f t="shared" si="588"/>
        <v>293</v>
      </c>
      <c r="E1660" t="str">
        <f t="shared" si="586"/>
        <v>1</v>
      </c>
      <c r="F1660" t="str">
        <f t="shared" si="587"/>
        <v>COM</v>
      </c>
      <c r="G1660" t="str">
        <f t="shared" si="589"/>
        <v>FARMÁCIA INDIANA LJ 85 (10128)</v>
      </c>
      <c r="H1660" t="s">
        <v>426</v>
      </c>
      <c r="I1660" t="str">
        <f t="shared" si="581"/>
        <v>18/02/2026</v>
      </c>
      <c r="J1660" t="str">
        <f t="shared" si="582"/>
        <v>10/02/2026</v>
      </c>
      <c r="K1660">
        <v>46071</v>
      </c>
      <c r="N1660">
        <v>303</v>
      </c>
      <c r="O1660" t="s">
        <v>26</v>
      </c>
      <c r="Q1660">
        <v>56.58</v>
      </c>
      <c r="R1660" t="str">
        <f>"FARMÁCIA INDIANA LJ 292 (10282)"</f>
        <v>FARMÁCIA INDIANA LJ 292 (10282)</v>
      </c>
      <c r="S1660" t="s">
        <v>27</v>
      </c>
      <c r="T1660">
        <v>4372</v>
      </c>
      <c r="U1660">
        <v>3710</v>
      </c>
      <c r="V1660" t="s">
        <v>22</v>
      </c>
    </row>
    <row r="1661" spans="1:22">
      <c r="A1661" t="str">
        <f t="shared" si="583"/>
        <v>18/02/2026</v>
      </c>
      <c r="B1661" t="str">
        <f>"SAÍDA"</f>
        <v>SAÍDA</v>
      </c>
      <c r="C1661" t="str">
        <f>"JUROS"</f>
        <v>JUROS</v>
      </c>
      <c r="D1661" t="str">
        <f>""</f>
        <v/>
      </c>
      <c r="F1661" t="str">
        <f>"CXA"</f>
        <v>CXA</v>
      </c>
      <c r="G1661" t="str">
        <f>""</f>
        <v/>
      </c>
      <c r="H1661" t="str">
        <f>"TARIFA BOLETOS BANCARIOS"</f>
        <v>TARIFA BOLETOS BANCARIOS</v>
      </c>
      <c r="I1661" t="str">
        <f t="shared" si="581"/>
        <v>18/02/2026</v>
      </c>
      <c r="J1661" t="str">
        <f>("18/02/2026")</f>
        <v>18/02/2026</v>
      </c>
      <c r="K1661" t="str">
        <f>("18/02/2026")</f>
        <v>18/02/2026</v>
      </c>
      <c r="L1661">
        <v>17</v>
      </c>
      <c r="M1661">
        <v>17</v>
      </c>
      <c r="N1661">
        <v>401</v>
      </c>
      <c r="O1661" t="str">
        <f>"IOF/JUROS/DESP.FINANCEIRA"</f>
        <v>IOF/JUROS/DESP.FINANCEIRA</v>
      </c>
      <c r="P1661">
        <v>17</v>
      </c>
      <c r="S1661" t="str">
        <f>"BANCO CORA (102)"</f>
        <v>BANCO CORA (102)</v>
      </c>
      <c r="T1661">
        <v>4384</v>
      </c>
      <c r="U1661">
        <v>0</v>
      </c>
      <c r="V1661" t="s">
        <v>54</v>
      </c>
    </row>
    <row r="1662" spans="1:22">
      <c r="A1662" t="str">
        <f t="shared" ref="A1662:A1693" si="590">("19/02/2026")</f>
        <v>19/02/2026</v>
      </c>
      <c r="B1662" t="str">
        <f t="shared" ref="B1662:B1693" si="591">"ENTRADA"</f>
        <v>ENTRADA</v>
      </c>
      <c r="C1662" t="str">
        <f t="shared" ref="C1662:C1693" si="592">"NFSE"</f>
        <v>NFSE</v>
      </c>
      <c r="D1662" t="str">
        <f>"260"</f>
        <v>260</v>
      </c>
      <c r="E1662" t="str">
        <f t="shared" ref="E1662:E1693" si="593">"1"</f>
        <v>1</v>
      </c>
      <c r="F1662" t="str">
        <f t="shared" ref="F1662:F1693" si="594">"COM"</f>
        <v>COM</v>
      </c>
      <c r="G1662" t="str">
        <f>"AC FARMA - CID.ALTA (10166)"</f>
        <v>AC FARMA - CID.ALTA (10166)</v>
      </c>
      <c r="H1662" t="str">
        <f>"Serv.Prest. 02/02/2026 a 08/02/2026 - RPS: 2182 - NFSe: 260"</f>
        <v>Serv.Prest. 02/02/2026 a 08/02/2026 - RPS: 2182 - NFSe: 260</v>
      </c>
      <c r="I1662" t="str">
        <f t="shared" si="581"/>
        <v>18/02/2026</v>
      </c>
      <c r="J1662" t="str">
        <f t="shared" ref="J1662:J1669" si="595">("09/02/2026")</f>
        <v>09/02/2026</v>
      </c>
      <c r="K1662" t="str">
        <f>("19/02/2026")</f>
        <v>19/02/2026</v>
      </c>
      <c r="L1662">
        <v>961.75</v>
      </c>
      <c r="M1662">
        <v>961.75</v>
      </c>
      <c r="N1662">
        <v>303</v>
      </c>
      <c r="O1662" t="str">
        <f>"RECEITAS COM ENTREGAS"</f>
        <v>RECEITAS COM ENTREGAS</v>
      </c>
      <c r="P1662">
        <v>961.75</v>
      </c>
      <c r="S1662" t="str">
        <f>"RECEITAS COM ENTREGAS (303)"</f>
        <v>RECEITAS COM ENTREGAS (303)</v>
      </c>
      <c r="T1662">
        <v>4314</v>
      </c>
      <c r="U1662">
        <v>3677</v>
      </c>
      <c r="V1662" t="s">
        <v>88</v>
      </c>
    </row>
    <row r="1663" spans="1:22">
      <c r="A1663" t="str">
        <f t="shared" si="590"/>
        <v>19/02/2026</v>
      </c>
      <c r="B1663" t="str">
        <f t="shared" si="591"/>
        <v>ENTRADA</v>
      </c>
      <c r="C1663" t="str">
        <f t="shared" si="592"/>
        <v>NFSE</v>
      </c>
      <c r="D1663" t="str">
        <f>"260"</f>
        <v>260</v>
      </c>
      <c r="E1663" t="str">
        <f t="shared" si="593"/>
        <v>1</v>
      </c>
      <c r="F1663" t="str">
        <f t="shared" si="594"/>
        <v>COM</v>
      </c>
      <c r="G1663" t="str">
        <f>"AC FARMA - CID.ALTA (10166)"</f>
        <v>AC FARMA - CID.ALTA (10166)</v>
      </c>
      <c r="H1663" t="s">
        <v>427</v>
      </c>
      <c r="I1663" t="str">
        <f t="shared" ref="I1663:I1694" si="596">("18/02/2026")</f>
        <v>18/02/2026</v>
      </c>
      <c r="J1663" t="str">
        <f t="shared" si="595"/>
        <v>09/02/2026</v>
      </c>
      <c r="K1663">
        <v>46072</v>
      </c>
      <c r="N1663">
        <v>303</v>
      </c>
      <c r="O1663" t="s">
        <v>26</v>
      </c>
      <c r="Q1663">
        <v>961.75</v>
      </c>
      <c r="R1663" t="str">
        <f>"AC FARMA - CID.ALTA (10166)"</f>
        <v>AC FARMA - CID.ALTA (10166)</v>
      </c>
      <c r="S1663" t="s">
        <v>27</v>
      </c>
      <c r="T1663">
        <v>4314</v>
      </c>
      <c r="U1663">
        <v>3677</v>
      </c>
      <c r="V1663" t="s">
        <v>88</v>
      </c>
    </row>
    <row r="1664" spans="1:22">
      <c r="A1664" t="str">
        <f t="shared" si="590"/>
        <v>19/02/2026</v>
      </c>
      <c r="B1664" t="str">
        <f t="shared" si="591"/>
        <v>ENTRADA</v>
      </c>
      <c r="C1664" t="str">
        <f t="shared" si="592"/>
        <v>NFSE</v>
      </c>
      <c r="D1664" t="str">
        <f>"261"</f>
        <v>261</v>
      </c>
      <c r="E1664" t="str">
        <f t="shared" si="593"/>
        <v>1</v>
      </c>
      <c r="F1664" t="str">
        <f t="shared" si="594"/>
        <v>COM</v>
      </c>
      <c r="G1664" t="str">
        <f>"AC FARMA - FLEMINFARMA (10160)"</f>
        <v>AC FARMA - FLEMINFARMA (10160)</v>
      </c>
      <c r="H1664" t="str">
        <f>"Serv.Prest. 02/02/2026 a 08/02/2026 - RPS: 2183 - NFSe: 261"</f>
        <v>Serv.Prest. 02/02/2026 a 08/02/2026 - RPS: 2183 - NFSe: 261</v>
      </c>
      <c r="I1664" t="str">
        <f t="shared" si="596"/>
        <v>18/02/2026</v>
      </c>
      <c r="J1664" t="str">
        <f t="shared" si="595"/>
        <v>09/02/2026</v>
      </c>
      <c r="K1664" t="str">
        <f>("19/02/2026")</f>
        <v>19/02/2026</v>
      </c>
      <c r="L1664">
        <v>275</v>
      </c>
      <c r="M1664">
        <v>275</v>
      </c>
      <c r="N1664">
        <v>303</v>
      </c>
      <c r="O1664" t="str">
        <f>"RECEITAS COM ENTREGAS"</f>
        <v>RECEITAS COM ENTREGAS</v>
      </c>
      <c r="P1664">
        <v>275</v>
      </c>
      <c r="S1664" t="str">
        <f>"RECEITAS COM ENTREGAS (303)"</f>
        <v>RECEITAS COM ENTREGAS (303)</v>
      </c>
      <c r="T1664">
        <v>4315</v>
      </c>
      <c r="U1664">
        <v>3678</v>
      </c>
      <c r="V1664" t="s">
        <v>88</v>
      </c>
    </row>
    <row r="1665" spans="1:22">
      <c r="A1665" t="str">
        <f t="shared" si="590"/>
        <v>19/02/2026</v>
      </c>
      <c r="B1665" t="str">
        <f t="shared" si="591"/>
        <v>ENTRADA</v>
      </c>
      <c r="C1665" t="str">
        <f t="shared" si="592"/>
        <v>NFSE</v>
      </c>
      <c r="D1665" t="str">
        <f>"261"</f>
        <v>261</v>
      </c>
      <c r="E1665" t="str">
        <f t="shared" si="593"/>
        <v>1</v>
      </c>
      <c r="F1665" t="str">
        <f t="shared" si="594"/>
        <v>COM</v>
      </c>
      <c r="G1665" t="str">
        <f>"AC FARMA - FLEMINFARMA (10160)"</f>
        <v>AC FARMA - FLEMINFARMA (10160)</v>
      </c>
      <c r="H1665" t="s">
        <v>428</v>
      </c>
      <c r="I1665" t="str">
        <f t="shared" si="596"/>
        <v>18/02/2026</v>
      </c>
      <c r="J1665" t="str">
        <f t="shared" si="595"/>
        <v>09/02/2026</v>
      </c>
      <c r="K1665">
        <v>46072</v>
      </c>
      <c r="N1665">
        <v>303</v>
      </c>
      <c r="O1665" t="s">
        <v>26</v>
      </c>
      <c r="Q1665">
        <v>269.17</v>
      </c>
      <c r="R1665" t="str">
        <f>"AC FARMA -  FLEMINFARMA (10159)"</f>
        <v>AC FARMA -  FLEMINFARMA (10159)</v>
      </c>
      <c r="S1665" t="s">
        <v>27</v>
      </c>
      <c r="T1665">
        <v>4315</v>
      </c>
      <c r="U1665">
        <v>3678</v>
      </c>
      <c r="V1665" t="s">
        <v>88</v>
      </c>
    </row>
    <row r="1666" spans="1:22">
      <c r="A1666" t="str">
        <f t="shared" si="590"/>
        <v>19/02/2026</v>
      </c>
      <c r="B1666" t="str">
        <f t="shared" si="591"/>
        <v>ENTRADA</v>
      </c>
      <c r="C1666" t="str">
        <f t="shared" si="592"/>
        <v>NFSE</v>
      </c>
      <c r="D1666" t="str">
        <f>"261"</f>
        <v>261</v>
      </c>
      <c r="E1666" t="str">
        <f t="shared" si="593"/>
        <v>1</v>
      </c>
      <c r="F1666" t="str">
        <f t="shared" si="594"/>
        <v>COM</v>
      </c>
      <c r="G1666" t="str">
        <f>"AC FARMA - FLEMINFARMA (10160)"</f>
        <v>AC FARMA - FLEMINFARMA (10160)</v>
      </c>
      <c r="H1666" t="s">
        <v>428</v>
      </c>
      <c r="I1666" t="str">
        <f t="shared" si="596"/>
        <v>18/02/2026</v>
      </c>
      <c r="J1666" t="str">
        <f t="shared" si="595"/>
        <v>09/02/2026</v>
      </c>
      <c r="K1666">
        <v>46072</v>
      </c>
      <c r="N1666">
        <v>303</v>
      </c>
      <c r="O1666" t="s">
        <v>26</v>
      </c>
      <c r="Q1666">
        <v>5.83</v>
      </c>
      <c r="R1666" t="str">
        <f>"AC FARMA - FLEMINFARMA (10160)"</f>
        <v>AC FARMA - FLEMINFARMA (10160)</v>
      </c>
      <c r="S1666" t="s">
        <v>27</v>
      </c>
      <c r="T1666">
        <v>4315</v>
      </c>
      <c r="U1666">
        <v>3678</v>
      </c>
      <c r="V1666" t="s">
        <v>88</v>
      </c>
    </row>
    <row r="1667" spans="1:22">
      <c r="A1667" t="str">
        <f t="shared" si="590"/>
        <v>19/02/2026</v>
      </c>
      <c r="B1667" t="str">
        <f t="shared" si="591"/>
        <v>ENTRADA</v>
      </c>
      <c r="C1667" t="str">
        <f t="shared" si="592"/>
        <v>NFSE</v>
      </c>
      <c r="D1667" t="str">
        <f>"262"</f>
        <v>262</v>
      </c>
      <c r="E1667" t="str">
        <f t="shared" si="593"/>
        <v>1</v>
      </c>
      <c r="F1667" t="str">
        <f t="shared" si="594"/>
        <v>COM</v>
      </c>
      <c r="G1667" t="str">
        <f>"AC FARMA - FLEMINFARMA 5 (10183)"</f>
        <v>AC FARMA - FLEMINFARMA 5 (10183)</v>
      </c>
      <c r="H1667" t="str">
        <f>"Serv.Prest. 02/02/2026 a 08/02/2026 - RPS: 2184 - NFSe: 262"</f>
        <v>Serv.Prest. 02/02/2026 a 08/02/2026 - RPS: 2184 - NFSe: 262</v>
      </c>
      <c r="I1667" t="str">
        <f t="shared" si="596"/>
        <v>18/02/2026</v>
      </c>
      <c r="J1667" t="str">
        <f t="shared" si="595"/>
        <v>09/02/2026</v>
      </c>
      <c r="K1667" t="str">
        <f>("19/02/2026")</f>
        <v>19/02/2026</v>
      </c>
      <c r="L1667">
        <v>128.04</v>
      </c>
      <c r="M1667">
        <v>128.04</v>
      </c>
      <c r="N1667">
        <v>303</v>
      </c>
      <c r="O1667" t="str">
        <f>"RECEITAS COM ENTREGAS"</f>
        <v>RECEITAS COM ENTREGAS</v>
      </c>
      <c r="P1667">
        <v>128.04</v>
      </c>
      <c r="S1667" t="str">
        <f>"RECEITAS COM ENTREGAS (303)"</f>
        <v>RECEITAS COM ENTREGAS (303)</v>
      </c>
      <c r="T1667">
        <v>4316</v>
      </c>
      <c r="U1667">
        <v>3679</v>
      </c>
      <c r="V1667" t="s">
        <v>88</v>
      </c>
    </row>
    <row r="1668" spans="1:22">
      <c r="A1668" t="str">
        <f t="shared" si="590"/>
        <v>19/02/2026</v>
      </c>
      <c r="B1668" t="str">
        <f t="shared" si="591"/>
        <v>ENTRADA</v>
      </c>
      <c r="C1668" t="str">
        <f t="shared" si="592"/>
        <v>NFSE</v>
      </c>
      <c r="D1668" t="str">
        <f>"262"</f>
        <v>262</v>
      </c>
      <c r="E1668" t="str">
        <f t="shared" si="593"/>
        <v>1</v>
      </c>
      <c r="F1668" t="str">
        <f t="shared" si="594"/>
        <v>COM</v>
      </c>
      <c r="G1668" t="str">
        <f>"AC FARMA - FLEMINFARMA 5 (10183)"</f>
        <v>AC FARMA - FLEMINFARMA 5 (10183)</v>
      </c>
      <c r="H1668" t="s">
        <v>429</v>
      </c>
      <c r="I1668" t="str">
        <f t="shared" si="596"/>
        <v>18/02/2026</v>
      </c>
      <c r="J1668" t="str">
        <f t="shared" si="595"/>
        <v>09/02/2026</v>
      </c>
      <c r="K1668">
        <v>46072</v>
      </c>
      <c r="N1668">
        <v>303</v>
      </c>
      <c r="O1668" t="s">
        <v>26</v>
      </c>
      <c r="Q1668">
        <v>123.67</v>
      </c>
      <c r="R1668" t="str">
        <f>"AC FARMA - FLEMINFARMA 5 (10183)"</f>
        <v>AC FARMA - FLEMINFARMA 5 (10183)</v>
      </c>
      <c r="S1668" t="s">
        <v>27</v>
      </c>
      <c r="T1668">
        <v>4316</v>
      </c>
      <c r="U1668">
        <v>3679</v>
      </c>
      <c r="V1668" t="s">
        <v>88</v>
      </c>
    </row>
    <row r="1669" spans="1:22">
      <c r="A1669" t="str">
        <f t="shared" si="590"/>
        <v>19/02/2026</v>
      </c>
      <c r="B1669" t="str">
        <f t="shared" si="591"/>
        <v>ENTRADA</v>
      </c>
      <c r="C1669" t="str">
        <f t="shared" si="592"/>
        <v>NFSE</v>
      </c>
      <c r="D1669" t="str">
        <f>"262"</f>
        <v>262</v>
      </c>
      <c r="E1669" t="str">
        <f t="shared" si="593"/>
        <v>1</v>
      </c>
      <c r="F1669" t="str">
        <f t="shared" si="594"/>
        <v>COM</v>
      </c>
      <c r="G1669" t="str">
        <f>"AC FARMA - FLEMINFARMA 5 (10183)"</f>
        <v>AC FARMA - FLEMINFARMA 5 (10183)</v>
      </c>
      <c r="H1669" t="s">
        <v>429</v>
      </c>
      <c r="I1669" t="str">
        <f t="shared" si="596"/>
        <v>18/02/2026</v>
      </c>
      <c r="J1669" t="str">
        <f t="shared" si="595"/>
        <v>09/02/2026</v>
      </c>
      <c r="K1669">
        <v>46072</v>
      </c>
      <c r="N1669">
        <v>303</v>
      </c>
      <c r="O1669" t="s">
        <v>26</v>
      </c>
      <c r="Q1669">
        <v>4.37</v>
      </c>
      <c r="R1669" t="str">
        <f>"AC FARMA - FLEMINFARMA 6 (10184)"</f>
        <v>AC FARMA - FLEMINFARMA 6 (10184)</v>
      </c>
      <c r="S1669" t="s">
        <v>27</v>
      </c>
      <c r="T1669">
        <v>4316</v>
      </c>
      <c r="U1669">
        <v>3679</v>
      </c>
      <c r="V1669" t="s">
        <v>88</v>
      </c>
    </row>
    <row r="1670" spans="1:22">
      <c r="A1670" t="str">
        <f t="shared" si="590"/>
        <v>19/02/2026</v>
      </c>
      <c r="B1670" t="str">
        <f t="shared" si="591"/>
        <v>ENTRADA</v>
      </c>
      <c r="C1670" t="str">
        <f t="shared" si="592"/>
        <v>NFSE</v>
      </c>
      <c r="D1670" t="str">
        <f>"316"</f>
        <v>316</v>
      </c>
      <c r="E1670" t="str">
        <f t="shared" si="593"/>
        <v>1</v>
      </c>
      <c r="F1670" t="str">
        <f t="shared" si="594"/>
        <v>COM</v>
      </c>
      <c r="G1670" t="str">
        <f>"BELLESE FARMA (10279)"</f>
        <v>BELLESE FARMA (10279)</v>
      </c>
      <c r="H1670" t="str">
        <f>"Serv.Prest. 09/02/2026 a 15/02/2026 - RPS: 2238 - NFSe: 316"</f>
        <v>Serv.Prest. 09/02/2026 a 15/02/2026 - RPS: 2238 - NFSe: 316</v>
      </c>
      <c r="I1670" t="str">
        <f t="shared" si="596"/>
        <v>18/02/2026</v>
      </c>
      <c r="J1670" t="str">
        <f t="shared" ref="J1670:J1701" si="597">("16/02/2026")</f>
        <v>16/02/2026</v>
      </c>
      <c r="K1670" t="str">
        <f>("19/02/2026")</f>
        <v>19/02/2026</v>
      </c>
      <c r="L1670">
        <v>150.05000000000001</v>
      </c>
      <c r="M1670">
        <v>150.05000000000001</v>
      </c>
      <c r="N1670">
        <v>303</v>
      </c>
      <c r="O1670" t="str">
        <f>"RECEITAS COM ENTREGAS"</f>
        <v>RECEITAS COM ENTREGAS</v>
      </c>
      <c r="P1670">
        <v>150.05000000000001</v>
      </c>
      <c r="S1670" t="str">
        <f>"RECEITAS COM ENTREGAS (303)"</f>
        <v>RECEITAS COM ENTREGAS (303)</v>
      </c>
      <c r="T1670">
        <v>4317</v>
      </c>
      <c r="U1670">
        <v>3767</v>
      </c>
      <c r="V1670" t="s">
        <v>88</v>
      </c>
    </row>
    <row r="1671" spans="1:22">
      <c r="A1671" t="str">
        <f t="shared" si="590"/>
        <v>19/02/2026</v>
      </c>
      <c r="B1671" t="str">
        <f t="shared" si="591"/>
        <v>ENTRADA</v>
      </c>
      <c r="C1671" t="str">
        <f t="shared" si="592"/>
        <v>NFSE</v>
      </c>
      <c r="D1671" t="str">
        <f>"316"</f>
        <v>316</v>
      </c>
      <c r="E1671" t="str">
        <f t="shared" si="593"/>
        <v>1</v>
      </c>
      <c r="F1671" t="str">
        <f t="shared" si="594"/>
        <v>COM</v>
      </c>
      <c r="G1671" t="str">
        <f>"BELLESE FARMA (10279)"</f>
        <v>BELLESE FARMA (10279)</v>
      </c>
      <c r="H1671" t="s">
        <v>430</v>
      </c>
      <c r="I1671" t="str">
        <f t="shared" si="596"/>
        <v>18/02/2026</v>
      </c>
      <c r="J1671" t="str">
        <f t="shared" si="597"/>
        <v>16/02/2026</v>
      </c>
      <c r="K1671">
        <v>46072</v>
      </c>
      <c r="N1671">
        <v>303</v>
      </c>
      <c r="O1671" t="s">
        <v>26</v>
      </c>
      <c r="Q1671">
        <v>150.05000000000001</v>
      </c>
      <c r="R1671" t="str">
        <f>"BELLESE FARMA (10279)"</f>
        <v>BELLESE FARMA (10279)</v>
      </c>
      <c r="S1671" t="s">
        <v>27</v>
      </c>
      <c r="T1671">
        <v>4317</v>
      </c>
      <c r="U1671">
        <v>3767</v>
      </c>
      <c r="V1671" t="s">
        <v>88</v>
      </c>
    </row>
    <row r="1672" spans="1:22">
      <c r="A1672" t="str">
        <f t="shared" si="590"/>
        <v>19/02/2026</v>
      </c>
      <c r="B1672" t="str">
        <f t="shared" si="591"/>
        <v>ENTRADA</v>
      </c>
      <c r="C1672" t="str">
        <f t="shared" si="592"/>
        <v>NFSE</v>
      </c>
      <c r="D1672" t="str">
        <f>"318"</f>
        <v>318</v>
      </c>
      <c r="E1672" t="str">
        <f t="shared" si="593"/>
        <v>1</v>
      </c>
      <c r="F1672" t="str">
        <f t="shared" si="594"/>
        <v>COM</v>
      </c>
      <c r="G1672" t="str">
        <f>"DELTA LOJA 2 (10123)"</f>
        <v>DELTA LOJA 2 (10123)</v>
      </c>
      <c r="H1672" t="str">
        <f>"Serv.Prest. 09/02/2026 a 15/02/2026 - RPS: 2240 - NFSe: 318"</f>
        <v>Serv.Prest. 09/02/2026 a 15/02/2026 - RPS: 2240 - NFSe: 318</v>
      </c>
      <c r="I1672" t="str">
        <f t="shared" si="596"/>
        <v>18/02/2026</v>
      </c>
      <c r="J1672" t="str">
        <f t="shared" si="597"/>
        <v>16/02/2026</v>
      </c>
      <c r="K1672" t="str">
        <f>("19/02/2026")</f>
        <v>19/02/2026</v>
      </c>
      <c r="L1672">
        <v>786.45</v>
      </c>
      <c r="M1672">
        <v>786.45</v>
      </c>
      <c r="N1672">
        <v>303</v>
      </c>
      <c r="O1672" t="str">
        <f>"RECEITAS COM ENTREGAS"</f>
        <v>RECEITAS COM ENTREGAS</v>
      </c>
      <c r="P1672">
        <v>786.45</v>
      </c>
      <c r="S1672" t="str">
        <f>"RECEITAS COM ENTREGAS (303)"</f>
        <v>RECEITAS COM ENTREGAS (303)</v>
      </c>
      <c r="T1672">
        <v>4318</v>
      </c>
      <c r="U1672">
        <v>3769</v>
      </c>
      <c r="V1672" t="s">
        <v>88</v>
      </c>
    </row>
    <row r="1673" spans="1:22">
      <c r="A1673" t="str">
        <f t="shared" si="590"/>
        <v>19/02/2026</v>
      </c>
      <c r="B1673" t="str">
        <f t="shared" si="591"/>
        <v>ENTRADA</v>
      </c>
      <c r="C1673" t="str">
        <f t="shared" si="592"/>
        <v>NFSE</v>
      </c>
      <c r="D1673" t="str">
        <f>"318"</f>
        <v>318</v>
      </c>
      <c r="E1673" t="str">
        <f t="shared" si="593"/>
        <v>1</v>
      </c>
      <c r="F1673" t="str">
        <f t="shared" si="594"/>
        <v>COM</v>
      </c>
      <c r="G1673" t="str">
        <f>"DELTA LOJA 2 (10123)"</f>
        <v>DELTA LOJA 2 (10123)</v>
      </c>
      <c r="H1673" t="s">
        <v>431</v>
      </c>
      <c r="I1673" t="str">
        <f t="shared" si="596"/>
        <v>18/02/2026</v>
      </c>
      <c r="J1673" t="str">
        <f t="shared" si="597"/>
        <v>16/02/2026</v>
      </c>
      <c r="K1673">
        <v>46072</v>
      </c>
      <c r="N1673">
        <v>303</v>
      </c>
      <c r="O1673" t="s">
        <v>26</v>
      </c>
      <c r="Q1673">
        <v>786.45</v>
      </c>
      <c r="R1673" t="str">
        <f>"DELTA LOJA 2 (10123)"</f>
        <v>DELTA LOJA 2 (10123)</v>
      </c>
      <c r="S1673" t="s">
        <v>27</v>
      </c>
      <c r="T1673">
        <v>4318</v>
      </c>
      <c r="U1673">
        <v>3769</v>
      </c>
      <c r="V1673" t="s">
        <v>88</v>
      </c>
    </row>
    <row r="1674" spans="1:22">
      <c r="A1674" t="str">
        <f t="shared" si="590"/>
        <v>19/02/2026</v>
      </c>
      <c r="B1674" t="str">
        <f t="shared" si="591"/>
        <v>ENTRADA</v>
      </c>
      <c r="C1674" t="str">
        <f t="shared" si="592"/>
        <v>NFSE</v>
      </c>
      <c r="D1674" t="str">
        <f>"319"</f>
        <v>319</v>
      </c>
      <c r="E1674" t="str">
        <f t="shared" si="593"/>
        <v>1</v>
      </c>
      <c r="F1674" t="str">
        <f t="shared" si="594"/>
        <v>COM</v>
      </c>
      <c r="G1674" t="str">
        <f>"DROGARIA AGAPEAMA (10167)"</f>
        <v>DROGARIA AGAPEAMA (10167)</v>
      </c>
      <c r="H1674" t="str">
        <f>"Serv.Prest. 09/02/2026 a 15/02/2026 - RPS: 2241 - NFSe: 319"</f>
        <v>Serv.Prest. 09/02/2026 a 15/02/2026 - RPS: 2241 - NFSe: 319</v>
      </c>
      <c r="I1674" t="str">
        <f t="shared" si="596"/>
        <v>18/02/2026</v>
      </c>
      <c r="J1674" t="str">
        <f t="shared" si="597"/>
        <v>16/02/2026</v>
      </c>
      <c r="K1674" t="str">
        <f>("19/02/2026")</f>
        <v>19/02/2026</v>
      </c>
      <c r="L1674">
        <v>372</v>
      </c>
      <c r="M1674">
        <v>372</v>
      </c>
      <c r="N1674">
        <v>303</v>
      </c>
      <c r="O1674" t="str">
        <f>"RECEITAS COM ENTREGAS"</f>
        <v>RECEITAS COM ENTREGAS</v>
      </c>
      <c r="P1674">
        <v>372</v>
      </c>
      <c r="S1674" t="str">
        <f>"RECEITAS COM ENTREGAS (303)"</f>
        <v>RECEITAS COM ENTREGAS (303)</v>
      </c>
      <c r="T1674">
        <v>4319</v>
      </c>
      <c r="U1674">
        <v>3770</v>
      </c>
      <c r="V1674" t="s">
        <v>88</v>
      </c>
    </row>
    <row r="1675" spans="1:22">
      <c r="A1675" t="str">
        <f t="shared" si="590"/>
        <v>19/02/2026</v>
      </c>
      <c r="B1675" t="str">
        <f t="shared" si="591"/>
        <v>ENTRADA</v>
      </c>
      <c r="C1675" t="str">
        <f t="shared" si="592"/>
        <v>NFSE</v>
      </c>
      <c r="D1675" t="str">
        <f>"319"</f>
        <v>319</v>
      </c>
      <c r="E1675" t="str">
        <f t="shared" si="593"/>
        <v>1</v>
      </c>
      <c r="F1675" t="str">
        <f t="shared" si="594"/>
        <v>COM</v>
      </c>
      <c r="G1675" t="str">
        <f>"DROGARIA AGAPEAMA (10167)"</f>
        <v>DROGARIA AGAPEAMA (10167)</v>
      </c>
      <c r="H1675" t="s">
        <v>432</v>
      </c>
      <c r="I1675" t="str">
        <f t="shared" si="596"/>
        <v>18/02/2026</v>
      </c>
      <c r="J1675" t="str">
        <f t="shared" si="597"/>
        <v>16/02/2026</v>
      </c>
      <c r="K1675">
        <v>46072</v>
      </c>
      <c r="N1675">
        <v>303</v>
      </c>
      <c r="O1675" t="s">
        <v>26</v>
      </c>
      <c r="Q1675">
        <v>372</v>
      </c>
      <c r="R1675" t="str">
        <f>"DROGARIA AGAPEAMA (10167)"</f>
        <v>DROGARIA AGAPEAMA (10167)</v>
      </c>
      <c r="S1675" t="s">
        <v>27</v>
      </c>
      <c r="T1675">
        <v>4319</v>
      </c>
      <c r="U1675">
        <v>3770</v>
      </c>
      <c r="V1675" t="s">
        <v>88</v>
      </c>
    </row>
    <row r="1676" spans="1:22">
      <c r="A1676" t="str">
        <f t="shared" si="590"/>
        <v>19/02/2026</v>
      </c>
      <c r="B1676" t="str">
        <f t="shared" si="591"/>
        <v>ENTRADA</v>
      </c>
      <c r="C1676" t="str">
        <f t="shared" si="592"/>
        <v>NFSE</v>
      </c>
      <c r="D1676" t="str">
        <f>"320"</f>
        <v>320</v>
      </c>
      <c r="E1676" t="str">
        <f t="shared" si="593"/>
        <v>1</v>
      </c>
      <c r="F1676" t="str">
        <f t="shared" si="594"/>
        <v>COM</v>
      </c>
      <c r="G1676" t="str">
        <f>"DROGARIA ANA VISCONDE DO RIO BRANCO (10182)"</f>
        <v>DROGARIA ANA VISCONDE DO RIO BRANCO (10182)</v>
      </c>
      <c r="H1676" t="str">
        <f>"Serv.Prest. 09/02/2026 a 15/02/2026 - RPS: 2242 - NFSe: 320"</f>
        <v>Serv.Prest. 09/02/2026 a 15/02/2026 - RPS: 2242 - NFSe: 320</v>
      </c>
      <c r="I1676" t="str">
        <f t="shared" si="596"/>
        <v>18/02/2026</v>
      </c>
      <c r="J1676" t="str">
        <f t="shared" si="597"/>
        <v>16/02/2026</v>
      </c>
      <c r="K1676" t="str">
        <f>("19/02/2026")</f>
        <v>19/02/2026</v>
      </c>
      <c r="L1676">
        <v>795.83</v>
      </c>
      <c r="M1676">
        <v>795.83</v>
      </c>
      <c r="N1676">
        <v>303</v>
      </c>
      <c r="O1676" t="str">
        <f>"RECEITAS COM ENTREGAS"</f>
        <v>RECEITAS COM ENTREGAS</v>
      </c>
      <c r="P1676">
        <v>795.83</v>
      </c>
      <c r="S1676" t="str">
        <f>"RECEITAS COM ENTREGAS (303)"</f>
        <v>RECEITAS COM ENTREGAS (303)</v>
      </c>
      <c r="T1676">
        <v>4320</v>
      </c>
      <c r="U1676">
        <v>3771</v>
      </c>
      <c r="V1676" t="s">
        <v>88</v>
      </c>
    </row>
    <row r="1677" spans="1:22">
      <c r="A1677" t="str">
        <f t="shared" si="590"/>
        <v>19/02/2026</v>
      </c>
      <c r="B1677" t="str">
        <f t="shared" si="591"/>
        <v>ENTRADA</v>
      </c>
      <c r="C1677" t="str">
        <f t="shared" si="592"/>
        <v>NFSE</v>
      </c>
      <c r="D1677" t="str">
        <f>"320"</f>
        <v>320</v>
      </c>
      <c r="E1677" t="str">
        <f t="shared" si="593"/>
        <v>1</v>
      </c>
      <c r="F1677" t="str">
        <f t="shared" si="594"/>
        <v>COM</v>
      </c>
      <c r="G1677" t="str">
        <f>"DROGARIA ANA VISCONDE DO RIO BRANCO (10182)"</f>
        <v>DROGARIA ANA VISCONDE DO RIO BRANCO (10182)</v>
      </c>
      <c r="H1677" t="s">
        <v>433</v>
      </c>
      <c r="I1677" t="str">
        <f t="shared" si="596"/>
        <v>18/02/2026</v>
      </c>
      <c r="J1677" t="str">
        <f t="shared" si="597"/>
        <v>16/02/2026</v>
      </c>
      <c r="K1677">
        <v>46072</v>
      </c>
      <c r="N1677">
        <v>303</v>
      </c>
      <c r="O1677" t="s">
        <v>26</v>
      </c>
      <c r="Q1677">
        <v>795.83</v>
      </c>
      <c r="R1677" t="str">
        <f>"DROGARIA ANA VISCONDE DO RIO BRANCO (10182)"</f>
        <v>DROGARIA ANA VISCONDE DO RIO BRANCO (10182)</v>
      </c>
      <c r="S1677" t="s">
        <v>27</v>
      </c>
      <c r="T1677">
        <v>4320</v>
      </c>
      <c r="U1677">
        <v>3771</v>
      </c>
      <c r="V1677" t="s">
        <v>88</v>
      </c>
    </row>
    <row r="1678" spans="1:22">
      <c r="A1678" t="str">
        <f t="shared" si="590"/>
        <v>19/02/2026</v>
      </c>
      <c r="B1678" t="str">
        <f t="shared" si="591"/>
        <v>ENTRADA</v>
      </c>
      <c r="C1678" t="str">
        <f t="shared" si="592"/>
        <v>NFSE</v>
      </c>
      <c r="D1678" t="str">
        <f>"321"</f>
        <v>321</v>
      </c>
      <c r="E1678" t="str">
        <f t="shared" si="593"/>
        <v>1</v>
      </c>
      <c r="F1678" t="str">
        <f t="shared" si="594"/>
        <v>COM</v>
      </c>
      <c r="G1678" t="str">
        <f>"DROGARIA ISABELLA (10276)"</f>
        <v>DROGARIA ISABELLA (10276)</v>
      </c>
      <c r="H1678" t="str">
        <f>"Serv.Prest. 09/02/2026 a 15/02/2026 - RPS: 2243 - NFSe: 321"</f>
        <v>Serv.Prest. 09/02/2026 a 15/02/2026 - RPS: 2243 - NFSe: 321</v>
      </c>
      <c r="I1678" t="str">
        <f t="shared" si="596"/>
        <v>18/02/2026</v>
      </c>
      <c r="J1678" t="str">
        <f t="shared" si="597"/>
        <v>16/02/2026</v>
      </c>
      <c r="K1678" t="str">
        <f>("19/02/2026")</f>
        <v>19/02/2026</v>
      </c>
      <c r="L1678">
        <v>365.85</v>
      </c>
      <c r="M1678">
        <v>365.85</v>
      </c>
      <c r="N1678">
        <v>303</v>
      </c>
      <c r="O1678" t="str">
        <f>"RECEITAS COM ENTREGAS"</f>
        <v>RECEITAS COM ENTREGAS</v>
      </c>
      <c r="P1678">
        <v>365.85</v>
      </c>
      <c r="S1678" t="str">
        <f>"RECEITAS COM ENTREGAS (303)"</f>
        <v>RECEITAS COM ENTREGAS (303)</v>
      </c>
      <c r="T1678">
        <v>4321</v>
      </c>
      <c r="U1678">
        <v>3772</v>
      </c>
      <c r="V1678" t="s">
        <v>88</v>
      </c>
    </row>
    <row r="1679" spans="1:22">
      <c r="A1679" t="str">
        <f t="shared" si="590"/>
        <v>19/02/2026</v>
      </c>
      <c r="B1679" t="str">
        <f t="shared" si="591"/>
        <v>ENTRADA</v>
      </c>
      <c r="C1679" t="str">
        <f t="shared" si="592"/>
        <v>NFSE</v>
      </c>
      <c r="D1679" t="str">
        <f>"321"</f>
        <v>321</v>
      </c>
      <c r="E1679" t="str">
        <f t="shared" si="593"/>
        <v>1</v>
      </c>
      <c r="F1679" t="str">
        <f t="shared" si="594"/>
        <v>COM</v>
      </c>
      <c r="G1679" t="str">
        <f>"DROGARIA ISABELLA (10276)"</f>
        <v>DROGARIA ISABELLA (10276)</v>
      </c>
      <c r="H1679" t="s">
        <v>434</v>
      </c>
      <c r="I1679" t="str">
        <f t="shared" si="596"/>
        <v>18/02/2026</v>
      </c>
      <c r="J1679" t="str">
        <f t="shared" si="597"/>
        <v>16/02/2026</v>
      </c>
      <c r="K1679">
        <v>46072</v>
      </c>
      <c r="N1679">
        <v>303</v>
      </c>
      <c r="O1679" t="s">
        <v>26</v>
      </c>
      <c r="Q1679">
        <v>365.85</v>
      </c>
      <c r="R1679" t="str">
        <f>"DROGARIA ISABELLA (10276)"</f>
        <v>DROGARIA ISABELLA (10276)</v>
      </c>
      <c r="S1679" t="s">
        <v>27</v>
      </c>
      <c r="T1679">
        <v>4321</v>
      </c>
      <c r="U1679">
        <v>3772</v>
      </c>
      <c r="V1679" t="s">
        <v>88</v>
      </c>
    </row>
    <row r="1680" spans="1:22">
      <c r="A1680" t="str">
        <f t="shared" si="590"/>
        <v>19/02/2026</v>
      </c>
      <c r="B1680" t="str">
        <f t="shared" si="591"/>
        <v>ENTRADA</v>
      </c>
      <c r="C1680" t="str">
        <f t="shared" si="592"/>
        <v>NFSE</v>
      </c>
      <c r="D1680" t="str">
        <f>"322"</f>
        <v>322</v>
      </c>
      <c r="E1680" t="str">
        <f t="shared" si="593"/>
        <v>1</v>
      </c>
      <c r="F1680" t="str">
        <f t="shared" si="594"/>
        <v>COM</v>
      </c>
      <c r="G1680" t="str">
        <f>"DROGARIA MEDIC CENTER LTDA (10172)"</f>
        <v>DROGARIA MEDIC CENTER LTDA (10172)</v>
      </c>
      <c r="H1680" t="str">
        <f>"Serv.Prest. 09/02/2026 a 15/02/2026 - RPS: 2244 - NFSe: 322"</f>
        <v>Serv.Prest. 09/02/2026 a 15/02/2026 - RPS: 2244 - NFSe: 322</v>
      </c>
      <c r="I1680" t="str">
        <f t="shared" si="596"/>
        <v>18/02/2026</v>
      </c>
      <c r="J1680" t="str">
        <f t="shared" si="597"/>
        <v>16/02/2026</v>
      </c>
      <c r="K1680" t="str">
        <f>("19/02/2026")</f>
        <v>19/02/2026</v>
      </c>
      <c r="L1680">
        <v>197.1</v>
      </c>
      <c r="M1680">
        <v>197.1</v>
      </c>
      <c r="N1680">
        <v>303</v>
      </c>
      <c r="O1680" t="str">
        <f>"RECEITAS COM ENTREGAS"</f>
        <v>RECEITAS COM ENTREGAS</v>
      </c>
      <c r="P1680">
        <v>197.1</v>
      </c>
      <c r="S1680" t="str">
        <f>"RECEITAS COM ENTREGAS (303)"</f>
        <v>RECEITAS COM ENTREGAS (303)</v>
      </c>
      <c r="T1680">
        <v>4322</v>
      </c>
      <c r="U1680">
        <v>3773</v>
      </c>
      <c r="V1680" t="s">
        <v>88</v>
      </c>
    </row>
    <row r="1681" spans="1:22">
      <c r="A1681" t="str">
        <f t="shared" si="590"/>
        <v>19/02/2026</v>
      </c>
      <c r="B1681" t="str">
        <f t="shared" si="591"/>
        <v>ENTRADA</v>
      </c>
      <c r="C1681" t="str">
        <f t="shared" si="592"/>
        <v>NFSE</v>
      </c>
      <c r="D1681" t="str">
        <f>"322"</f>
        <v>322</v>
      </c>
      <c r="E1681" t="str">
        <f t="shared" si="593"/>
        <v>1</v>
      </c>
      <c r="F1681" t="str">
        <f t="shared" si="594"/>
        <v>COM</v>
      </c>
      <c r="G1681" t="str">
        <f>"DROGARIA MEDIC CENTER LTDA (10172)"</f>
        <v>DROGARIA MEDIC CENTER LTDA (10172)</v>
      </c>
      <c r="H1681" t="s">
        <v>435</v>
      </c>
      <c r="I1681" t="str">
        <f t="shared" si="596"/>
        <v>18/02/2026</v>
      </c>
      <c r="J1681" t="str">
        <f t="shared" si="597"/>
        <v>16/02/2026</v>
      </c>
      <c r="K1681">
        <v>46072</v>
      </c>
      <c r="N1681">
        <v>303</v>
      </c>
      <c r="O1681" t="s">
        <v>26</v>
      </c>
      <c r="Q1681">
        <v>197.1</v>
      </c>
      <c r="R1681" t="str">
        <f>"DROGARIA MEDIC CENTER LTDA (10172)"</f>
        <v>DROGARIA MEDIC CENTER LTDA (10172)</v>
      </c>
      <c r="S1681" t="s">
        <v>27</v>
      </c>
      <c r="T1681">
        <v>4322</v>
      </c>
      <c r="U1681">
        <v>3773</v>
      </c>
      <c r="V1681" t="s">
        <v>88</v>
      </c>
    </row>
    <row r="1682" spans="1:22">
      <c r="A1682" t="str">
        <f t="shared" si="590"/>
        <v>19/02/2026</v>
      </c>
      <c r="B1682" t="str">
        <f t="shared" si="591"/>
        <v>ENTRADA</v>
      </c>
      <c r="C1682" t="str">
        <f t="shared" si="592"/>
        <v>NFSE</v>
      </c>
      <c r="D1682" t="str">
        <f t="shared" ref="D1682:D1688" si="598">"323"</f>
        <v>323</v>
      </c>
      <c r="E1682" t="str">
        <f t="shared" si="593"/>
        <v>1</v>
      </c>
      <c r="F1682" t="str">
        <f t="shared" si="594"/>
        <v>COM</v>
      </c>
      <c r="G1682" t="str">
        <f t="shared" ref="G1682:G1688" si="599">"BEM TE FAZ 01 (10283)"</f>
        <v>BEM TE FAZ 01 (10283)</v>
      </c>
      <c r="H1682" t="str">
        <f>"Serv.Prest. 09/02/2026 a 15/02/2026 - RPS: 2245 - NFSe: 323"</f>
        <v>Serv.Prest. 09/02/2026 a 15/02/2026 - RPS: 2245 - NFSe: 323</v>
      </c>
      <c r="I1682" t="str">
        <f t="shared" si="596"/>
        <v>18/02/2026</v>
      </c>
      <c r="J1682" t="str">
        <f t="shared" si="597"/>
        <v>16/02/2026</v>
      </c>
      <c r="K1682" t="str">
        <f>("19/02/2026")</f>
        <v>19/02/2026</v>
      </c>
      <c r="L1682">
        <v>2910</v>
      </c>
      <c r="M1682">
        <v>2910</v>
      </c>
      <c r="N1682">
        <v>303</v>
      </c>
      <c r="O1682" t="str">
        <f>"RECEITAS COM ENTREGAS"</f>
        <v>RECEITAS COM ENTREGAS</v>
      </c>
      <c r="P1682">
        <v>2910</v>
      </c>
      <c r="S1682" t="str">
        <f>"RECEITAS COM ENTREGAS (303)"</f>
        <v>RECEITAS COM ENTREGAS (303)</v>
      </c>
      <c r="T1682">
        <v>4323</v>
      </c>
      <c r="U1682">
        <v>3774</v>
      </c>
      <c r="V1682" t="s">
        <v>88</v>
      </c>
    </row>
    <row r="1683" spans="1:22">
      <c r="A1683" t="str">
        <f t="shared" si="590"/>
        <v>19/02/2026</v>
      </c>
      <c r="B1683" t="str">
        <f t="shared" si="591"/>
        <v>ENTRADA</v>
      </c>
      <c r="C1683" t="str">
        <f t="shared" si="592"/>
        <v>NFSE</v>
      </c>
      <c r="D1683" t="str">
        <f t="shared" si="598"/>
        <v>323</v>
      </c>
      <c r="E1683" t="str">
        <f t="shared" si="593"/>
        <v>1</v>
      </c>
      <c r="F1683" t="str">
        <f t="shared" si="594"/>
        <v>COM</v>
      </c>
      <c r="G1683" t="str">
        <f t="shared" si="599"/>
        <v>BEM TE FAZ 01 (10283)</v>
      </c>
      <c r="H1683" t="s">
        <v>436</v>
      </c>
      <c r="I1683" t="str">
        <f t="shared" si="596"/>
        <v>18/02/2026</v>
      </c>
      <c r="J1683" t="str">
        <f t="shared" si="597"/>
        <v>16/02/2026</v>
      </c>
      <c r="K1683">
        <v>46072</v>
      </c>
      <c r="N1683">
        <v>303</v>
      </c>
      <c r="O1683" t="s">
        <v>26</v>
      </c>
      <c r="Q1683">
        <v>616.91999999999996</v>
      </c>
      <c r="R1683" t="str">
        <f>"BEM TE FAZ LOJA 6 (10284)"</f>
        <v>BEM TE FAZ LOJA 6 (10284)</v>
      </c>
      <c r="S1683" t="s">
        <v>27</v>
      </c>
      <c r="T1683">
        <v>4323</v>
      </c>
      <c r="U1683">
        <v>3774</v>
      </c>
      <c r="V1683" t="s">
        <v>88</v>
      </c>
    </row>
    <row r="1684" spans="1:22">
      <c r="A1684" t="str">
        <f t="shared" si="590"/>
        <v>19/02/2026</v>
      </c>
      <c r="B1684" t="str">
        <f t="shared" si="591"/>
        <v>ENTRADA</v>
      </c>
      <c r="C1684" t="str">
        <f t="shared" si="592"/>
        <v>NFSE</v>
      </c>
      <c r="D1684" t="str">
        <f t="shared" si="598"/>
        <v>323</v>
      </c>
      <c r="E1684" t="str">
        <f t="shared" si="593"/>
        <v>1</v>
      </c>
      <c r="F1684" t="str">
        <f t="shared" si="594"/>
        <v>COM</v>
      </c>
      <c r="G1684" t="str">
        <f t="shared" si="599"/>
        <v>BEM TE FAZ 01 (10283)</v>
      </c>
      <c r="H1684" t="s">
        <v>436</v>
      </c>
      <c r="I1684" t="str">
        <f t="shared" si="596"/>
        <v>18/02/2026</v>
      </c>
      <c r="J1684" t="str">
        <f t="shared" si="597"/>
        <v>16/02/2026</v>
      </c>
      <c r="K1684">
        <v>46072</v>
      </c>
      <c r="N1684">
        <v>303</v>
      </c>
      <c r="O1684" t="s">
        <v>26</v>
      </c>
      <c r="Q1684">
        <v>355.02</v>
      </c>
      <c r="R1684" t="str">
        <f>"BEM TE FAZ LOJA 7 (10285)"</f>
        <v>BEM TE FAZ LOJA 7 (10285)</v>
      </c>
      <c r="S1684" t="s">
        <v>27</v>
      </c>
      <c r="T1684">
        <v>4323</v>
      </c>
      <c r="U1684">
        <v>3774</v>
      </c>
      <c r="V1684" t="s">
        <v>88</v>
      </c>
    </row>
    <row r="1685" spans="1:22">
      <c r="A1685" t="str">
        <f t="shared" si="590"/>
        <v>19/02/2026</v>
      </c>
      <c r="B1685" t="str">
        <f t="shared" si="591"/>
        <v>ENTRADA</v>
      </c>
      <c r="C1685" t="str">
        <f t="shared" si="592"/>
        <v>NFSE</v>
      </c>
      <c r="D1685" t="str">
        <f t="shared" si="598"/>
        <v>323</v>
      </c>
      <c r="E1685" t="str">
        <f t="shared" si="593"/>
        <v>1</v>
      </c>
      <c r="F1685" t="str">
        <f t="shared" si="594"/>
        <v>COM</v>
      </c>
      <c r="G1685" t="str">
        <f t="shared" si="599"/>
        <v>BEM TE FAZ 01 (10283)</v>
      </c>
      <c r="H1685" t="s">
        <v>436</v>
      </c>
      <c r="I1685" t="str">
        <f t="shared" si="596"/>
        <v>18/02/2026</v>
      </c>
      <c r="J1685" t="str">
        <f t="shared" si="597"/>
        <v>16/02/2026</v>
      </c>
      <c r="K1685">
        <v>46072</v>
      </c>
      <c r="N1685">
        <v>303</v>
      </c>
      <c r="O1685" t="s">
        <v>26</v>
      </c>
      <c r="Q1685">
        <v>229.89</v>
      </c>
      <c r="R1685" t="str">
        <f>"BEM TE FAZ LOJA 9 (10286)"</f>
        <v>BEM TE FAZ LOJA 9 (10286)</v>
      </c>
      <c r="S1685" t="s">
        <v>27</v>
      </c>
      <c r="T1685">
        <v>4323</v>
      </c>
      <c r="U1685">
        <v>3774</v>
      </c>
      <c r="V1685" t="s">
        <v>88</v>
      </c>
    </row>
    <row r="1686" spans="1:22">
      <c r="A1686" t="str">
        <f t="shared" si="590"/>
        <v>19/02/2026</v>
      </c>
      <c r="B1686" t="str">
        <f t="shared" si="591"/>
        <v>ENTRADA</v>
      </c>
      <c r="C1686" t="str">
        <f t="shared" si="592"/>
        <v>NFSE</v>
      </c>
      <c r="D1686" t="str">
        <f t="shared" si="598"/>
        <v>323</v>
      </c>
      <c r="E1686" t="str">
        <f t="shared" si="593"/>
        <v>1</v>
      </c>
      <c r="F1686" t="str">
        <f t="shared" si="594"/>
        <v>COM</v>
      </c>
      <c r="G1686" t="str">
        <f t="shared" si="599"/>
        <v>BEM TE FAZ 01 (10283)</v>
      </c>
      <c r="H1686" t="s">
        <v>436</v>
      </c>
      <c r="I1686" t="str">
        <f t="shared" si="596"/>
        <v>18/02/2026</v>
      </c>
      <c r="J1686" t="str">
        <f t="shared" si="597"/>
        <v>16/02/2026</v>
      </c>
      <c r="K1686">
        <v>46072</v>
      </c>
      <c r="N1686">
        <v>303</v>
      </c>
      <c r="O1686" t="s">
        <v>26</v>
      </c>
      <c r="Q1686">
        <v>1683.14</v>
      </c>
      <c r="R1686" t="str">
        <f>"BEM TE FAZ LOJA 3 (10287)"</f>
        <v>BEM TE FAZ LOJA 3 (10287)</v>
      </c>
      <c r="S1686" t="s">
        <v>27</v>
      </c>
      <c r="T1686">
        <v>4323</v>
      </c>
      <c r="U1686">
        <v>3774</v>
      </c>
      <c r="V1686" t="s">
        <v>88</v>
      </c>
    </row>
    <row r="1687" spans="1:22">
      <c r="A1687" t="str">
        <f t="shared" si="590"/>
        <v>19/02/2026</v>
      </c>
      <c r="B1687" t="str">
        <f t="shared" si="591"/>
        <v>ENTRADA</v>
      </c>
      <c r="C1687" t="str">
        <f t="shared" si="592"/>
        <v>NFSE</v>
      </c>
      <c r="D1687" t="str">
        <f t="shared" si="598"/>
        <v>323</v>
      </c>
      <c r="E1687" t="str">
        <f t="shared" si="593"/>
        <v>1</v>
      </c>
      <c r="F1687" t="str">
        <f t="shared" si="594"/>
        <v>COM</v>
      </c>
      <c r="G1687" t="str">
        <f t="shared" si="599"/>
        <v>BEM TE FAZ 01 (10283)</v>
      </c>
      <c r="H1687" t="s">
        <v>436</v>
      </c>
      <c r="I1687" t="str">
        <f t="shared" si="596"/>
        <v>18/02/2026</v>
      </c>
      <c r="J1687" t="str">
        <f t="shared" si="597"/>
        <v>16/02/2026</v>
      </c>
      <c r="K1687">
        <v>46072</v>
      </c>
      <c r="N1687">
        <v>303</v>
      </c>
      <c r="O1687" t="s">
        <v>26</v>
      </c>
      <c r="Q1687">
        <v>25.03</v>
      </c>
      <c r="R1687" t="str">
        <f>"BEM TE FAZ 05 (10294)"</f>
        <v>BEM TE FAZ 05 (10294)</v>
      </c>
      <c r="S1687" t="s">
        <v>27</v>
      </c>
      <c r="T1687">
        <v>4323</v>
      </c>
      <c r="U1687">
        <v>3774</v>
      </c>
      <c r="V1687" t="s">
        <v>88</v>
      </c>
    </row>
    <row r="1688" spans="1:22">
      <c r="A1688" t="str">
        <f t="shared" si="590"/>
        <v>19/02/2026</v>
      </c>
      <c r="B1688" t="str">
        <f t="shared" si="591"/>
        <v>ENTRADA</v>
      </c>
      <c r="C1688" t="str">
        <f t="shared" si="592"/>
        <v>NFSE</v>
      </c>
      <c r="D1688" t="str">
        <f t="shared" si="598"/>
        <v>323</v>
      </c>
      <c r="E1688" t="str">
        <f t="shared" si="593"/>
        <v>1</v>
      </c>
      <c r="F1688" t="str">
        <f t="shared" si="594"/>
        <v>COM</v>
      </c>
      <c r="G1688" t="str">
        <f t="shared" si="599"/>
        <v>BEM TE FAZ 01 (10283)</v>
      </c>
      <c r="H1688" t="s">
        <v>436</v>
      </c>
      <c r="I1688" t="str">
        <f t="shared" si="596"/>
        <v>18/02/2026</v>
      </c>
      <c r="J1688" t="str">
        <f t="shared" si="597"/>
        <v>16/02/2026</v>
      </c>
      <c r="K1688">
        <v>46072</v>
      </c>
      <c r="N1688">
        <v>303</v>
      </c>
      <c r="O1688" t="s">
        <v>26</v>
      </c>
      <c r="Q1688">
        <v>0</v>
      </c>
      <c r="R1688" t="str">
        <f>"BEM TE FAZ LOJA 8 (10297)"</f>
        <v>BEM TE FAZ LOJA 8 (10297)</v>
      </c>
      <c r="S1688" t="s">
        <v>27</v>
      </c>
      <c r="T1688">
        <v>4323</v>
      </c>
      <c r="U1688">
        <v>3774</v>
      </c>
      <c r="V1688" t="s">
        <v>88</v>
      </c>
    </row>
    <row r="1689" spans="1:22">
      <c r="A1689" t="str">
        <f t="shared" si="590"/>
        <v>19/02/2026</v>
      </c>
      <c r="B1689" t="str">
        <f t="shared" si="591"/>
        <v>ENTRADA</v>
      </c>
      <c r="C1689" t="str">
        <f t="shared" si="592"/>
        <v>NFSE</v>
      </c>
      <c r="D1689" t="str">
        <f>"324"</f>
        <v>324</v>
      </c>
      <c r="E1689" t="str">
        <f t="shared" si="593"/>
        <v>1</v>
      </c>
      <c r="F1689" t="str">
        <f t="shared" si="594"/>
        <v>COM</v>
      </c>
      <c r="G1689" t="str">
        <f>"DROGARIA MORENO LTDA (10171)"</f>
        <v>DROGARIA MORENO LTDA (10171)</v>
      </c>
      <c r="H1689" t="str">
        <f>"Serv.Prest. 09/02/2026 a 15/02/2026 - RPS: 2246 - NFSe: 324"</f>
        <v>Serv.Prest. 09/02/2026 a 15/02/2026 - RPS: 2246 - NFSe: 324</v>
      </c>
      <c r="I1689" t="str">
        <f t="shared" si="596"/>
        <v>18/02/2026</v>
      </c>
      <c r="J1689" t="str">
        <f t="shared" si="597"/>
        <v>16/02/2026</v>
      </c>
      <c r="K1689" t="str">
        <f>("19/02/2026")</f>
        <v>19/02/2026</v>
      </c>
      <c r="L1689">
        <v>419.4</v>
      </c>
      <c r="M1689">
        <v>419.4</v>
      </c>
      <c r="N1689">
        <v>303</v>
      </c>
      <c r="O1689" t="str">
        <f>"RECEITAS COM ENTREGAS"</f>
        <v>RECEITAS COM ENTREGAS</v>
      </c>
      <c r="P1689">
        <v>419.4</v>
      </c>
      <c r="S1689" t="str">
        <f>"RECEITAS COM ENTREGAS (303)"</f>
        <v>RECEITAS COM ENTREGAS (303)</v>
      </c>
      <c r="T1689">
        <v>4324</v>
      </c>
      <c r="U1689">
        <v>3775</v>
      </c>
      <c r="V1689" t="s">
        <v>88</v>
      </c>
    </row>
    <row r="1690" spans="1:22">
      <c r="A1690" t="str">
        <f t="shared" si="590"/>
        <v>19/02/2026</v>
      </c>
      <c r="B1690" t="str">
        <f t="shared" si="591"/>
        <v>ENTRADA</v>
      </c>
      <c r="C1690" t="str">
        <f t="shared" si="592"/>
        <v>NFSE</v>
      </c>
      <c r="D1690" t="str">
        <f>"324"</f>
        <v>324</v>
      </c>
      <c r="E1690" t="str">
        <f t="shared" si="593"/>
        <v>1</v>
      </c>
      <c r="F1690" t="str">
        <f t="shared" si="594"/>
        <v>COM</v>
      </c>
      <c r="G1690" t="str">
        <f>"DROGARIA MORENO LTDA (10171)"</f>
        <v>DROGARIA MORENO LTDA (10171)</v>
      </c>
      <c r="H1690" t="s">
        <v>437</v>
      </c>
      <c r="I1690" t="str">
        <f t="shared" si="596"/>
        <v>18/02/2026</v>
      </c>
      <c r="J1690" t="str">
        <f t="shared" si="597"/>
        <v>16/02/2026</v>
      </c>
      <c r="K1690">
        <v>46072</v>
      </c>
      <c r="N1690">
        <v>303</v>
      </c>
      <c r="O1690" t="s">
        <v>26</v>
      </c>
      <c r="Q1690">
        <v>419.4</v>
      </c>
      <c r="R1690" t="str">
        <f>"DROGARIA MORENO LTDA (10171)"</f>
        <v>DROGARIA MORENO LTDA (10171)</v>
      </c>
      <c r="S1690" t="s">
        <v>27</v>
      </c>
      <c r="T1690">
        <v>4324</v>
      </c>
      <c r="U1690">
        <v>3775</v>
      </c>
      <c r="V1690" t="s">
        <v>88</v>
      </c>
    </row>
    <row r="1691" spans="1:22">
      <c r="A1691" t="str">
        <f t="shared" si="590"/>
        <v>19/02/2026</v>
      </c>
      <c r="B1691" t="str">
        <f t="shared" si="591"/>
        <v>ENTRADA</v>
      </c>
      <c r="C1691" t="str">
        <f t="shared" si="592"/>
        <v>NFSE</v>
      </c>
      <c r="D1691" t="str">
        <f>"325"</f>
        <v>325</v>
      </c>
      <c r="E1691" t="str">
        <f t="shared" si="593"/>
        <v>1</v>
      </c>
      <c r="F1691" t="str">
        <f t="shared" si="594"/>
        <v>COM</v>
      </c>
      <c r="G1691" t="str">
        <f>"DROGARIA TOTAL JUNDIAI (10177)"</f>
        <v>DROGARIA TOTAL JUNDIAI (10177)</v>
      </c>
      <c r="H1691" t="str">
        <f>"Serv.Prest. 09/02/2026 a 15/02/2026 - RPS: 2247 - NFSe: 325"</f>
        <v>Serv.Prest. 09/02/2026 a 15/02/2026 - RPS: 2247 - NFSe: 325</v>
      </c>
      <c r="I1691" t="str">
        <f t="shared" si="596"/>
        <v>18/02/2026</v>
      </c>
      <c r="J1691" t="str">
        <f t="shared" si="597"/>
        <v>16/02/2026</v>
      </c>
      <c r="K1691" t="str">
        <f>("19/02/2026")</f>
        <v>19/02/2026</v>
      </c>
      <c r="L1691">
        <v>100.27</v>
      </c>
      <c r="M1691">
        <v>100.27</v>
      </c>
      <c r="N1691">
        <v>303</v>
      </c>
      <c r="O1691" t="str">
        <f>"RECEITAS COM ENTREGAS"</f>
        <v>RECEITAS COM ENTREGAS</v>
      </c>
      <c r="P1691">
        <v>100.27</v>
      </c>
      <c r="S1691" t="str">
        <f>"RECEITAS COM ENTREGAS (303)"</f>
        <v>RECEITAS COM ENTREGAS (303)</v>
      </c>
      <c r="T1691">
        <v>4326</v>
      </c>
      <c r="U1691">
        <v>3776</v>
      </c>
      <c r="V1691" t="s">
        <v>88</v>
      </c>
    </row>
    <row r="1692" spans="1:22">
      <c r="A1692" t="str">
        <f t="shared" si="590"/>
        <v>19/02/2026</v>
      </c>
      <c r="B1692" t="str">
        <f t="shared" si="591"/>
        <v>ENTRADA</v>
      </c>
      <c r="C1692" t="str">
        <f t="shared" si="592"/>
        <v>NFSE</v>
      </c>
      <c r="D1692" t="str">
        <f>"325"</f>
        <v>325</v>
      </c>
      <c r="E1692" t="str">
        <f t="shared" si="593"/>
        <v>1</v>
      </c>
      <c r="F1692" t="str">
        <f t="shared" si="594"/>
        <v>COM</v>
      </c>
      <c r="G1692" t="str">
        <f>"DROGARIA TOTAL JUNDIAI (10177)"</f>
        <v>DROGARIA TOTAL JUNDIAI (10177)</v>
      </c>
      <c r="H1692" t="s">
        <v>438</v>
      </c>
      <c r="I1692" t="str">
        <f t="shared" si="596"/>
        <v>18/02/2026</v>
      </c>
      <c r="J1692" t="str">
        <f t="shared" si="597"/>
        <v>16/02/2026</v>
      </c>
      <c r="K1692">
        <v>46072</v>
      </c>
      <c r="N1692">
        <v>303</v>
      </c>
      <c r="O1692" t="s">
        <v>26</v>
      </c>
      <c r="Q1692">
        <v>100.27</v>
      </c>
      <c r="R1692" t="str">
        <f>"DROGARIA TOTAL JUNDIAI (10177)"</f>
        <v>DROGARIA TOTAL JUNDIAI (10177)</v>
      </c>
      <c r="S1692" t="s">
        <v>27</v>
      </c>
      <c r="T1692">
        <v>4326</v>
      </c>
      <c r="U1692">
        <v>3776</v>
      </c>
      <c r="V1692" t="s">
        <v>88</v>
      </c>
    </row>
    <row r="1693" spans="1:22">
      <c r="A1693" t="str">
        <f t="shared" si="590"/>
        <v>19/02/2026</v>
      </c>
      <c r="B1693" t="str">
        <f t="shared" si="591"/>
        <v>ENTRADA</v>
      </c>
      <c r="C1693" t="str">
        <f t="shared" si="592"/>
        <v>NFSE</v>
      </c>
      <c r="D1693" t="str">
        <f>"326"</f>
        <v>326</v>
      </c>
      <c r="E1693" t="str">
        <f t="shared" si="593"/>
        <v>1</v>
      </c>
      <c r="F1693" t="str">
        <f t="shared" si="594"/>
        <v>COM</v>
      </c>
      <c r="G1693" t="str">
        <f>"ENTREFARMA (10164)"</f>
        <v>ENTREFARMA (10164)</v>
      </c>
      <c r="H1693" t="str">
        <f>"Serv.Prest. 09/02/2026 a 15/02/2026 - RPS: 2248 - NFSe: 326"</f>
        <v>Serv.Prest. 09/02/2026 a 15/02/2026 - RPS: 2248 - NFSe: 326</v>
      </c>
      <c r="I1693" t="str">
        <f t="shared" si="596"/>
        <v>18/02/2026</v>
      </c>
      <c r="J1693" t="str">
        <f t="shared" si="597"/>
        <v>16/02/2026</v>
      </c>
      <c r="K1693" t="str">
        <f>("19/02/2026")</f>
        <v>19/02/2026</v>
      </c>
      <c r="L1693">
        <v>1174.28</v>
      </c>
      <c r="M1693">
        <v>1174.28</v>
      </c>
      <c r="N1693">
        <v>303</v>
      </c>
      <c r="O1693" t="str">
        <f>"RECEITAS COM ENTREGAS"</f>
        <v>RECEITAS COM ENTREGAS</v>
      </c>
      <c r="P1693">
        <v>1174.28</v>
      </c>
      <c r="S1693" t="str">
        <f>"RECEITAS COM ENTREGAS (303)"</f>
        <v>RECEITAS COM ENTREGAS (303)</v>
      </c>
      <c r="T1693">
        <v>4327</v>
      </c>
      <c r="U1693">
        <v>3777</v>
      </c>
      <c r="V1693" t="s">
        <v>88</v>
      </c>
    </row>
    <row r="1694" spans="1:22">
      <c r="A1694" t="str">
        <f t="shared" ref="A1694:A1725" si="600">("19/02/2026")</f>
        <v>19/02/2026</v>
      </c>
      <c r="B1694" t="str">
        <f t="shared" ref="B1694:B1725" si="601">"ENTRADA"</f>
        <v>ENTRADA</v>
      </c>
      <c r="C1694" t="str">
        <f t="shared" ref="C1694:C1725" si="602">"NFSE"</f>
        <v>NFSE</v>
      </c>
      <c r="D1694" t="str">
        <f>"326"</f>
        <v>326</v>
      </c>
      <c r="E1694" t="str">
        <f t="shared" ref="E1694:E1725" si="603">"1"</f>
        <v>1</v>
      </c>
      <c r="F1694" t="str">
        <f t="shared" ref="F1694:F1725" si="604">"COM"</f>
        <v>COM</v>
      </c>
      <c r="G1694" t="str">
        <f>"ENTREFARMA (10164)"</f>
        <v>ENTREFARMA (10164)</v>
      </c>
      <c r="H1694" t="s">
        <v>439</v>
      </c>
      <c r="I1694" t="str">
        <f t="shared" si="596"/>
        <v>18/02/2026</v>
      </c>
      <c r="J1694" t="str">
        <f t="shared" si="597"/>
        <v>16/02/2026</v>
      </c>
      <c r="K1694">
        <v>46072</v>
      </c>
      <c r="N1694">
        <v>303</v>
      </c>
      <c r="O1694" t="s">
        <v>26</v>
      </c>
      <c r="Q1694">
        <v>1174.28</v>
      </c>
      <c r="R1694" t="str">
        <f>"ENTREFARMA (10164)"</f>
        <v>ENTREFARMA (10164)</v>
      </c>
      <c r="S1694" t="s">
        <v>27</v>
      </c>
      <c r="T1694">
        <v>4327</v>
      </c>
      <c r="U1694">
        <v>3777</v>
      </c>
      <c r="V1694" t="s">
        <v>88</v>
      </c>
    </row>
    <row r="1695" spans="1:22">
      <c r="A1695" t="str">
        <f t="shared" si="600"/>
        <v>19/02/2026</v>
      </c>
      <c r="B1695" t="str">
        <f t="shared" si="601"/>
        <v>ENTRADA</v>
      </c>
      <c r="C1695" t="str">
        <f t="shared" si="602"/>
        <v>NFSE</v>
      </c>
      <c r="D1695" t="str">
        <f>"328"</f>
        <v>328</v>
      </c>
      <c r="E1695" t="str">
        <f t="shared" si="603"/>
        <v>1</v>
      </c>
      <c r="F1695" t="str">
        <f t="shared" si="604"/>
        <v>COM</v>
      </c>
      <c r="G1695" t="str">
        <f>"FARMACIA ECONOMIZE (10103)"</f>
        <v>FARMACIA ECONOMIZE (10103)</v>
      </c>
      <c r="H1695" t="str">
        <f>"Serv.Prest. 09/02/2026 a 15/02/2026 - RPS: 2250 - NFSe: 328"</f>
        <v>Serv.Prest. 09/02/2026 a 15/02/2026 - RPS: 2250 - NFSe: 328</v>
      </c>
      <c r="I1695" t="str">
        <f t="shared" ref="I1695:I1726" si="605">("18/02/2026")</f>
        <v>18/02/2026</v>
      </c>
      <c r="J1695" t="str">
        <f t="shared" si="597"/>
        <v>16/02/2026</v>
      </c>
      <c r="K1695" t="str">
        <f>("19/02/2026")</f>
        <v>19/02/2026</v>
      </c>
      <c r="L1695">
        <v>20.38</v>
      </c>
      <c r="M1695">
        <v>20.38</v>
      </c>
      <c r="N1695">
        <v>303</v>
      </c>
      <c r="O1695" t="str">
        <f>"RECEITAS COM ENTREGAS"</f>
        <v>RECEITAS COM ENTREGAS</v>
      </c>
      <c r="P1695">
        <v>20.38</v>
      </c>
      <c r="S1695" t="str">
        <f>"RECEITAS COM ENTREGAS (303)"</f>
        <v>RECEITAS COM ENTREGAS (303)</v>
      </c>
      <c r="T1695">
        <v>4328</v>
      </c>
      <c r="U1695">
        <v>3779</v>
      </c>
      <c r="V1695" t="s">
        <v>88</v>
      </c>
    </row>
    <row r="1696" spans="1:22">
      <c r="A1696" t="str">
        <f t="shared" si="600"/>
        <v>19/02/2026</v>
      </c>
      <c r="B1696" t="str">
        <f t="shared" si="601"/>
        <v>ENTRADA</v>
      </c>
      <c r="C1696" t="str">
        <f t="shared" si="602"/>
        <v>NFSE</v>
      </c>
      <c r="D1696" t="str">
        <f>"328"</f>
        <v>328</v>
      </c>
      <c r="E1696" t="str">
        <f t="shared" si="603"/>
        <v>1</v>
      </c>
      <c r="F1696" t="str">
        <f t="shared" si="604"/>
        <v>COM</v>
      </c>
      <c r="G1696" t="str">
        <f>"FARMACIA ECONOMIZE (10103)"</f>
        <v>FARMACIA ECONOMIZE (10103)</v>
      </c>
      <c r="H1696" t="s">
        <v>440</v>
      </c>
      <c r="I1696" t="str">
        <f t="shared" si="605"/>
        <v>18/02/2026</v>
      </c>
      <c r="J1696" t="str">
        <f t="shared" si="597"/>
        <v>16/02/2026</v>
      </c>
      <c r="K1696">
        <v>46072</v>
      </c>
      <c r="N1696">
        <v>303</v>
      </c>
      <c r="O1696" t="s">
        <v>26</v>
      </c>
      <c r="Q1696">
        <v>20.38</v>
      </c>
      <c r="R1696" t="str">
        <f>"FARMACIA ECONOMIZE (10103)"</f>
        <v>FARMACIA ECONOMIZE (10103)</v>
      </c>
      <c r="S1696" t="s">
        <v>27</v>
      </c>
      <c r="T1696">
        <v>4328</v>
      </c>
      <c r="U1696">
        <v>3779</v>
      </c>
      <c r="V1696" t="s">
        <v>88</v>
      </c>
    </row>
    <row r="1697" spans="1:22">
      <c r="A1697" t="str">
        <f t="shared" si="600"/>
        <v>19/02/2026</v>
      </c>
      <c r="B1697" t="str">
        <f t="shared" si="601"/>
        <v>ENTRADA</v>
      </c>
      <c r="C1697" t="str">
        <f t="shared" si="602"/>
        <v>NFSE</v>
      </c>
      <c r="D1697" t="str">
        <f>"329"</f>
        <v>329</v>
      </c>
      <c r="E1697" t="str">
        <f t="shared" si="603"/>
        <v>1</v>
      </c>
      <c r="F1697" t="str">
        <f t="shared" si="604"/>
        <v>COM</v>
      </c>
      <c r="G1697" t="str">
        <f>"FARMACIA ROSAS (10288)"</f>
        <v>FARMACIA ROSAS (10288)</v>
      </c>
      <c r="H1697" t="str">
        <f>"Serv.Prest. 09/02/2026 a 15/02/2026 - RPS: 2251 - NFSe: 329"</f>
        <v>Serv.Prest. 09/02/2026 a 15/02/2026 - RPS: 2251 - NFSe: 329</v>
      </c>
      <c r="I1697" t="str">
        <f t="shared" si="605"/>
        <v>18/02/2026</v>
      </c>
      <c r="J1697" t="str">
        <f t="shared" si="597"/>
        <v>16/02/2026</v>
      </c>
      <c r="K1697" t="str">
        <f>("19/02/2026")</f>
        <v>19/02/2026</v>
      </c>
      <c r="L1697">
        <v>517.5</v>
      </c>
      <c r="M1697">
        <v>517.5</v>
      </c>
      <c r="N1697">
        <v>303</v>
      </c>
      <c r="O1697" t="str">
        <f>"RECEITAS COM ENTREGAS"</f>
        <v>RECEITAS COM ENTREGAS</v>
      </c>
      <c r="P1697">
        <v>517.5</v>
      </c>
      <c r="S1697" t="str">
        <f>"RECEITAS COM ENTREGAS (303)"</f>
        <v>RECEITAS COM ENTREGAS (303)</v>
      </c>
      <c r="T1697">
        <v>4329</v>
      </c>
      <c r="U1697">
        <v>3780</v>
      </c>
      <c r="V1697" t="s">
        <v>88</v>
      </c>
    </row>
    <row r="1698" spans="1:22">
      <c r="A1698" t="str">
        <f t="shared" si="600"/>
        <v>19/02/2026</v>
      </c>
      <c r="B1698" t="str">
        <f t="shared" si="601"/>
        <v>ENTRADA</v>
      </c>
      <c r="C1698" t="str">
        <f t="shared" si="602"/>
        <v>NFSE</v>
      </c>
      <c r="D1698" t="str">
        <f>"329"</f>
        <v>329</v>
      </c>
      <c r="E1698" t="str">
        <f t="shared" si="603"/>
        <v>1</v>
      </c>
      <c r="F1698" t="str">
        <f t="shared" si="604"/>
        <v>COM</v>
      </c>
      <c r="G1698" t="str">
        <f>"FARMACIA ROSAS (10288)"</f>
        <v>FARMACIA ROSAS (10288)</v>
      </c>
      <c r="H1698" t="s">
        <v>441</v>
      </c>
      <c r="I1698" t="str">
        <f t="shared" si="605"/>
        <v>18/02/2026</v>
      </c>
      <c r="J1698" t="str">
        <f t="shared" si="597"/>
        <v>16/02/2026</v>
      </c>
      <c r="K1698">
        <v>46072</v>
      </c>
      <c r="N1698">
        <v>303</v>
      </c>
      <c r="O1698" t="s">
        <v>26</v>
      </c>
      <c r="Q1698">
        <v>517.5</v>
      </c>
      <c r="R1698" t="str">
        <f>"FARMACIA ROSAS (10288)"</f>
        <v>FARMACIA ROSAS (10288)</v>
      </c>
      <c r="S1698" t="s">
        <v>27</v>
      </c>
      <c r="T1698">
        <v>4329</v>
      </c>
      <c r="U1698">
        <v>3780</v>
      </c>
      <c r="V1698" t="s">
        <v>88</v>
      </c>
    </row>
    <row r="1699" spans="1:22">
      <c r="A1699" t="str">
        <f t="shared" si="600"/>
        <v>19/02/2026</v>
      </c>
      <c r="B1699" t="str">
        <f t="shared" si="601"/>
        <v>ENTRADA</v>
      </c>
      <c r="C1699" t="str">
        <f t="shared" si="602"/>
        <v>NFSE</v>
      </c>
      <c r="D1699" t="str">
        <f>"330"</f>
        <v>330</v>
      </c>
      <c r="E1699" t="str">
        <f t="shared" si="603"/>
        <v>1</v>
      </c>
      <c r="F1699" t="str">
        <f t="shared" si="604"/>
        <v>COM</v>
      </c>
      <c r="G1699" t="str">
        <f>"FRAN FARMA (10124)"</f>
        <v>FRAN FARMA (10124)</v>
      </c>
      <c r="H1699" t="str">
        <f>"Serv.Prest. 09/02/2026 a 15/02/2026 - RPS: 2252 - NFSe: 330"</f>
        <v>Serv.Prest. 09/02/2026 a 15/02/2026 - RPS: 2252 - NFSe: 330</v>
      </c>
      <c r="I1699" t="str">
        <f t="shared" si="605"/>
        <v>18/02/2026</v>
      </c>
      <c r="J1699" t="str">
        <f t="shared" si="597"/>
        <v>16/02/2026</v>
      </c>
      <c r="K1699" t="str">
        <f>("19/02/2026")</f>
        <v>19/02/2026</v>
      </c>
      <c r="L1699">
        <v>160</v>
      </c>
      <c r="M1699">
        <v>160</v>
      </c>
      <c r="N1699">
        <v>303</v>
      </c>
      <c r="O1699" t="str">
        <f>"RECEITAS COM ENTREGAS"</f>
        <v>RECEITAS COM ENTREGAS</v>
      </c>
      <c r="P1699">
        <v>160</v>
      </c>
      <c r="S1699" t="str">
        <f>"RECEITAS COM ENTREGAS (303)"</f>
        <v>RECEITAS COM ENTREGAS (303)</v>
      </c>
      <c r="T1699">
        <v>4330</v>
      </c>
      <c r="U1699">
        <v>3781</v>
      </c>
      <c r="V1699" t="s">
        <v>88</v>
      </c>
    </row>
    <row r="1700" spans="1:22">
      <c r="A1700" t="str">
        <f t="shared" si="600"/>
        <v>19/02/2026</v>
      </c>
      <c r="B1700" t="str">
        <f t="shared" si="601"/>
        <v>ENTRADA</v>
      </c>
      <c r="C1700" t="str">
        <f t="shared" si="602"/>
        <v>NFSE</v>
      </c>
      <c r="D1700" t="str">
        <f>"330"</f>
        <v>330</v>
      </c>
      <c r="E1700" t="str">
        <f t="shared" si="603"/>
        <v>1</v>
      </c>
      <c r="F1700" t="str">
        <f t="shared" si="604"/>
        <v>COM</v>
      </c>
      <c r="G1700" t="str">
        <f>"FRAN FARMA (10124)"</f>
        <v>FRAN FARMA (10124)</v>
      </c>
      <c r="H1700" t="s">
        <v>442</v>
      </c>
      <c r="I1700" t="str">
        <f t="shared" si="605"/>
        <v>18/02/2026</v>
      </c>
      <c r="J1700" t="str">
        <f t="shared" si="597"/>
        <v>16/02/2026</v>
      </c>
      <c r="K1700">
        <v>46072</v>
      </c>
      <c r="N1700">
        <v>303</v>
      </c>
      <c r="O1700" t="s">
        <v>26</v>
      </c>
      <c r="Q1700">
        <v>160</v>
      </c>
      <c r="R1700" t="str">
        <f>"FRAN FARMA LJ 2 (10131)"</f>
        <v>FRAN FARMA LJ 2 (10131)</v>
      </c>
      <c r="S1700" t="s">
        <v>27</v>
      </c>
      <c r="T1700">
        <v>4330</v>
      </c>
      <c r="U1700">
        <v>3781</v>
      </c>
      <c r="V1700" t="s">
        <v>88</v>
      </c>
    </row>
    <row r="1701" spans="1:22">
      <c r="A1701" t="str">
        <f t="shared" si="600"/>
        <v>19/02/2026</v>
      </c>
      <c r="B1701" t="str">
        <f t="shared" si="601"/>
        <v>ENTRADA</v>
      </c>
      <c r="C1701" t="str">
        <f t="shared" si="602"/>
        <v>NFSE</v>
      </c>
      <c r="D1701" t="str">
        <f>"331"</f>
        <v>331</v>
      </c>
      <c r="E1701" t="str">
        <f t="shared" si="603"/>
        <v>1</v>
      </c>
      <c r="F1701" t="str">
        <f t="shared" si="604"/>
        <v>COM</v>
      </c>
      <c r="G1701" t="str">
        <f>"JAL FARMACIA E DROGARIA LJ 1 (10137)"</f>
        <v>JAL FARMACIA E DROGARIA LJ 1 (10137)</v>
      </c>
      <c r="H1701" t="str">
        <f>"Serv.Prest. 09/02/2026 a 15/02/2026 - RPS: 2253 - NFSe: 331"</f>
        <v>Serv.Prest. 09/02/2026 a 15/02/2026 - RPS: 2253 - NFSe: 331</v>
      </c>
      <c r="I1701" t="str">
        <f t="shared" si="605"/>
        <v>18/02/2026</v>
      </c>
      <c r="J1701" t="str">
        <f t="shared" si="597"/>
        <v>16/02/2026</v>
      </c>
      <c r="K1701" t="str">
        <f>("19/02/2026")</f>
        <v>19/02/2026</v>
      </c>
      <c r="L1701">
        <v>436.5</v>
      </c>
      <c r="M1701">
        <v>436.5</v>
      </c>
      <c r="N1701">
        <v>303</v>
      </c>
      <c r="O1701" t="str">
        <f>"RECEITAS COM ENTREGAS"</f>
        <v>RECEITAS COM ENTREGAS</v>
      </c>
      <c r="P1701">
        <v>436.5</v>
      </c>
      <c r="S1701" t="str">
        <f>"RECEITAS COM ENTREGAS (303)"</f>
        <v>RECEITAS COM ENTREGAS (303)</v>
      </c>
      <c r="T1701">
        <v>4331</v>
      </c>
      <c r="U1701">
        <v>3782</v>
      </c>
      <c r="V1701" t="s">
        <v>88</v>
      </c>
    </row>
    <row r="1702" spans="1:22">
      <c r="A1702" t="str">
        <f t="shared" si="600"/>
        <v>19/02/2026</v>
      </c>
      <c r="B1702" t="str">
        <f t="shared" si="601"/>
        <v>ENTRADA</v>
      </c>
      <c r="C1702" t="str">
        <f t="shared" si="602"/>
        <v>NFSE</v>
      </c>
      <c r="D1702" t="str">
        <f>"331"</f>
        <v>331</v>
      </c>
      <c r="E1702" t="str">
        <f t="shared" si="603"/>
        <v>1</v>
      </c>
      <c r="F1702" t="str">
        <f t="shared" si="604"/>
        <v>COM</v>
      </c>
      <c r="G1702" t="str">
        <f>"JAL FARMACIA E DROGARIA LJ 1 (10137)"</f>
        <v>JAL FARMACIA E DROGARIA LJ 1 (10137)</v>
      </c>
      <c r="H1702" t="s">
        <v>443</v>
      </c>
      <c r="I1702" t="str">
        <f t="shared" si="605"/>
        <v>18/02/2026</v>
      </c>
      <c r="J1702" t="str">
        <f t="shared" ref="J1702:J1733" si="606">("16/02/2026")</f>
        <v>16/02/2026</v>
      </c>
      <c r="K1702">
        <v>46072</v>
      </c>
      <c r="N1702">
        <v>303</v>
      </c>
      <c r="O1702" t="s">
        <v>26</v>
      </c>
      <c r="Q1702">
        <v>436.5</v>
      </c>
      <c r="R1702" t="str">
        <f>"JAL FARMACIA E DROGARIA LJ 1 (10137)"</f>
        <v>JAL FARMACIA E DROGARIA LJ 1 (10137)</v>
      </c>
      <c r="S1702" t="s">
        <v>27</v>
      </c>
      <c r="T1702">
        <v>4331</v>
      </c>
      <c r="U1702">
        <v>3782</v>
      </c>
      <c r="V1702" t="s">
        <v>88</v>
      </c>
    </row>
    <row r="1703" spans="1:22">
      <c r="A1703" t="str">
        <f t="shared" si="600"/>
        <v>19/02/2026</v>
      </c>
      <c r="B1703" t="str">
        <f t="shared" si="601"/>
        <v>ENTRADA</v>
      </c>
      <c r="C1703" t="str">
        <f t="shared" si="602"/>
        <v>NFSE</v>
      </c>
      <c r="D1703" t="str">
        <f>"332"</f>
        <v>332</v>
      </c>
      <c r="E1703" t="str">
        <f t="shared" si="603"/>
        <v>1</v>
      </c>
      <c r="F1703" t="str">
        <f t="shared" si="604"/>
        <v>COM</v>
      </c>
      <c r="G1703" t="str">
        <f>"JAL FARMACIA E DROGARIA LJ 2 (10138)"</f>
        <v>JAL FARMACIA E DROGARIA LJ 2 (10138)</v>
      </c>
      <c r="H1703" t="str">
        <f>"Serv.Prest. 09/02/2026 a 15/02/2026 - RPS: 2254 - NFSe: 332"</f>
        <v>Serv.Prest. 09/02/2026 a 15/02/2026 - RPS: 2254 - NFSe: 332</v>
      </c>
      <c r="I1703" t="str">
        <f t="shared" si="605"/>
        <v>18/02/2026</v>
      </c>
      <c r="J1703" t="str">
        <f t="shared" si="606"/>
        <v>16/02/2026</v>
      </c>
      <c r="K1703" t="str">
        <f>("19/02/2026")</f>
        <v>19/02/2026</v>
      </c>
      <c r="L1703">
        <v>288</v>
      </c>
      <c r="M1703">
        <v>288</v>
      </c>
      <c r="N1703">
        <v>303</v>
      </c>
      <c r="O1703" t="str">
        <f>"RECEITAS COM ENTREGAS"</f>
        <v>RECEITAS COM ENTREGAS</v>
      </c>
      <c r="P1703">
        <v>288</v>
      </c>
      <c r="S1703" t="str">
        <f>"RECEITAS COM ENTREGAS (303)"</f>
        <v>RECEITAS COM ENTREGAS (303)</v>
      </c>
      <c r="T1703">
        <v>4332</v>
      </c>
      <c r="U1703">
        <v>3783</v>
      </c>
      <c r="V1703" t="s">
        <v>88</v>
      </c>
    </row>
    <row r="1704" spans="1:22">
      <c r="A1704" t="str">
        <f t="shared" si="600"/>
        <v>19/02/2026</v>
      </c>
      <c r="B1704" t="str">
        <f t="shared" si="601"/>
        <v>ENTRADA</v>
      </c>
      <c r="C1704" t="str">
        <f t="shared" si="602"/>
        <v>NFSE</v>
      </c>
      <c r="D1704" t="str">
        <f>"332"</f>
        <v>332</v>
      </c>
      <c r="E1704" t="str">
        <f t="shared" si="603"/>
        <v>1</v>
      </c>
      <c r="F1704" t="str">
        <f t="shared" si="604"/>
        <v>COM</v>
      </c>
      <c r="G1704" t="str">
        <f>"JAL FARMACIA E DROGARIA LJ 2 (10138)"</f>
        <v>JAL FARMACIA E DROGARIA LJ 2 (10138)</v>
      </c>
      <c r="H1704" t="s">
        <v>444</v>
      </c>
      <c r="I1704" t="str">
        <f t="shared" si="605"/>
        <v>18/02/2026</v>
      </c>
      <c r="J1704" t="str">
        <f t="shared" si="606"/>
        <v>16/02/2026</v>
      </c>
      <c r="K1704">
        <v>46072</v>
      </c>
      <c r="N1704">
        <v>303</v>
      </c>
      <c r="O1704" t="s">
        <v>26</v>
      </c>
      <c r="Q1704">
        <v>288</v>
      </c>
      <c r="R1704" t="str">
        <f>"JAL FARMACIA E DROGARIA LJ 2 (10138)"</f>
        <v>JAL FARMACIA E DROGARIA LJ 2 (10138)</v>
      </c>
      <c r="S1704" t="s">
        <v>27</v>
      </c>
      <c r="T1704">
        <v>4332</v>
      </c>
      <c r="U1704">
        <v>3783</v>
      </c>
      <c r="V1704" t="s">
        <v>88</v>
      </c>
    </row>
    <row r="1705" spans="1:22">
      <c r="A1705" t="str">
        <f t="shared" si="600"/>
        <v>19/02/2026</v>
      </c>
      <c r="B1705" t="str">
        <f t="shared" si="601"/>
        <v>ENTRADA</v>
      </c>
      <c r="C1705" t="str">
        <f t="shared" si="602"/>
        <v>NFSE</v>
      </c>
      <c r="D1705" t="str">
        <f>"335"</f>
        <v>335</v>
      </c>
      <c r="E1705" t="str">
        <f t="shared" si="603"/>
        <v>1</v>
      </c>
      <c r="F1705" t="str">
        <f t="shared" si="604"/>
        <v>COM</v>
      </c>
      <c r="G1705" t="str">
        <f>"ULTRA POPULAR  UBA 2 (10214)"</f>
        <v>ULTRA POPULAR  UBA 2 (10214)</v>
      </c>
      <c r="H1705" t="str">
        <f>"Serv.Prest. 09/02/2026 a 15/02/2026 - RPS: 2257 - NFSe: 335"</f>
        <v>Serv.Prest. 09/02/2026 a 15/02/2026 - RPS: 2257 - NFSe: 335</v>
      </c>
      <c r="I1705" t="str">
        <f t="shared" si="605"/>
        <v>18/02/2026</v>
      </c>
      <c r="J1705" t="str">
        <f t="shared" si="606"/>
        <v>16/02/2026</v>
      </c>
      <c r="K1705" t="str">
        <f>("19/02/2026")</f>
        <v>19/02/2026</v>
      </c>
      <c r="L1705">
        <v>159.93</v>
      </c>
      <c r="M1705">
        <v>159.93</v>
      </c>
      <c r="N1705">
        <v>303</v>
      </c>
      <c r="O1705" t="str">
        <f>"RECEITAS COM ENTREGAS"</f>
        <v>RECEITAS COM ENTREGAS</v>
      </c>
      <c r="P1705">
        <v>159.93</v>
      </c>
      <c r="S1705" t="str">
        <f>"RECEITAS COM ENTREGAS (303)"</f>
        <v>RECEITAS COM ENTREGAS (303)</v>
      </c>
      <c r="T1705">
        <v>4333</v>
      </c>
      <c r="U1705">
        <v>3786</v>
      </c>
      <c r="V1705" t="s">
        <v>88</v>
      </c>
    </row>
    <row r="1706" spans="1:22">
      <c r="A1706" t="str">
        <f t="shared" si="600"/>
        <v>19/02/2026</v>
      </c>
      <c r="B1706" t="str">
        <f t="shared" si="601"/>
        <v>ENTRADA</v>
      </c>
      <c r="C1706" t="str">
        <f t="shared" si="602"/>
        <v>NFSE</v>
      </c>
      <c r="D1706" t="str">
        <f>"335"</f>
        <v>335</v>
      </c>
      <c r="E1706" t="str">
        <f t="shared" si="603"/>
        <v>1</v>
      </c>
      <c r="F1706" t="str">
        <f t="shared" si="604"/>
        <v>COM</v>
      </c>
      <c r="G1706" t="str">
        <f>"ULTRA POPULAR  UBA 2 (10214)"</f>
        <v>ULTRA POPULAR  UBA 2 (10214)</v>
      </c>
      <c r="H1706" t="s">
        <v>445</v>
      </c>
      <c r="I1706" t="str">
        <f t="shared" si="605"/>
        <v>18/02/2026</v>
      </c>
      <c r="J1706" t="str">
        <f t="shared" si="606"/>
        <v>16/02/2026</v>
      </c>
      <c r="K1706">
        <v>46072</v>
      </c>
      <c r="N1706">
        <v>303</v>
      </c>
      <c r="O1706" t="s">
        <v>26</v>
      </c>
      <c r="Q1706">
        <v>120.27</v>
      </c>
      <c r="R1706" t="str">
        <f>"ULTRA POPULAR  UBA 2 (10214)"</f>
        <v>ULTRA POPULAR  UBA 2 (10214)</v>
      </c>
      <c r="S1706" t="s">
        <v>27</v>
      </c>
      <c r="T1706">
        <v>4333</v>
      </c>
      <c r="U1706">
        <v>3786</v>
      </c>
      <c r="V1706" t="s">
        <v>88</v>
      </c>
    </row>
    <row r="1707" spans="1:22">
      <c r="A1707" t="str">
        <f t="shared" si="600"/>
        <v>19/02/2026</v>
      </c>
      <c r="B1707" t="str">
        <f t="shared" si="601"/>
        <v>ENTRADA</v>
      </c>
      <c r="C1707" t="str">
        <f t="shared" si="602"/>
        <v>NFSE</v>
      </c>
      <c r="D1707" t="str">
        <f>"335"</f>
        <v>335</v>
      </c>
      <c r="E1707" t="str">
        <f t="shared" si="603"/>
        <v>1</v>
      </c>
      <c r="F1707" t="str">
        <f t="shared" si="604"/>
        <v>COM</v>
      </c>
      <c r="G1707" t="str">
        <f>"ULTRA POPULAR  UBA 2 (10214)"</f>
        <v>ULTRA POPULAR  UBA 2 (10214)</v>
      </c>
      <c r="H1707" t="s">
        <v>445</v>
      </c>
      <c r="I1707" t="str">
        <f t="shared" si="605"/>
        <v>18/02/2026</v>
      </c>
      <c r="J1707" t="str">
        <f t="shared" si="606"/>
        <v>16/02/2026</v>
      </c>
      <c r="K1707">
        <v>46072</v>
      </c>
      <c r="N1707">
        <v>303</v>
      </c>
      <c r="O1707" t="s">
        <v>26</v>
      </c>
      <c r="Q1707">
        <v>39.659999999999997</v>
      </c>
      <c r="R1707" t="str">
        <f>"UBA 1 (10263)"</f>
        <v>UBA 1 (10263)</v>
      </c>
      <c r="S1707" t="s">
        <v>27</v>
      </c>
      <c r="T1707">
        <v>4333</v>
      </c>
      <c r="U1707">
        <v>3786</v>
      </c>
      <c r="V1707" t="s">
        <v>88</v>
      </c>
    </row>
    <row r="1708" spans="1:22">
      <c r="A1708" t="str">
        <f t="shared" si="600"/>
        <v>19/02/2026</v>
      </c>
      <c r="B1708" t="str">
        <f t="shared" si="601"/>
        <v>ENTRADA</v>
      </c>
      <c r="C1708" t="str">
        <f t="shared" si="602"/>
        <v>NFSE</v>
      </c>
      <c r="D1708" t="str">
        <f>"337"</f>
        <v>337</v>
      </c>
      <c r="E1708" t="str">
        <f t="shared" si="603"/>
        <v>1</v>
      </c>
      <c r="F1708" t="str">
        <f t="shared" si="604"/>
        <v>COM</v>
      </c>
      <c r="G1708" t="str">
        <f>"LBL FARMACIA LTDA (10189)"</f>
        <v>LBL FARMACIA LTDA (10189)</v>
      </c>
      <c r="H1708" t="str">
        <f>"Serv.Prest. 09/02/2026 a 15/02/2026 - RPS: 2259 - NFSe: 337"</f>
        <v>Serv.Prest. 09/02/2026 a 15/02/2026 - RPS: 2259 - NFSe: 337</v>
      </c>
      <c r="I1708" t="str">
        <f t="shared" si="605"/>
        <v>18/02/2026</v>
      </c>
      <c r="J1708" t="str">
        <f t="shared" si="606"/>
        <v>16/02/2026</v>
      </c>
      <c r="K1708" t="str">
        <f>("19/02/2026")</f>
        <v>19/02/2026</v>
      </c>
      <c r="L1708">
        <v>150.15</v>
      </c>
      <c r="M1708">
        <v>150.15</v>
      </c>
      <c r="N1708">
        <v>303</v>
      </c>
      <c r="O1708" t="str">
        <f>"RECEITAS COM ENTREGAS"</f>
        <v>RECEITAS COM ENTREGAS</v>
      </c>
      <c r="P1708">
        <v>150.15</v>
      </c>
      <c r="S1708" t="str">
        <f>"RECEITAS COM ENTREGAS (303)"</f>
        <v>RECEITAS COM ENTREGAS (303)</v>
      </c>
      <c r="T1708">
        <v>4334</v>
      </c>
      <c r="U1708">
        <v>3788</v>
      </c>
      <c r="V1708" t="s">
        <v>88</v>
      </c>
    </row>
    <row r="1709" spans="1:22">
      <c r="A1709" t="str">
        <f t="shared" si="600"/>
        <v>19/02/2026</v>
      </c>
      <c r="B1709" t="str">
        <f t="shared" si="601"/>
        <v>ENTRADA</v>
      </c>
      <c r="C1709" t="str">
        <f t="shared" si="602"/>
        <v>NFSE</v>
      </c>
      <c r="D1709" t="str">
        <f>"337"</f>
        <v>337</v>
      </c>
      <c r="E1709" t="str">
        <f t="shared" si="603"/>
        <v>1</v>
      </c>
      <c r="F1709" t="str">
        <f t="shared" si="604"/>
        <v>COM</v>
      </c>
      <c r="G1709" t="str">
        <f>"LBL FARMACIA LTDA (10189)"</f>
        <v>LBL FARMACIA LTDA (10189)</v>
      </c>
      <c r="H1709" t="s">
        <v>446</v>
      </c>
      <c r="I1709" t="str">
        <f t="shared" si="605"/>
        <v>18/02/2026</v>
      </c>
      <c r="J1709" t="str">
        <f t="shared" si="606"/>
        <v>16/02/2026</v>
      </c>
      <c r="K1709">
        <v>46072</v>
      </c>
      <c r="N1709">
        <v>303</v>
      </c>
      <c r="O1709" t="s">
        <v>26</v>
      </c>
      <c r="Q1709">
        <v>150.15</v>
      </c>
      <c r="R1709" t="str">
        <f>"LBL FARMACIA LTDA (10189)"</f>
        <v>LBL FARMACIA LTDA (10189)</v>
      </c>
      <c r="S1709" t="s">
        <v>27</v>
      </c>
      <c r="T1709">
        <v>4334</v>
      </c>
      <c r="U1709">
        <v>3788</v>
      </c>
      <c r="V1709" t="s">
        <v>88</v>
      </c>
    </row>
    <row r="1710" spans="1:22">
      <c r="A1710" t="str">
        <f t="shared" si="600"/>
        <v>19/02/2026</v>
      </c>
      <c r="B1710" t="str">
        <f t="shared" si="601"/>
        <v>ENTRADA</v>
      </c>
      <c r="C1710" t="str">
        <f t="shared" si="602"/>
        <v>NFSE</v>
      </c>
      <c r="D1710" t="str">
        <f>"336"</f>
        <v>336</v>
      </c>
      <c r="E1710" t="str">
        <f t="shared" si="603"/>
        <v>1</v>
      </c>
      <c r="F1710" t="str">
        <f t="shared" si="604"/>
        <v>COM</v>
      </c>
      <c r="G1710" t="str">
        <f>"LBL FARMACIA LTDA FILIAL (10192)"</f>
        <v>LBL FARMACIA LTDA FILIAL (10192)</v>
      </c>
      <c r="H1710" t="str">
        <f>"Serv.Prest. 09/02/2026 a 15/02/2026 - RPS: 2258 - NFSe: 336"</f>
        <v>Serv.Prest. 09/02/2026 a 15/02/2026 - RPS: 2258 - NFSe: 336</v>
      </c>
      <c r="I1710" t="str">
        <f t="shared" si="605"/>
        <v>18/02/2026</v>
      </c>
      <c r="J1710" t="str">
        <f t="shared" si="606"/>
        <v>16/02/2026</v>
      </c>
      <c r="K1710" t="str">
        <f>("19/02/2026")</f>
        <v>19/02/2026</v>
      </c>
      <c r="L1710">
        <v>300.3</v>
      </c>
      <c r="M1710">
        <v>300.3</v>
      </c>
      <c r="N1710">
        <v>303</v>
      </c>
      <c r="O1710" t="str">
        <f>"RECEITAS COM ENTREGAS"</f>
        <v>RECEITAS COM ENTREGAS</v>
      </c>
      <c r="P1710">
        <v>300.3</v>
      </c>
      <c r="S1710" t="str">
        <f>"RECEITAS COM ENTREGAS (303)"</f>
        <v>RECEITAS COM ENTREGAS (303)</v>
      </c>
      <c r="T1710">
        <v>4335</v>
      </c>
      <c r="U1710">
        <v>3787</v>
      </c>
      <c r="V1710" t="s">
        <v>88</v>
      </c>
    </row>
    <row r="1711" spans="1:22">
      <c r="A1711" t="str">
        <f t="shared" si="600"/>
        <v>19/02/2026</v>
      </c>
      <c r="B1711" t="str">
        <f t="shared" si="601"/>
        <v>ENTRADA</v>
      </c>
      <c r="C1711" t="str">
        <f t="shared" si="602"/>
        <v>NFSE</v>
      </c>
      <c r="D1711" t="str">
        <f>"336"</f>
        <v>336</v>
      </c>
      <c r="E1711" t="str">
        <f t="shared" si="603"/>
        <v>1</v>
      </c>
      <c r="F1711" t="str">
        <f t="shared" si="604"/>
        <v>COM</v>
      </c>
      <c r="G1711" t="str">
        <f>"LBL FARMACIA LTDA FILIAL (10192)"</f>
        <v>LBL FARMACIA LTDA FILIAL (10192)</v>
      </c>
      <c r="H1711" t="s">
        <v>447</v>
      </c>
      <c r="I1711" t="str">
        <f t="shared" si="605"/>
        <v>18/02/2026</v>
      </c>
      <c r="J1711" t="str">
        <f t="shared" si="606"/>
        <v>16/02/2026</v>
      </c>
      <c r="K1711">
        <v>46072</v>
      </c>
      <c r="N1711">
        <v>303</v>
      </c>
      <c r="O1711" t="s">
        <v>26</v>
      </c>
      <c r="Q1711">
        <v>300.3</v>
      </c>
      <c r="R1711" t="str">
        <f>"LBL FARMACIA LTDA FILIAL (10192)"</f>
        <v>LBL FARMACIA LTDA FILIAL (10192)</v>
      </c>
      <c r="S1711" t="s">
        <v>27</v>
      </c>
      <c r="T1711">
        <v>4335</v>
      </c>
      <c r="U1711">
        <v>3787</v>
      </c>
      <c r="V1711" t="s">
        <v>88</v>
      </c>
    </row>
    <row r="1712" spans="1:22">
      <c r="A1712" t="str">
        <f t="shared" si="600"/>
        <v>19/02/2026</v>
      </c>
      <c r="B1712" t="str">
        <f t="shared" si="601"/>
        <v>ENTRADA</v>
      </c>
      <c r="C1712" t="str">
        <f t="shared" si="602"/>
        <v>NFSE</v>
      </c>
      <c r="D1712" t="str">
        <f>"338"</f>
        <v>338</v>
      </c>
      <c r="E1712" t="str">
        <f t="shared" si="603"/>
        <v>1</v>
      </c>
      <c r="F1712" t="str">
        <f t="shared" si="604"/>
        <v>COM</v>
      </c>
      <c r="G1712" t="str">
        <f>"DROGA ELIDA (10121)"</f>
        <v>DROGA ELIDA (10121)</v>
      </c>
      <c r="H1712" t="str">
        <f>"Serv.Prest. 09/02/2026 a 15/02/2026 - RPS: 2260 - NFSe: 338"</f>
        <v>Serv.Prest. 09/02/2026 a 15/02/2026 - RPS: 2260 - NFSe: 338</v>
      </c>
      <c r="I1712" t="str">
        <f t="shared" si="605"/>
        <v>18/02/2026</v>
      </c>
      <c r="J1712" t="str">
        <f t="shared" si="606"/>
        <v>16/02/2026</v>
      </c>
      <c r="K1712" t="str">
        <f>("19/02/2026")</f>
        <v>19/02/2026</v>
      </c>
      <c r="L1712">
        <v>348.75</v>
      </c>
      <c r="M1712">
        <v>348.75</v>
      </c>
      <c r="N1712">
        <v>303</v>
      </c>
      <c r="O1712" t="str">
        <f>"RECEITAS COM ENTREGAS"</f>
        <v>RECEITAS COM ENTREGAS</v>
      </c>
      <c r="P1712">
        <v>348.75</v>
      </c>
      <c r="S1712" t="str">
        <f>"RECEITAS COM ENTREGAS (303)"</f>
        <v>RECEITAS COM ENTREGAS (303)</v>
      </c>
      <c r="T1712">
        <v>4336</v>
      </c>
      <c r="U1712">
        <v>3789</v>
      </c>
      <c r="V1712" t="s">
        <v>88</v>
      </c>
    </row>
    <row r="1713" spans="1:22">
      <c r="A1713" t="str">
        <f t="shared" si="600"/>
        <v>19/02/2026</v>
      </c>
      <c r="B1713" t="str">
        <f t="shared" si="601"/>
        <v>ENTRADA</v>
      </c>
      <c r="C1713" t="str">
        <f t="shared" si="602"/>
        <v>NFSE</v>
      </c>
      <c r="D1713" t="str">
        <f>"338"</f>
        <v>338</v>
      </c>
      <c r="E1713" t="str">
        <f t="shared" si="603"/>
        <v>1</v>
      </c>
      <c r="F1713" t="str">
        <f t="shared" si="604"/>
        <v>COM</v>
      </c>
      <c r="G1713" t="str">
        <f>"DROGA ELIDA (10121)"</f>
        <v>DROGA ELIDA (10121)</v>
      </c>
      <c r="H1713" t="s">
        <v>448</v>
      </c>
      <c r="I1713" t="str">
        <f t="shared" si="605"/>
        <v>18/02/2026</v>
      </c>
      <c r="J1713" t="str">
        <f t="shared" si="606"/>
        <v>16/02/2026</v>
      </c>
      <c r="K1713">
        <v>46072</v>
      </c>
      <c r="N1713">
        <v>303</v>
      </c>
      <c r="O1713" t="s">
        <v>26</v>
      </c>
      <c r="Q1713">
        <v>348.75</v>
      </c>
      <c r="R1713" t="str">
        <f>"DROGA ELIDA (10121)"</f>
        <v>DROGA ELIDA (10121)</v>
      </c>
      <c r="S1713" t="s">
        <v>27</v>
      </c>
      <c r="T1713">
        <v>4336</v>
      </c>
      <c r="U1713">
        <v>3789</v>
      </c>
      <c r="V1713" t="s">
        <v>88</v>
      </c>
    </row>
    <row r="1714" spans="1:22">
      <c r="A1714" t="str">
        <f t="shared" si="600"/>
        <v>19/02/2026</v>
      </c>
      <c r="B1714" t="str">
        <f t="shared" si="601"/>
        <v>ENTRADA</v>
      </c>
      <c r="C1714" t="str">
        <f t="shared" si="602"/>
        <v>NFSE</v>
      </c>
      <c r="D1714" t="str">
        <f>"340"</f>
        <v>340</v>
      </c>
      <c r="E1714" t="str">
        <f t="shared" si="603"/>
        <v>1</v>
      </c>
      <c r="F1714" t="str">
        <f t="shared" si="604"/>
        <v>COM</v>
      </c>
      <c r="G1714" t="str">
        <f>"DROGARIA BEM ESTAR (10193)"</f>
        <v>DROGARIA BEM ESTAR (10193)</v>
      </c>
      <c r="H1714" t="str">
        <f>"Serv.Prest. 09/02/2026 a 15/02/2026 - RPS: 2262 - NFSe: 340"</f>
        <v>Serv.Prest. 09/02/2026 a 15/02/2026 - RPS: 2262 - NFSe: 340</v>
      </c>
      <c r="I1714" t="str">
        <f t="shared" si="605"/>
        <v>18/02/2026</v>
      </c>
      <c r="J1714" t="str">
        <f t="shared" si="606"/>
        <v>16/02/2026</v>
      </c>
      <c r="K1714" t="str">
        <f>("19/02/2026")</f>
        <v>19/02/2026</v>
      </c>
      <c r="L1714">
        <v>150.44999999999999</v>
      </c>
      <c r="M1714">
        <v>150.44999999999999</v>
      </c>
      <c r="N1714">
        <v>303</v>
      </c>
      <c r="O1714" t="str">
        <f>"RECEITAS COM ENTREGAS"</f>
        <v>RECEITAS COM ENTREGAS</v>
      </c>
      <c r="P1714">
        <v>150.44999999999999</v>
      </c>
      <c r="S1714" t="str">
        <f>"RECEITAS COM ENTREGAS (303)"</f>
        <v>RECEITAS COM ENTREGAS (303)</v>
      </c>
      <c r="T1714">
        <v>4337</v>
      </c>
      <c r="U1714">
        <v>3791</v>
      </c>
      <c r="V1714" t="s">
        <v>88</v>
      </c>
    </row>
    <row r="1715" spans="1:22">
      <c r="A1715" t="str">
        <f t="shared" si="600"/>
        <v>19/02/2026</v>
      </c>
      <c r="B1715" t="str">
        <f t="shared" si="601"/>
        <v>ENTRADA</v>
      </c>
      <c r="C1715" t="str">
        <f t="shared" si="602"/>
        <v>NFSE</v>
      </c>
      <c r="D1715" t="str">
        <f>"340"</f>
        <v>340</v>
      </c>
      <c r="E1715" t="str">
        <f t="shared" si="603"/>
        <v>1</v>
      </c>
      <c r="F1715" t="str">
        <f t="shared" si="604"/>
        <v>COM</v>
      </c>
      <c r="G1715" t="str">
        <f>"DROGARIA BEM ESTAR (10193)"</f>
        <v>DROGARIA BEM ESTAR (10193)</v>
      </c>
      <c r="H1715" t="s">
        <v>449</v>
      </c>
      <c r="I1715" t="str">
        <f t="shared" si="605"/>
        <v>18/02/2026</v>
      </c>
      <c r="J1715" t="str">
        <f t="shared" si="606"/>
        <v>16/02/2026</v>
      </c>
      <c r="K1715">
        <v>46072</v>
      </c>
      <c r="N1715">
        <v>303</v>
      </c>
      <c r="O1715" t="s">
        <v>26</v>
      </c>
      <c r="Q1715">
        <v>150.44999999999999</v>
      </c>
      <c r="R1715" t="str">
        <f>"DROGARIA BEM ESTAR (10193)"</f>
        <v>DROGARIA BEM ESTAR (10193)</v>
      </c>
      <c r="S1715" t="s">
        <v>27</v>
      </c>
      <c r="T1715">
        <v>4337</v>
      </c>
      <c r="U1715">
        <v>3791</v>
      </c>
      <c r="V1715" t="s">
        <v>88</v>
      </c>
    </row>
    <row r="1716" spans="1:22">
      <c r="A1716" t="str">
        <f t="shared" si="600"/>
        <v>19/02/2026</v>
      </c>
      <c r="B1716" t="str">
        <f t="shared" si="601"/>
        <v>ENTRADA</v>
      </c>
      <c r="C1716" t="str">
        <f t="shared" si="602"/>
        <v>NFSE</v>
      </c>
      <c r="D1716" t="str">
        <f>"341"</f>
        <v>341</v>
      </c>
      <c r="E1716" t="str">
        <f t="shared" si="603"/>
        <v>1</v>
      </c>
      <c r="F1716" t="str">
        <f t="shared" si="604"/>
        <v>COM</v>
      </c>
      <c r="G1716" t="str">
        <f>"DROGARIA NIQUINHO (10257)"</f>
        <v>DROGARIA NIQUINHO (10257)</v>
      </c>
      <c r="H1716" t="str">
        <f>"Serv.Prest. 09/02/2026 a 15/02/2026 - RPS: 2263 - NFSe: 341"</f>
        <v>Serv.Prest. 09/02/2026 a 15/02/2026 - RPS: 2263 - NFSe: 341</v>
      </c>
      <c r="I1716" t="str">
        <f t="shared" si="605"/>
        <v>18/02/2026</v>
      </c>
      <c r="J1716" t="str">
        <f t="shared" si="606"/>
        <v>16/02/2026</v>
      </c>
      <c r="K1716" t="str">
        <f>("19/02/2026")</f>
        <v>19/02/2026</v>
      </c>
      <c r="L1716">
        <v>299.39999999999998</v>
      </c>
      <c r="M1716">
        <v>299.39999999999998</v>
      </c>
      <c r="N1716">
        <v>303</v>
      </c>
      <c r="O1716" t="str">
        <f>"RECEITAS COM ENTREGAS"</f>
        <v>RECEITAS COM ENTREGAS</v>
      </c>
      <c r="P1716">
        <v>299.39999999999998</v>
      </c>
      <c r="S1716" t="str">
        <f>"RECEITAS COM ENTREGAS (303)"</f>
        <v>RECEITAS COM ENTREGAS (303)</v>
      </c>
      <c r="T1716">
        <v>4338</v>
      </c>
      <c r="U1716">
        <v>3792</v>
      </c>
      <c r="V1716" t="s">
        <v>88</v>
      </c>
    </row>
    <row r="1717" spans="1:22">
      <c r="A1717" t="str">
        <f t="shared" si="600"/>
        <v>19/02/2026</v>
      </c>
      <c r="B1717" t="str">
        <f t="shared" si="601"/>
        <v>ENTRADA</v>
      </c>
      <c r="C1717" t="str">
        <f t="shared" si="602"/>
        <v>NFSE</v>
      </c>
      <c r="D1717" t="str">
        <f>"341"</f>
        <v>341</v>
      </c>
      <c r="E1717" t="str">
        <f t="shared" si="603"/>
        <v>1</v>
      </c>
      <c r="F1717" t="str">
        <f t="shared" si="604"/>
        <v>COM</v>
      </c>
      <c r="G1717" t="str">
        <f>"DROGARIA NIQUINHO (10257)"</f>
        <v>DROGARIA NIQUINHO (10257)</v>
      </c>
      <c r="H1717" t="s">
        <v>450</v>
      </c>
      <c r="I1717" t="str">
        <f t="shared" si="605"/>
        <v>18/02/2026</v>
      </c>
      <c r="J1717" t="str">
        <f t="shared" si="606"/>
        <v>16/02/2026</v>
      </c>
      <c r="K1717">
        <v>46072</v>
      </c>
      <c r="N1717">
        <v>303</v>
      </c>
      <c r="O1717" t="s">
        <v>26</v>
      </c>
      <c r="Q1717">
        <v>299.39999999999998</v>
      </c>
      <c r="R1717" t="str">
        <f>"DROGARIA NIQUINHO (10257)"</f>
        <v>DROGARIA NIQUINHO (10257)</v>
      </c>
      <c r="S1717" t="s">
        <v>27</v>
      </c>
      <c r="T1717">
        <v>4338</v>
      </c>
      <c r="U1717">
        <v>3792</v>
      </c>
      <c r="V1717" t="s">
        <v>88</v>
      </c>
    </row>
    <row r="1718" spans="1:22">
      <c r="A1718" t="str">
        <f t="shared" si="600"/>
        <v>19/02/2026</v>
      </c>
      <c r="B1718" t="str">
        <f t="shared" si="601"/>
        <v>ENTRADA</v>
      </c>
      <c r="C1718" t="str">
        <f t="shared" si="602"/>
        <v>NFSE</v>
      </c>
      <c r="D1718" t="str">
        <f>"343"</f>
        <v>343</v>
      </c>
      <c r="E1718" t="str">
        <f t="shared" si="603"/>
        <v>1</v>
      </c>
      <c r="F1718" t="str">
        <f t="shared" si="604"/>
        <v>COM</v>
      </c>
      <c r="G1718" t="str">
        <f>"PENSE FARMA 27 (10204)"</f>
        <v>PENSE FARMA 27 (10204)</v>
      </c>
      <c r="H1718" t="str">
        <f>"Serv.Prest. 09/02/2026 a 15/02/2026 - RPS: 2265 - NFSe: 343"</f>
        <v>Serv.Prest. 09/02/2026 a 15/02/2026 - RPS: 2265 - NFSe: 343</v>
      </c>
      <c r="I1718" t="str">
        <f t="shared" si="605"/>
        <v>18/02/2026</v>
      </c>
      <c r="J1718" t="str">
        <f t="shared" si="606"/>
        <v>16/02/2026</v>
      </c>
      <c r="K1718" t="str">
        <f>("19/02/2026")</f>
        <v>19/02/2026</v>
      </c>
      <c r="L1718">
        <v>577.5</v>
      </c>
      <c r="M1718">
        <v>577.5</v>
      </c>
      <c r="N1718">
        <v>303</v>
      </c>
      <c r="O1718" t="str">
        <f>"RECEITAS COM ENTREGAS"</f>
        <v>RECEITAS COM ENTREGAS</v>
      </c>
      <c r="P1718">
        <v>577.5</v>
      </c>
      <c r="S1718" t="str">
        <f>"RECEITAS COM ENTREGAS (303)"</f>
        <v>RECEITAS COM ENTREGAS (303)</v>
      </c>
      <c r="T1718">
        <v>4339</v>
      </c>
      <c r="U1718">
        <v>3794</v>
      </c>
      <c r="V1718" t="s">
        <v>88</v>
      </c>
    </row>
    <row r="1719" spans="1:22">
      <c r="A1719" t="str">
        <f t="shared" si="600"/>
        <v>19/02/2026</v>
      </c>
      <c r="B1719" t="str">
        <f t="shared" si="601"/>
        <v>ENTRADA</v>
      </c>
      <c r="C1719" t="str">
        <f t="shared" si="602"/>
        <v>NFSE</v>
      </c>
      <c r="D1719" t="str">
        <f>"343"</f>
        <v>343</v>
      </c>
      <c r="E1719" t="str">
        <f t="shared" si="603"/>
        <v>1</v>
      </c>
      <c r="F1719" t="str">
        <f t="shared" si="604"/>
        <v>COM</v>
      </c>
      <c r="G1719" t="str">
        <f>"PENSE FARMA 27 (10204)"</f>
        <v>PENSE FARMA 27 (10204)</v>
      </c>
      <c r="H1719" t="s">
        <v>451</v>
      </c>
      <c r="I1719" t="str">
        <f t="shared" si="605"/>
        <v>18/02/2026</v>
      </c>
      <c r="J1719" t="str">
        <f t="shared" si="606"/>
        <v>16/02/2026</v>
      </c>
      <c r="K1719">
        <v>46072</v>
      </c>
      <c r="N1719">
        <v>303</v>
      </c>
      <c r="O1719" t="s">
        <v>26</v>
      </c>
      <c r="Q1719">
        <v>192.14</v>
      </c>
      <c r="R1719" t="str">
        <f>"PENSE FARMA 05 (10200)"</f>
        <v>PENSE FARMA 05 (10200)</v>
      </c>
      <c r="S1719" t="s">
        <v>27</v>
      </c>
      <c r="T1719">
        <v>4339</v>
      </c>
      <c r="U1719">
        <v>3794</v>
      </c>
      <c r="V1719" t="s">
        <v>88</v>
      </c>
    </row>
    <row r="1720" spans="1:22">
      <c r="A1720" t="str">
        <f t="shared" si="600"/>
        <v>19/02/2026</v>
      </c>
      <c r="B1720" t="str">
        <f t="shared" si="601"/>
        <v>ENTRADA</v>
      </c>
      <c r="C1720" t="str">
        <f t="shared" si="602"/>
        <v>NFSE</v>
      </c>
      <c r="D1720" t="str">
        <f>"343"</f>
        <v>343</v>
      </c>
      <c r="E1720" t="str">
        <f t="shared" si="603"/>
        <v>1</v>
      </c>
      <c r="F1720" t="str">
        <f t="shared" si="604"/>
        <v>COM</v>
      </c>
      <c r="G1720" t="str">
        <f>"PENSE FARMA 27 (10204)"</f>
        <v>PENSE FARMA 27 (10204)</v>
      </c>
      <c r="H1720" t="s">
        <v>451</v>
      </c>
      <c r="I1720" t="str">
        <f t="shared" si="605"/>
        <v>18/02/2026</v>
      </c>
      <c r="J1720" t="str">
        <f t="shared" si="606"/>
        <v>16/02/2026</v>
      </c>
      <c r="K1720">
        <v>46072</v>
      </c>
      <c r="N1720">
        <v>303</v>
      </c>
      <c r="O1720" t="s">
        <v>26</v>
      </c>
      <c r="Q1720">
        <v>192.13</v>
      </c>
      <c r="R1720" t="str">
        <f>"PENSE FARMA 13 (10202)"</f>
        <v>PENSE FARMA 13 (10202)</v>
      </c>
      <c r="S1720" t="s">
        <v>27</v>
      </c>
      <c r="T1720">
        <v>4339</v>
      </c>
      <c r="U1720">
        <v>3794</v>
      </c>
      <c r="V1720" t="s">
        <v>88</v>
      </c>
    </row>
    <row r="1721" spans="1:22">
      <c r="A1721" t="str">
        <f t="shared" si="600"/>
        <v>19/02/2026</v>
      </c>
      <c r="B1721" t="str">
        <f t="shared" si="601"/>
        <v>ENTRADA</v>
      </c>
      <c r="C1721" t="str">
        <f t="shared" si="602"/>
        <v>NFSE</v>
      </c>
      <c r="D1721" t="str">
        <f>"343"</f>
        <v>343</v>
      </c>
      <c r="E1721" t="str">
        <f t="shared" si="603"/>
        <v>1</v>
      </c>
      <c r="F1721" t="str">
        <f t="shared" si="604"/>
        <v>COM</v>
      </c>
      <c r="G1721" t="str">
        <f>"PENSE FARMA 27 (10204)"</f>
        <v>PENSE FARMA 27 (10204)</v>
      </c>
      <c r="H1721" t="s">
        <v>451</v>
      </c>
      <c r="I1721" t="str">
        <f t="shared" si="605"/>
        <v>18/02/2026</v>
      </c>
      <c r="J1721" t="str">
        <f t="shared" si="606"/>
        <v>16/02/2026</v>
      </c>
      <c r="K1721">
        <v>46072</v>
      </c>
      <c r="N1721">
        <v>303</v>
      </c>
      <c r="O1721" t="s">
        <v>26</v>
      </c>
      <c r="Q1721">
        <v>193.23</v>
      </c>
      <c r="R1721" t="str">
        <f>"PENSE FARMA 27 (10204)"</f>
        <v>PENSE FARMA 27 (10204)</v>
      </c>
      <c r="S1721" t="s">
        <v>27</v>
      </c>
      <c r="T1721">
        <v>4339</v>
      </c>
      <c r="U1721">
        <v>3794</v>
      </c>
      <c r="V1721" t="s">
        <v>88</v>
      </c>
    </row>
    <row r="1722" spans="1:22">
      <c r="A1722" t="str">
        <f t="shared" si="600"/>
        <v>19/02/2026</v>
      </c>
      <c r="B1722" t="str">
        <f t="shared" si="601"/>
        <v>ENTRADA</v>
      </c>
      <c r="C1722" t="str">
        <f t="shared" si="602"/>
        <v>NFSE</v>
      </c>
      <c r="D1722" t="str">
        <f>"344"</f>
        <v>344</v>
      </c>
      <c r="E1722" t="str">
        <f t="shared" si="603"/>
        <v>1</v>
      </c>
      <c r="F1722" t="str">
        <f t="shared" si="604"/>
        <v>COM</v>
      </c>
      <c r="G1722" t="str">
        <f>"PENSE FARMA 46 (10194)"</f>
        <v>PENSE FARMA 46 (10194)</v>
      </c>
      <c r="H1722" t="str">
        <f>"Serv.Prest. 09/02/2026 a 15/02/2026 - RPS: 2266 - NFSe: 344"</f>
        <v>Serv.Prest. 09/02/2026 a 15/02/2026 - RPS: 2266 - NFSe: 344</v>
      </c>
      <c r="I1722" t="str">
        <f t="shared" si="605"/>
        <v>18/02/2026</v>
      </c>
      <c r="J1722" t="str">
        <f t="shared" si="606"/>
        <v>16/02/2026</v>
      </c>
      <c r="K1722" t="str">
        <f>("19/02/2026")</f>
        <v>19/02/2026</v>
      </c>
      <c r="L1722">
        <v>342</v>
      </c>
      <c r="M1722">
        <v>342</v>
      </c>
      <c r="N1722">
        <v>303</v>
      </c>
      <c r="O1722" t="str">
        <f>"RECEITAS COM ENTREGAS"</f>
        <v>RECEITAS COM ENTREGAS</v>
      </c>
      <c r="P1722">
        <v>342</v>
      </c>
      <c r="S1722" t="str">
        <f>"RECEITAS COM ENTREGAS (303)"</f>
        <v>RECEITAS COM ENTREGAS (303)</v>
      </c>
      <c r="T1722">
        <v>4340</v>
      </c>
      <c r="U1722">
        <v>3795</v>
      </c>
      <c r="V1722" t="s">
        <v>88</v>
      </c>
    </row>
    <row r="1723" spans="1:22">
      <c r="A1723" t="str">
        <f t="shared" si="600"/>
        <v>19/02/2026</v>
      </c>
      <c r="B1723" t="str">
        <f t="shared" si="601"/>
        <v>ENTRADA</v>
      </c>
      <c r="C1723" t="str">
        <f t="shared" si="602"/>
        <v>NFSE</v>
      </c>
      <c r="D1723" t="str">
        <f>"344"</f>
        <v>344</v>
      </c>
      <c r="E1723" t="str">
        <f t="shared" si="603"/>
        <v>1</v>
      </c>
      <c r="F1723" t="str">
        <f t="shared" si="604"/>
        <v>COM</v>
      </c>
      <c r="G1723" t="str">
        <f>"PENSE FARMA 46 (10194)"</f>
        <v>PENSE FARMA 46 (10194)</v>
      </c>
      <c r="H1723" t="s">
        <v>452</v>
      </c>
      <c r="I1723" t="str">
        <f t="shared" si="605"/>
        <v>18/02/2026</v>
      </c>
      <c r="J1723" t="str">
        <f t="shared" si="606"/>
        <v>16/02/2026</v>
      </c>
      <c r="K1723">
        <v>46072</v>
      </c>
      <c r="N1723">
        <v>303</v>
      </c>
      <c r="O1723" t="s">
        <v>26</v>
      </c>
      <c r="Q1723">
        <v>342</v>
      </c>
      <c r="R1723" t="str">
        <f>"PENSE FARMA 46 (10194)"</f>
        <v>PENSE FARMA 46 (10194)</v>
      </c>
      <c r="S1723" t="s">
        <v>27</v>
      </c>
      <c r="T1723">
        <v>4340</v>
      </c>
      <c r="U1723">
        <v>3795</v>
      </c>
      <c r="V1723" t="s">
        <v>88</v>
      </c>
    </row>
    <row r="1724" spans="1:22">
      <c r="A1724" t="str">
        <f t="shared" si="600"/>
        <v>19/02/2026</v>
      </c>
      <c r="B1724" t="str">
        <f t="shared" si="601"/>
        <v>ENTRADA</v>
      </c>
      <c r="C1724" t="str">
        <f t="shared" si="602"/>
        <v>NFSE</v>
      </c>
      <c r="D1724" t="str">
        <f>"345"</f>
        <v>345</v>
      </c>
      <c r="E1724" t="str">
        <f t="shared" si="603"/>
        <v>1</v>
      </c>
      <c r="F1724" t="str">
        <f t="shared" si="604"/>
        <v>COM</v>
      </c>
      <c r="G1724" t="str">
        <f>"PENSE FARMA 31 (10205)"</f>
        <v>PENSE FARMA 31 (10205)</v>
      </c>
      <c r="H1724" t="str">
        <f>"Serv.Prest. 09/02/2026 a 15/02/2026 - RPS: 2267 - NFSe: 345"</f>
        <v>Serv.Prest. 09/02/2026 a 15/02/2026 - RPS: 2267 - NFSe: 345</v>
      </c>
      <c r="I1724" t="str">
        <f t="shared" si="605"/>
        <v>18/02/2026</v>
      </c>
      <c r="J1724" t="str">
        <f t="shared" si="606"/>
        <v>16/02/2026</v>
      </c>
      <c r="K1724" t="str">
        <f>("19/02/2026")</f>
        <v>19/02/2026</v>
      </c>
      <c r="L1724">
        <v>540.16999999999996</v>
      </c>
      <c r="M1724">
        <v>540.16999999999996</v>
      </c>
      <c r="N1724">
        <v>303</v>
      </c>
      <c r="O1724" t="str">
        <f>"RECEITAS COM ENTREGAS"</f>
        <v>RECEITAS COM ENTREGAS</v>
      </c>
      <c r="P1724">
        <v>540.16999999999996</v>
      </c>
      <c r="S1724" t="str">
        <f>"RECEITAS COM ENTREGAS (303)"</f>
        <v>RECEITAS COM ENTREGAS (303)</v>
      </c>
      <c r="T1724">
        <v>4341</v>
      </c>
      <c r="U1724">
        <v>3796</v>
      </c>
      <c r="V1724" t="s">
        <v>88</v>
      </c>
    </row>
    <row r="1725" spans="1:22">
      <c r="A1725" t="str">
        <f t="shared" si="600"/>
        <v>19/02/2026</v>
      </c>
      <c r="B1725" t="str">
        <f t="shared" si="601"/>
        <v>ENTRADA</v>
      </c>
      <c r="C1725" t="str">
        <f t="shared" si="602"/>
        <v>NFSE</v>
      </c>
      <c r="D1725" t="str">
        <f>"345"</f>
        <v>345</v>
      </c>
      <c r="E1725" t="str">
        <f t="shared" si="603"/>
        <v>1</v>
      </c>
      <c r="F1725" t="str">
        <f t="shared" si="604"/>
        <v>COM</v>
      </c>
      <c r="G1725" t="str">
        <f>"PENSE FARMA 31 (10205)"</f>
        <v>PENSE FARMA 31 (10205)</v>
      </c>
      <c r="H1725" t="s">
        <v>453</v>
      </c>
      <c r="I1725" t="str">
        <f t="shared" si="605"/>
        <v>18/02/2026</v>
      </c>
      <c r="J1725" t="str">
        <f t="shared" si="606"/>
        <v>16/02/2026</v>
      </c>
      <c r="K1725">
        <v>46072</v>
      </c>
      <c r="N1725">
        <v>303</v>
      </c>
      <c r="O1725" t="s">
        <v>26</v>
      </c>
      <c r="Q1725">
        <v>134.94</v>
      </c>
      <c r="R1725" t="str">
        <f>"PENSE FARMA 31 (10205)"</f>
        <v>PENSE FARMA 31 (10205)</v>
      </c>
      <c r="S1725" t="s">
        <v>27</v>
      </c>
      <c r="T1725">
        <v>4341</v>
      </c>
      <c r="U1725">
        <v>3796</v>
      </c>
      <c r="V1725" t="s">
        <v>88</v>
      </c>
    </row>
    <row r="1726" spans="1:22">
      <c r="A1726" t="str">
        <f t="shared" ref="A1726:A1757" si="607">("19/02/2026")</f>
        <v>19/02/2026</v>
      </c>
      <c r="B1726" t="str">
        <f t="shared" ref="B1726:B1757" si="608">"ENTRADA"</f>
        <v>ENTRADA</v>
      </c>
      <c r="C1726" t="str">
        <f t="shared" ref="C1726:C1757" si="609">"NFSE"</f>
        <v>NFSE</v>
      </c>
      <c r="D1726" t="str">
        <f>"345"</f>
        <v>345</v>
      </c>
      <c r="E1726" t="str">
        <f t="shared" ref="E1726:E1757" si="610">"1"</f>
        <v>1</v>
      </c>
      <c r="F1726" t="str">
        <f t="shared" ref="F1726:F1757" si="611">"COM"</f>
        <v>COM</v>
      </c>
      <c r="G1726" t="str">
        <f>"PENSE FARMA 31 (10205)"</f>
        <v>PENSE FARMA 31 (10205)</v>
      </c>
      <c r="H1726" t="s">
        <v>453</v>
      </c>
      <c r="I1726" t="str">
        <f t="shared" si="605"/>
        <v>18/02/2026</v>
      </c>
      <c r="J1726" t="str">
        <f t="shared" si="606"/>
        <v>16/02/2026</v>
      </c>
      <c r="K1726">
        <v>46072</v>
      </c>
      <c r="N1726">
        <v>303</v>
      </c>
      <c r="O1726" t="s">
        <v>26</v>
      </c>
      <c r="Q1726">
        <v>134.93</v>
      </c>
      <c r="R1726" t="str">
        <f>"PENSE FARMA 16 (10221)"</f>
        <v>PENSE FARMA 16 (10221)</v>
      </c>
      <c r="S1726" t="s">
        <v>27</v>
      </c>
      <c r="T1726">
        <v>4341</v>
      </c>
      <c r="U1726">
        <v>3796</v>
      </c>
      <c r="V1726" t="s">
        <v>88</v>
      </c>
    </row>
    <row r="1727" spans="1:22">
      <c r="A1727" t="str">
        <f t="shared" si="607"/>
        <v>19/02/2026</v>
      </c>
      <c r="B1727" t="str">
        <f t="shared" si="608"/>
        <v>ENTRADA</v>
      </c>
      <c r="C1727" t="str">
        <f t="shared" si="609"/>
        <v>NFSE</v>
      </c>
      <c r="D1727" t="str">
        <f>"345"</f>
        <v>345</v>
      </c>
      <c r="E1727" t="str">
        <f t="shared" si="610"/>
        <v>1</v>
      </c>
      <c r="F1727" t="str">
        <f t="shared" si="611"/>
        <v>COM</v>
      </c>
      <c r="G1727" t="str">
        <f>"PENSE FARMA 31 (10205)"</f>
        <v>PENSE FARMA 31 (10205)</v>
      </c>
      <c r="H1727" t="s">
        <v>453</v>
      </c>
      <c r="I1727" t="str">
        <f t="shared" ref="I1727:I1758" si="612">("18/02/2026")</f>
        <v>18/02/2026</v>
      </c>
      <c r="J1727" t="str">
        <f t="shared" si="606"/>
        <v>16/02/2026</v>
      </c>
      <c r="K1727">
        <v>46072</v>
      </c>
      <c r="N1727">
        <v>303</v>
      </c>
      <c r="O1727" t="s">
        <v>26</v>
      </c>
      <c r="Q1727">
        <v>134.93</v>
      </c>
      <c r="R1727" t="str">
        <f>"PENSE FARMA 17 (10222)"</f>
        <v>PENSE FARMA 17 (10222)</v>
      </c>
      <c r="S1727" t="s">
        <v>27</v>
      </c>
      <c r="T1727">
        <v>4341</v>
      </c>
      <c r="U1727">
        <v>3796</v>
      </c>
      <c r="V1727" t="s">
        <v>88</v>
      </c>
    </row>
    <row r="1728" spans="1:22">
      <c r="A1728" t="str">
        <f t="shared" si="607"/>
        <v>19/02/2026</v>
      </c>
      <c r="B1728" t="str">
        <f t="shared" si="608"/>
        <v>ENTRADA</v>
      </c>
      <c r="C1728" t="str">
        <f t="shared" si="609"/>
        <v>NFSE</v>
      </c>
      <c r="D1728" t="str">
        <f>"345"</f>
        <v>345</v>
      </c>
      <c r="E1728" t="str">
        <f t="shared" si="610"/>
        <v>1</v>
      </c>
      <c r="F1728" t="str">
        <f t="shared" si="611"/>
        <v>COM</v>
      </c>
      <c r="G1728" t="str">
        <f>"PENSE FARMA 31 (10205)"</f>
        <v>PENSE FARMA 31 (10205)</v>
      </c>
      <c r="H1728" t="s">
        <v>453</v>
      </c>
      <c r="I1728" t="str">
        <f t="shared" si="612"/>
        <v>18/02/2026</v>
      </c>
      <c r="J1728" t="str">
        <f t="shared" si="606"/>
        <v>16/02/2026</v>
      </c>
      <c r="K1728">
        <v>46072</v>
      </c>
      <c r="N1728">
        <v>303</v>
      </c>
      <c r="O1728" t="s">
        <v>26</v>
      </c>
      <c r="Q1728">
        <v>135.37</v>
      </c>
      <c r="R1728" t="str">
        <f>"PENSE FARMA 62 (10274)"</f>
        <v>PENSE FARMA 62 (10274)</v>
      </c>
      <c r="S1728" t="s">
        <v>27</v>
      </c>
      <c r="T1728">
        <v>4341</v>
      </c>
      <c r="U1728">
        <v>3796</v>
      </c>
      <c r="V1728" t="s">
        <v>88</v>
      </c>
    </row>
    <row r="1729" spans="1:22">
      <c r="A1729" t="str">
        <f t="shared" si="607"/>
        <v>19/02/2026</v>
      </c>
      <c r="B1729" t="str">
        <f t="shared" si="608"/>
        <v>ENTRADA</v>
      </c>
      <c r="C1729" t="str">
        <f t="shared" si="609"/>
        <v>NFSE</v>
      </c>
      <c r="D1729" t="str">
        <f t="shared" ref="D1729:D1735" si="613">"346"</f>
        <v>346</v>
      </c>
      <c r="E1729" t="str">
        <f t="shared" si="610"/>
        <v>1</v>
      </c>
      <c r="F1729" t="str">
        <f t="shared" si="611"/>
        <v>COM</v>
      </c>
      <c r="G1729" t="str">
        <f t="shared" ref="G1729:G1735" si="614">"PENSE FARMA 36 (10206)"</f>
        <v>PENSE FARMA 36 (10206)</v>
      </c>
      <c r="H1729" t="str">
        <f>"Serv.Prest. 09/02/2026 a 15/02/2026 - RPS: 2268 - NFSe: 346"</f>
        <v>Serv.Prest. 09/02/2026 a 15/02/2026 - RPS: 2268 - NFSe: 346</v>
      </c>
      <c r="I1729" t="str">
        <f t="shared" si="612"/>
        <v>18/02/2026</v>
      </c>
      <c r="J1729" t="str">
        <f t="shared" si="606"/>
        <v>16/02/2026</v>
      </c>
      <c r="K1729" t="str">
        <f>("19/02/2026")</f>
        <v>19/02/2026</v>
      </c>
      <c r="L1729">
        <v>894.35</v>
      </c>
      <c r="M1729">
        <v>894.35</v>
      </c>
      <c r="N1729">
        <v>303</v>
      </c>
      <c r="O1729" t="str">
        <f>"RECEITAS COM ENTREGAS"</f>
        <v>RECEITAS COM ENTREGAS</v>
      </c>
      <c r="P1729">
        <v>894.35</v>
      </c>
      <c r="S1729" t="str">
        <f>"RECEITAS COM ENTREGAS (303)"</f>
        <v>RECEITAS COM ENTREGAS (303)</v>
      </c>
      <c r="T1729">
        <v>4342</v>
      </c>
      <c r="U1729">
        <v>3797</v>
      </c>
      <c r="V1729" t="s">
        <v>88</v>
      </c>
    </row>
    <row r="1730" spans="1:22">
      <c r="A1730" t="str">
        <f t="shared" si="607"/>
        <v>19/02/2026</v>
      </c>
      <c r="B1730" t="str">
        <f t="shared" si="608"/>
        <v>ENTRADA</v>
      </c>
      <c r="C1730" t="str">
        <f t="shared" si="609"/>
        <v>NFSE</v>
      </c>
      <c r="D1730" t="str">
        <f t="shared" si="613"/>
        <v>346</v>
      </c>
      <c r="E1730" t="str">
        <f t="shared" si="610"/>
        <v>1</v>
      </c>
      <c r="F1730" t="str">
        <f t="shared" si="611"/>
        <v>COM</v>
      </c>
      <c r="G1730" t="str">
        <f t="shared" si="614"/>
        <v>PENSE FARMA 36 (10206)</v>
      </c>
      <c r="H1730" t="s">
        <v>454</v>
      </c>
      <c r="I1730" t="str">
        <f t="shared" si="612"/>
        <v>18/02/2026</v>
      </c>
      <c r="J1730" t="str">
        <f t="shared" si="606"/>
        <v>16/02/2026</v>
      </c>
      <c r="K1730">
        <v>46072</v>
      </c>
      <c r="N1730">
        <v>303</v>
      </c>
      <c r="O1730" t="s">
        <v>26</v>
      </c>
      <c r="Q1730">
        <v>148.30000000000001</v>
      </c>
      <c r="R1730" t="str">
        <f>"PENSE FARMA 20 (10203)"</f>
        <v>PENSE FARMA 20 (10203)</v>
      </c>
      <c r="S1730" t="s">
        <v>27</v>
      </c>
      <c r="T1730">
        <v>4342</v>
      </c>
      <c r="U1730">
        <v>3797</v>
      </c>
      <c r="V1730" t="s">
        <v>88</v>
      </c>
    </row>
    <row r="1731" spans="1:22">
      <c r="A1731" t="str">
        <f t="shared" si="607"/>
        <v>19/02/2026</v>
      </c>
      <c r="B1731" t="str">
        <f t="shared" si="608"/>
        <v>ENTRADA</v>
      </c>
      <c r="C1731" t="str">
        <f t="shared" si="609"/>
        <v>NFSE</v>
      </c>
      <c r="D1731" t="str">
        <f t="shared" si="613"/>
        <v>346</v>
      </c>
      <c r="E1731" t="str">
        <f t="shared" si="610"/>
        <v>1</v>
      </c>
      <c r="F1731" t="str">
        <f t="shared" si="611"/>
        <v>COM</v>
      </c>
      <c r="G1731" t="str">
        <f t="shared" si="614"/>
        <v>PENSE FARMA 36 (10206)</v>
      </c>
      <c r="H1731" t="s">
        <v>454</v>
      </c>
      <c r="I1731" t="str">
        <f t="shared" si="612"/>
        <v>18/02/2026</v>
      </c>
      <c r="J1731" t="str">
        <f t="shared" si="606"/>
        <v>16/02/2026</v>
      </c>
      <c r="K1731">
        <v>46072</v>
      </c>
      <c r="N1731">
        <v>303</v>
      </c>
      <c r="O1731" t="s">
        <v>26</v>
      </c>
      <c r="Q1731">
        <v>148.28</v>
      </c>
      <c r="R1731" t="str">
        <f>"PENSE FARMA 36 (10206)"</f>
        <v>PENSE FARMA 36 (10206)</v>
      </c>
      <c r="S1731" t="s">
        <v>27</v>
      </c>
      <c r="T1731">
        <v>4342</v>
      </c>
      <c r="U1731">
        <v>3797</v>
      </c>
      <c r="V1731" t="s">
        <v>88</v>
      </c>
    </row>
    <row r="1732" spans="1:22">
      <c r="A1732" t="str">
        <f t="shared" si="607"/>
        <v>19/02/2026</v>
      </c>
      <c r="B1732" t="str">
        <f t="shared" si="608"/>
        <v>ENTRADA</v>
      </c>
      <c r="C1732" t="str">
        <f t="shared" si="609"/>
        <v>NFSE</v>
      </c>
      <c r="D1732" t="str">
        <f t="shared" si="613"/>
        <v>346</v>
      </c>
      <c r="E1732" t="str">
        <f t="shared" si="610"/>
        <v>1</v>
      </c>
      <c r="F1732" t="str">
        <f t="shared" si="611"/>
        <v>COM</v>
      </c>
      <c r="G1732" t="str">
        <f t="shared" si="614"/>
        <v>PENSE FARMA 36 (10206)</v>
      </c>
      <c r="H1732" t="s">
        <v>454</v>
      </c>
      <c r="I1732" t="str">
        <f t="shared" si="612"/>
        <v>18/02/2026</v>
      </c>
      <c r="J1732" t="str">
        <f t="shared" si="606"/>
        <v>16/02/2026</v>
      </c>
      <c r="K1732">
        <v>46072</v>
      </c>
      <c r="N1732">
        <v>303</v>
      </c>
      <c r="O1732" t="s">
        <v>26</v>
      </c>
      <c r="Q1732">
        <v>148.28</v>
      </c>
      <c r="R1732" t="str">
        <f>"PENSE FARMA 40 (10207)"</f>
        <v>PENSE FARMA 40 (10207)</v>
      </c>
      <c r="S1732" t="s">
        <v>27</v>
      </c>
      <c r="T1732">
        <v>4342</v>
      </c>
      <c r="U1732">
        <v>3797</v>
      </c>
      <c r="V1732" t="s">
        <v>88</v>
      </c>
    </row>
    <row r="1733" spans="1:22">
      <c r="A1733" t="str">
        <f t="shared" si="607"/>
        <v>19/02/2026</v>
      </c>
      <c r="B1733" t="str">
        <f t="shared" si="608"/>
        <v>ENTRADA</v>
      </c>
      <c r="C1733" t="str">
        <f t="shared" si="609"/>
        <v>NFSE</v>
      </c>
      <c r="D1733" t="str">
        <f t="shared" si="613"/>
        <v>346</v>
      </c>
      <c r="E1733" t="str">
        <f t="shared" si="610"/>
        <v>1</v>
      </c>
      <c r="F1733" t="str">
        <f t="shared" si="611"/>
        <v>COM</v>
      </c>
      <c r="G1733" t="str">
        <f t="shared" si="614"/>
        <v>PENSE FARMA 36 (10206)</v>
      </c>
      <c r="H1733" t="s">
        <v>454</v>
      </c>
      <c r="I1733" t="str">
        <f t="shared" si="612"/>
        <v>18/02/2026</v>
      </c>
      <c r="J1733" t="str">
        <f t="shared" si="606"/>
        <v>16/02/2026</v>
      </c>
      <c r="K1733">
        <v>46072</v>
      </c>
      <c r="N1733">
        <v>303</v>
      </c>
      <c r="O1733" t="s">
        <v>26</v>
      </c>
      <c r="Q1733">
        <v>148.28</v>
      </c>
      <c r="R1733" t="str">
        <f>"PENSE FARMA 43 (10208)"</f>
        <v>PENSE FARMA 43 (10208)</v>
      </c>
      <c r="S1733" t="s">
        <v>27</v>
      </c>
      <c r="T1733">
        <v>4342</v>
      </c>
      <c r="U1733">
        <v>3797</v>
      </c>
      <c r="V1733" t="s">
        <v>88</v>
      </c>
    </row>
    <row r="1734" spans="1:22">
      <c r="A1734" t="str">
        <f t="shared" si="607"/>
        <v>19/02/2026</v>
      </c>
      <c r="B1734" t="str">
        <f t="shared" si="608"/>
        <v>ENTRADA</v>
      </c>
      <c r="C1734" t="str">
        <f t="shared" si="609"/>
        <v>NFSE</v>
      </c>
      <c r="D1734" t="str">
        <f t="shared" si="613"/>
        <v>346</v>
      </c>
      <c r="E1734" t="str">
        <f t="shared" si="610"/>
        <v>1</v>
      </c>
      <c r="F1734" t="str">
        <f t="shared" si="611"/>
        <v>COM</v>
      </c>
      <c r="G1734" t="str">
        <f t="shared" si="614"/>
        <v>PENSE FARMA 36 (10206)</v>
      </c>
      <c r="H1734" t="s">
        <v>454</v>
      </c>
      <c r="I1734" t="str">
        <f t="shared" si="612"/>
        <v>18/02/2026</v>
      </c>
      <c r="J1734" t="str">
        <f t="shared" ref="J1734:J1766" si="615">("16/02/2026")</f>
        <v>16/02/2026</v>
      </c>
      <c r="K1734">
        <v>46072</v>
      </c>
      <c r="N1734">
        <v>303</v>
      </c>
      <c r="O1734" t="s">
        <v>26</v>
      </c>
      <c r="Q1734">
        <v>148.28</v>
      </c>
      <c r="R1734" t="str">
        <f>"PENSE FARMA 59 (10211)"</f>
        <v>PENSE FARMA 59 (10211)</v>
      </c>
      <c r="S1734" t="s">
        <v>27</v>
      </c>
      <c r="T1734">
        <v>4342</v>
      </c>
      <c r="U1734">
        <v>3797</v>
      </c>
      <c r="V1734" t="s">
        <v>88</v>
      </c>
    </row>
    <row r="1735" spans="1:22">
      <c r="A1735" t="str">
        <f t="shared" si="607"/>
        <v>19/02/2026</v>
      </c>
      <c r="B1735" t="str">
        <f t="shared" si="608"/>
        <v>ENTRADA</v>
      </c>
      <c r="C1735" t="str">
        <f t="shared" si="609"/>
        <v>NFSE</v>
      </c>
      <c r="D1735" t="str">
        <f t="shared" si="613"/>
        <v>346</v>
      </c>
      <c r="E1735" t="str">
        <f t="shared" si="610"/>
        <v>1</v>
      </c>
      <c r="F1735" t="str">
        <f t="shared" si="611"/>
        <v>COM</v>
      </c>
      <c r="G1735" t="str">
        <f t="shared" si="614"/>
        <v>PENSE FARMA 36 (10206)</v>
      </c>
      <c r="H1735" t="s">
        <v>454</v>
      </c>
      <c r="I1735" t="str">
        <f t="shared" si="612"/>
        <v>18/02/2026</v>
      </c>
      <c r="J1735" t="str">
        <f t="shared" si="615"/>
        <v>16/02/2026</v>
      </c>
      <c r="K1735">
        <v>46072</v>
      </c>
      <c r="N1735">
        <v>303</v>
      </c>
      <c r="O1735" t="s">
        <v>26</v>
      </c>
      <c r="Q1735">
        <v>152.93</v>
      </c>
      <c r="R1735" t="str">
        <f>"PENSE FARMA DARK STORE 361 (10212)"</f>
        <v>PENSE FARMA DARK STORE 361 (10212)</v>
      </c>
      <c r="S1735" t="s">
        <v>27</v>
      </c>
      <c r="T1735">
        <v>4342</v>
      </c>
      <c r="U1735">
        <v>3797</v>
      </c>
      <c r="V1735" t="s">
        <v>88</v>
      </c>
    </row>
    <row r="1736" spans="1:22">
      <c r="A1736" t="str">
        <f t="shared" si="607"/>
        <v>19/02/2026</v>
      </c>
      <c r="B1736" t="str">
        <f t="shared" si="608"/>
        <v>ENTRADA</v>
      </c>
      <c r="C1736" t="str">
        <f t="shared" si="609"/>
        <v>NFSE</v>
      </c>
      <c r="D1736" t="str">
        <f>"347"</f>
        <v>347</v>
      </c>
      <c r="E1736" t="str">
        <f t="shared" si="610"/>
        <v>1</v>
      </c>
      <c r="F1736" t="str">
        <f t="shared" si="611"/>
        <v>COM</v>
      </c>
      <c r="G1736" t="str">
        <f>"PENSE FARMA 19 (10223)"</f>
        <v>PENSE FARMA 19 (10223)</v>
      </c>
      <c r="H1736" t="str">
        <f>"Serv.Prest. 09/02/2026 a 15/02/2026 - RPS: 2269 - NFSe: 347"</f>
        <v>Serv.Prest. 09/02/2026 a 15/02/2026 - RPS: 2269 - NFSe: 347</v>
      </c>
      <c r="I1736" t="str">
        <f t="shared" si="612"/>
        <v>18/02/2026</v>
      </c>
      <c r="J1736" t="str">
        <f t="shared" si="615"/>
        <v>16/02/2026</v>
      </c>
      <c r="K1736" t="str">
        <f>("19/02/2026")</f>
        <v>19/02/2026</v>
      </c>
      <c r="L1736">
        <v>448.95</v>
      </c>
      <c r="M1736">
        <v>448.95</v>
      </c>
      <c r="N1736">
        <v>303</v>
      </c>
      <c r="O1736" t="str">
        <f>"RECEITAS COM ENTREGAS"</f>
        <v>RECEITAS COM ENTREGAS</v>
      </c>
      <c r="P1736">
        <v>448.95</v>
      </c>
      <c r="S1736" t="str">
        <f>"RECEITAS COM ENTREGAS (303)"</f>
        <v>RECEITAS COM ENTREGAS (303)</v>
      </c>
      <c r="T1736">
        <v>4343</v>
      </c>
      <c r="U1736">
        <v>3798</v>
      </c>
      <c r="V1736" t="s">
        <v>88</v>
      </c>
    </row>
    <row r="1737" spans="1:22">
      <c r="A1737" t="str">
        <f t="shared" si="607"/>
        <v>19/02/2026</v>
      </c>
      <c r="B1737" t="str">
        <f t="shared" si="608"/>
        <v>ENTRADA</v>
      </c>
      <c r="C1737" t="str">
        <f t="shared" si="609"/>
        <v>NFSE</v>
      </c>
      <c r="D1737" t="str">
        <f>"347"</f>
        <v>347</v>
      </c>
      <c r="E1737" t="str">
        <f t="shared" si="610"/>
        <v>1</v>
      </c>
      <c r="F1737" t="str">
        <f t="shared" si="611"/>
        <v>COM</v>
      </c>
      <c r="G1737" t="str">
        <f>"PENSE FARMA 19 (10223)"</f>
        <v>PENSE FARMA 19 (10223)</v>
      </c>
      <c r="H1737" t="s">
        <v>455</v>
      </c>
      <c r="I1737" t="str">
        <f t="shared" si="612"/>
        <v>18/02/2026</v>
      </c>
      <c r="J1737" t="str">
        <f t="shared" si="615"/>
        <v>16/02/2026</v>
      </c>
      <c r="K1737">
        <v>46072</v>
      </c>
      <c r="N1737">
        <v>303</v>
      </c>
      <c r="O1737" t="s">
        <v>26</v>
      </c>
      <c r="Q1737">
        <v>448.95</v>
      </c>
      <c r="R1737" t="str">
        <f>"PENSE FARMA 19 (10223)"</f>
        <v>PENSE FARMA 19 (10223)</v>
      </c>
      <c r="S1737" t="s">
        <v>27</v>
      </c>
      <c r="T1737">
        <v>4343</v>
      </c>
      <c r="U1737">
        <v>3798</v>
      </c>
      <c r="V1737" t="s">
        <v>88</v>
      </c>
    </row>
    <row r="1738" spans="1:22">
      <c r="A1738" t="str">
        <f t="shared" si="607"/>
        <v>19/02/2026</v>
      </c>
      <c r="B1738" t="str">
        <f t="shared" si="608"/>
        <v>ENTRADA</v>
      </c>
      <c r="C1738" t="str">
        <f t="shared" si="609"/>
        <v>NFSE</v>
      </c>
      <c r="D1738" t="str">
        <f>"348"</f>
        <v>348</v>
      </c>
      <c r="E1738" t="str">
        <f t="shared" si="610"/>
        <v>1</v>
      </c>
      <c r="F1738" t="str">
        <f t="shared" si="611"/>
        <v>COM</v>
      </c>
      <c r="G1738" t="str">
        <f>"PENSE FARMA 49 (10234)"</f>
        <v>PENSE FARMA 49 (10234)</v>
      </c>
      <c r="H1738" t="str">
        <f>"Serv.Prest. 09/02/2026 a 15/02/2026 - RPS: 2270 - NFSe: 348"</f>
        <v>Serv.Prest. 09/02/2026 a 15/02/2026 - RPS: 2270 - NFSe: 348</v>
      </c>
      <c r="I1738" t="str">
        <f t="shared" si="612"/>
        <v>18/02/2026</v>
      </c>
      <c r="J1738" t="str">
        <f t="shared" si="615"/>
        <v>16/02/2026</v>
      </c>
      <c r="K1738" t="str">
        <f>("19/02/2026")</f>
        <v>19/02/2026</v>
      </c>
      <c r="L1738">
        <v>213.43</v>
      </c>
      <c r="M1738">
        <v>213.43</v>
      </c>
      <c r="N1738">
        <v>303</v>
      </c>
      <c r="O1738" t="str">
        <f>"RECEITAS COM ENTREGAS"</f>
        <v>RECEITAS COM ENTREGAS</v>
      </c>
      <c r="P1738">
        <v>213.43</v>
      </c>
      <c r="S1738" t="str">
        <f>"RECEITAS COM ENTREGAS (303)"</f>
        <v>RECEITAS COM ENTREGAS (303)</v>
      </c>
      <c r="T1738">
        <v>4344</v>
      </c>
      <c r="U1738">
        <v>3799</v>
      </c>
      <c r="V1738" t="s">
        <v>88</v>
      </c>
    </row>
    <row r="1739" spans="1:22">
      <c r="A1739" t="str">
        <f t="shared" si="607"/>
        <v>19/02/2026</v>
      </c>
      <c r="B1739" t="str">
        <f t="shared" si="608"/>
        <v>ENTRADA</v>
      </c>
      <c r="C1739" t="str">
        <f t="shared" si="609"/>
        <v>NFSE</v>
      </c>
      <c r="D1739" t="str">
        <f>"348"</f>
        <v>348</v>
      </c>
      <c r="E1739" t="str">
        <f t="shared" si="610"/>
        <v>1</v>
      </c>
      <c r="F1739" t="str">
        <f t="shared" si="611"/>
        <v>COM</v>
      </c>
      <c r="G1739" t="str">
        <f>"PENSE FARMA 49 (10234)"</f>
        <v>PENSE FARMA 49 (10234)</v>
      </c>
      <c r="H1739" t="s">
        <v>456</v>
      </c>
      <c r="I1739" t="str">
        <f t="shared" si="612"/>
        <v>18/02/2026</v>
      </c>
      <c r="J1739" t="str">
        <f t="shared" si="615"/>
        <v>16/02/2026</v>
      </c>
      <c r="K1739">
        <v>46072</v>
      </c>
      <c r="N1739">
        <v>303</v>
      </c>
      <c r="O1739" t="s">
        <v>26</v>
      </c>
      <c r="Q1739">
        <v>213.43</v>
      </c>
      <c r="R1739" t="str">
        <f>"PENSE FARMA 49 (10234)"</f>
        <v>PENSE FARMA 49 (10234)</v>
      </c>
      <c r="S1739" t="s">
        <v>27</v>
      </c>
      <c r="T1739">
        <v>4344</v>
      </c>
      <c r="U1739">
        <v>3799</v>
      </c>
      <c r="V1739" t="s">
        <v>88</v>
      </c>
    </row>
    <row r="1740" spans="1:22">
      <c r="A1740" t="str">
        <f t="shared" si="607"/>
        <v>19/02/2026</v>
      </c>
      <c r="B1740" t="str">
        <f t="shared" si="608"/>
        <v>ENTRADA</v>
      </c>
      <c r="C1740" t="str">
        <f t="shared" si="609"/>
        <v>NFSE</v>
      </c>
      <c r="D1740" t="str">
        <f>"349"</f>
        <v>349</v>
      </c>
      <c r="E1740" t="str">
        <f t="shared" si="610"/>
        <v>1</v>
      </c>
      <c r="F1740" t="str">
        <f t="shared" si="611"/>
        <v>COM</v>
      </c>
      <c r="G1740" t="str">
        <f>"PENSE FARMA 44 (10231)"</f>
        <v>PENSE FARMA 44 (10231)</v>
      </c>
      <c r="H1740" t="str">
        <f>"Serv.Prest. 09/02/2026 a 15/02/2026 - RPS: 2271 - NFSe: 349"</f>
        <v>Serv.Prest. 09/02/2026 a 15/02/2026 - RPS: 2271 - NFSe: 349</v>
      </c>
      <c r="I1740" t="str">
        <f t="shared" si="612"/>
        <v>18/02/2026</v>
      </c>
      <c r="J1740" t="str">
        <f t="shared" si="615"/>
        <v>16/02/2026</v>
      </c>
      <c r="K1740" t="str">
        <f>("19/02/2026")</f>
        <v>19/02/2026</v>
      </c>
      <c r="L1740">
        <v>630.80999999999995</v>
      </c>
      <c r="M1740">
        <v>630.80999999999995</v>
      </c>
      <c r="N1740">
        <v>303</v>
      </c>
      <c r="O1740" t="str">
        <f>"RECEITAS COM ENTREGAS"</f>
        <v>RECEITAS COM ENTREGAS</v>
      </c>
      <c r="P1740">
        <v>630.80999999999995</v>
      </c>
      <c r="S1740" t="str">
        <f>"RECEITAS COM ENTREGAS (303)"</f>
        <v>RECEITAS COM ENTREGAS (303)</v>
      </c>
      <c r="T1740">
        <v>4345</v>
      </c>
      <c r="U1740">
        <v>3800</v>
      </c>
      <c r="V1740" t="s">
        <v>88</v>
      </c>
    </row>
    <row r="1741" spans="1:22">
      <c r="A1741" t="str">
        <f t="shared" si="607"/>
        <v>19/02/2026</v>
      </c>
      <c r="B1741" t="str">
        <f t="shared" si="608"/>
        <v>ENTRADA</v>
      </c>
      <c r="C1741" t="str">
        <f t="shared" si="609"/>
        <v>NFSE</v>
      </c>
      <c r="D1741" t="str">
        <f>"349"</f>
        <v>349</v>
      </c>
      <c r="E1741" t="str">
        <f t="shared" si="610"/>
        <v>1</v>
      </c>
      <c r="F1741" t="str">
        <f t="shared" si="611"/>
        <v>COM</v>
      </c>
      <c r="G1741" t="str">
        <f>"PENSE FARMA 44 (10231)"</f>
        <v>PENSE FARMA 44 (10231)</v>
      </c>
      <c r="H1741" t="s">
        <v>457</v>
      </c>
      <c r="I1741" t="str">
        <f t="shared" si="612"/>
        <v>18/02/2026</v>
      </c>
      <c r="J1741" t="str">
        <f t="shared" si="615"/>
        <v>16/02/2026</v>
      </c>
      <c r="K1741">
        <v>46072</v>
      </c>
      <c r="N1741">
        <v>303</v>
      </c>
      <c r="O1741" t="s">
        <v>26</v>
      </c>
      <c r="Q1741">
        <v>314.89999999999998</v>
      </c>
      <c r="R1741" t="str">
        <f>"PENSE FARMA 44 (10231)"</f>
        <v>PENSE FARMA 44 (10231)</v>
      </c>
      <c r="S1741" t="s">
        <v>27</v>
      </c>
      <c r="T1741">
        <v>4345</v>
      </c>
      <c r="U1741">
        <v>3800</v>
      </c>
      <c r="V1741" t="s">
        <v>88</v>
      </c>
    </row>
    <row r="1742" spans="1:22">
      <c r="A1742" t="str">
        <f t="shared" si="607"/>
        <v>19/02/2026</v>
      </c>
      <c r="B1742" t="str">
        <f t="shared" si="608"/>
        <v>ENTRADA</v>
      </c>
      <c r="C1742" t="str">
        <f t="shared" si="609"/>
        <v>NFSE</v>
      </c>
      <c r="D1742" t="str">
        <f>"349"</f>
        <v>349</v>
      </c>
      <c r="E1742" t="str">
        <f t="shared" si="610"/>
        <v>1</v>
      </c>
      <c r="F1742" t="str">
        <f t="shared" si="611"/>
        <v>COM</v>
      </c>
      <c r="G1742" t="str">
        <f>"PENSE FARMA 44 (10231)"</f>
        <v>PENSE FARMA 44 (10231)</v>
      </c>
      <c r="H1742" t="s">
        <v>457</v>
      </c>
      <c r="I1742" t="str">
        <f t="shared" si="612"/>
        <v>18/02/2026</v>
      </c>
      <c r="J1742" t="str">
        <f t="shared" si="615"/>
        <v>16/02/2026</v>
      </c>
      <c r="K1742">
        <v>46072</v>
      </c>
      <c r="N1742">
        <v>303</v>
      </c>
      <c r="O1742" t="s">
        <v>26</v>
      </c>
      <c r="Q1742">
        <v>315.91000000000003</v>
      </c>
      <c r="R1742" t="str">
        <f>"PENSE FARMA 48 (10233)"</f>
        <v>PENSE FARMA 48 (10233)</v>
      </c>
      <c r="S1742" t="s">
        <v>27</v>
      </c>
      <c r="T1742">
        <v>4345</v>
      </c>
      <c r="U1742">
        <v>3800</v>
      </c>
      <c r="V1742" t="s">
        <v>88</v>
      </c>
    </row>
    <row r="1743" spans="1:22">
      <c r="A1743" t="str">
        <f t="shared" si="607"/>
        <v>19/02/2026</v>
      </c>
      <c r="B1743" t="str">
        <f t="shared" si="608"/>
        <v>ENTRADA</v>
      </c>
      <c r="C1743" t="str">
        <f t="shared" si="609"/>
        <v>NFSE</v>
      </c>
      <c r="D1743" t="str">
        <f>"350"</f>
        <v>350</v>
      </c>
      <c r="E1743" t="str">
        <f t="shared" si="610"/>
        <v>1</v>
      </c>
      <c r="F1743" t="str">
        <f t="shared" si="611"/>
        <v>COM</v>
      </c>
      <c r="G1743" t="str">
        <f>"PENSE FARMA 35 (10227)"</f>
        <v>PENSE FARMA 35 (10227)</v>
      </c>
      <c r="H1743" t="str">
        <f>"Serv.Prest. 09/02/2026 a 15/02/2026 - RPS: 2272 - NFSe: 350"</f>
        <v>Serv.Prest. 09/02/2026 a 15/02/2026 - RPS: 2272 - NFSe: 350</v>
      </c>
      <c r="I1743" t="str">
        <f t="shared" si="612"/>
        <v>18/02/2026</v>
      </c>
      <c r="J1743" t="str">
        <f t="shared" si="615"/>
        <v>16/02/2026</v>
      </c>
      <c r="K1743" t="str">
        <f>("19/02/2026")</f>
        <v>19/02/2026</v>
      </c>
      <c r="L1743">
        <v>171.45</v>
      </c>
      <c r="M1743">
        <v>171.45</v>
      </c>
      <c r="N1743">
        <v>303</v>
      </c>
      <c r="O1743" t="str">
        <f>"RECEITAS COM ENTREGAS"</f>
        <v>RECEITAS COM ENTREGAS</v>
      </c>
      <c r="P1743">
        <v>171.45</v>
      </c>
      <c r="S1743" t="str">
        <f>"RECEITAS COM ENTREGAS (303)"</f>
        <v>RECEITAS COM ENTREGAS (303)</v>
      </c>
      <c r="T1743">
        <v>4346</v>
      </c>
      <c r="U1743">
        <v>3801</v>
      </c>
      <c r="V1743" t="s">
        <v>88</v>
      </c>
    </row>
    <row r="1744" spans="1:22">
      <c r="A1744" t="str">
        <f t="shared" si="607"/>
        <v>19/02/2026</v>
      </c>
      <c r="B1744" t="str">
        <f t="shared" si="608"/>
        <v>ENTRADA</v>
      </c>
      <c r="C1744" t="str">
        <f t="shared" si="609"/>
        <v>NFSE</v>
      </c>
      <c r="D1744" t="str">
        <f>"350"</f>
        <v>350</v>
      </c>
      <c r="E1744" t="str">
        <f t="shared" si="610"/>
        <v>1</v>
      </c>
      <c r="F1744" t="str">
        <f t="shared" si="611"/>
        <v>COM</v>
      </c>
      <c r="G1744" t="str">
        <f>"PENSE FARMA 35 (10227)"</f>
        <v>PENSE FARMA 35 (10227)</v>
      </c>
      <c r="H1744" t="s">
        <v>458</v>
      </c>
      <c r="I1744" t="str">
        <f t="shared" si="612"/>
        <v>18/02/2026</v>
      </c>
      <c r="J1744" t="str">
        <f t="shared" si="615"/>
        <v>16/02/2026</v>
      </c>
      <c r="K1744">
        <v>46072</v>
      </c>
      <c r="N1744">
        <v>303</v>
      </c>
      <c r="O1744" t="s">
        <v>26</v>
      </c>
      <c r="Q1744">
        <v>171.45</v>
      </c>
      <c r="R1744" t="str">
        <f>"PENSE FARMA 35 (10227)"</f>
        <v>PENSE FARMA 35 (10227)</v>
      </c>
      <c r="S1744" t="s">
        <v>27</v>
      </c>
      <c r="T1744">
        <v>4346</v>
      </c>
      <c r="U1744">
        <v>3801</v>
      </c>
      <c r="V1744" t="s">
        <v>88</v>
      </c>
    </row>
    <row r="1745" spans="1:22">
      <c r="A1745" t="str">
        <f t="shared" si="607"/>
        <v>19/02/2026</v>
      </c>
      <c r="B1745" t="str">
        <f t="shared" si="608"/>
        <v>ENTRADA</v>
      </c>
      <c r="C1745" t="str">
        <f t="shared" si="609"/>
        <v>NFSE</v>
      </c>
      <c r="D1745" t="str">
        <f>"351"</f>
        <v>351</v>
      </c>
      <c r="E1745" t="str">
        <f t="shared" si="610"/>
        <v>1</v>
      </c>
      <c r="F1745" t="str">
        <f t="shared" si="611"/>
        <v>COM</v>
      </c>
      <c r="G1745" t="str">
        <f>"PENSE FARMA 47 (10232)"</f>
        <v>PENSE FARMA 47 (10232)</v>
      </c>
      <c r="H1745" t="str">
        <f>"Serv.Prest. 09/02/2026 a 15/02/2026 - RPS: 2273 - NFSe: 351"</f>
        <v>Serv.Prest. 09/02/2026 a 15/02/2026 - RPS: 2273 - NFSe: 351</v>
      </c>
      <c r="I1745" t="str">
        <f t="shared" si="612"/>
        <v>18/02/2026</v>
      </c>
      <c r="J1745" t="str">
        <f t="shared" si="615"/>
        <v>16/02/2026</v>
      </c>
      <c r="K1745" t="str">
        <f>("19/02/2026")</f>
        <v>19/02/2026</v>
      </c>
      <c r="L1745">
        <v>320.23</v>
      </c>
      <c r="M1745">
        <v>320.23</v>
      </c>
      <c r="N1745">
        <v>303</v>
      </c>
      <c r="O1745" t="str">
        <f>"RECEITAS COM ENTREGAS"</f>
        <v>RECEITAS COM ENTREGAS</v>
      </c>
      <c r="P1745">
        <v>320.23</v>
      </c>
      <c r="S1745" t="str">
        <f>"RECEITAS COM ENTREGAS (303)"</f>
        <v>RECEITAS COM ENTREGAS (303)</v>
      </c>
      <c r="T1745">
        <v>4347</v>
      </c>
      <c r="U1745">
        <v>3802</v>
      </c>
      <c r="V1745" t="s">
        <v>88</v>
      </c>
    </row>
    <row r="1746" spans="1:22">
      <c r="A1746" t="str">
        <f t="shared" si="607"/>
        <v>19/02/2026</v>
      </c>
      <c r="B1746" t="str">
        <f t="shared" si="608"/>
        <v>ENTRADA</v>
      </c>
      <c r="C1746" t="str">
        <f t="shared" si="609"/>
        <v>NFSE</v>
      </c>
      <c r="D1746" t="str">
        <f>"351"</f>
        <v>351</v>
      </c>
      <c r="E1746" t="str">
        <f t="shared" si="610"/>
        <v>1</v>
      </c>
      <c r="F1746" t="str">
        <f t="shared" si="611"/>
        <v>COM</v>
      </c>
      <c r="G1746" t="str">
        <f>"PENSE FARMA 47 (10232)"</f>
        <v>PENSE FARMA 47 (10232)</v>
      </c>
      <c r="H1746" t="s">
        <v>459</v>
      </c>
      <c r="I1746" t="str">
        <f t="shared" si="612"/>
        <v>18/02/2026</v>
      </c>
      <c r="J1746" t="str">
        <f t="shared" si="615"/>
        <v>16/02/2026</v>
      </c>
      <c r="K1746">
        <v>46072</v>
      </c>
      <c r="N1746">
        <v>303</v>
      </c>
      <c r="O1746" t="s">
        <v>26</v>
      </c>
      <c r="Q1746">
        <v>320.23</v>
      </c>
      <c r="R1746" t="str">
        <f>"PENSE FARMA 47 (10232)"</f>
        <v>PENSE FARMA 47 (10232)</v>
      </c>
      <c r="S1746" t="s">
        <v>27</v>
      </c>
      <c r="T1746">
        <v>4347</v>
      </c>
      <c r="U1746">
        <v>3802</v>
      </c>
      <c r="V1746" t="s">
        <v>88</v>
      </c>
    </row>
    <row r="1747" spans="1:22">
      <c r="A1747" t="str">
        <f t="shared" si="607"/>
        <v>19/02/2026</v>
      </c>
      <c r="B1747" t="str">
        <f t="shared" si="608"/>
        <v>ENTRADA</v>
      </c>
      <c r="C1747" t="str">
        <f t="shared" si="609"/>
        <v>NFSE</v>
      </c>
      <c r="D1747" t="str">
        <f>"352"</f>
        <v>352</v>
      </c>
      <c r="E1747" t="str">
        <f t="shared" si="610"/>
        <v>1</v>
      </c>
      <c r="F1747" t="str">
        <f t="shared" si="611"/>
        <v>COM</v>
      </c>
      <c r="G1747" t="str">
        <f>"PENSE FARMA 07 (10201)"</f>
        <v>PENSE FARMA 07 (10201)</v>
      </c>
      <c r="H1747" t="str">
        <f>"Serv.Prest. 09/02/2026 a 15/02/2026 - RPS: 2274 - NFSe: 352"</f>
        <v>Serv.Prest. 09/02/2026 a 15/02/2026 - RPS: 2274 - NFSe: 352</v>
      </c>
      <c r="I1747" t="str">
        <f t="shared" si="612"/>
        <v>18/02/2026</v>
      </c>
      <c r="J1747" t="str">
        <f t="shared" si="615"/>
        <v>16/02/2026</v>
      </c>
      <c r="K1747" t="str">
        <f>("19/02/2026")</f>
        <v>19/02/2026</v>
      </c>
      <c r="L1747">
        <v>309.75</v>
      </c>
      <c r="M1747">
        <v>309.75</v>
      </c>
      <c r="N1747">
        <v>303</v>
      </c>
      <c r="O1747" t="str">
        <f>"RECEITAS COM ENTREGAS"</f>
        <v>RECEITAS COM ENTREGAS</v>
      </c>
      <c r="P1747">
        <v>309.75</v>
      </c>
      <c r="S1747" t="str">
        <f>"RECEITAS COM ENTREGAS (303)"</f>
        <v>RECEITAS COM ENTREGAS (303)</v>
      </c>
      <c r="T1747">
        <v>4348</v>
      </c>
      <c r="U1747">
        <v>3803</v>
      </c>
      <c r="V1747" t="s">
        <v>88</v>
      </c>
    </row>
    <row r="1748" spans="1:22">
      <c r="A1748" t="str">
        <f t="shared" si="607"/>
        <v>19/02/2026</v>
      </c>
      <c r="B1748" t="str">
        <f t="shared" si="608"/>
        <v>ENTRADA</v>
      </c>
      <c r="C1748" t="str">
        <f t="shared" si="609"/>
        <v>NFSE</v>
      </c>
      <c r="D1748" t="str">
        <f>"352"</f>
        <v>352</v>
      </c>
      <c r="E1748" t="str">
        <f t="shared" si="610"/>
        <v>1</v>
      </c>
      <c r="F1748" t="str">
        <f t="shared" si="611"/>
        <v>COM</v>
      </c>
      <c r="G1748" t="str">
        <f>"PENSE FARMA 07 (10201)"</f>
        <v>PENSE FARMA 07 (10201)</v>
      </c>
      <c r="H1748" t="s">
        <v>460</v>
      </c>
      <c r="I1748" t="str">
        <f t="shared" si="612"/>
        <v>18/02/2026</v>
      </c>
      <c r="J1748" t="str">
        <f t="shared" si="615"/>
        <v>16/02/2026</v>
      </c>
      <c r="K1748">
        <v>46072</v>
      </c>
      <c r="N1748">
        <v>303</v>
      </c>
      <c r="O1748" t="s">
        <v>26</v>
      </c>
      <c r="Q1748">
        <v>102.9</v>
      </c>
      <c r="R1748" t="str">
        <f>"PENSE FARMA 07 (10201)"</f>
        <v>PENSE FARMA 07 (10201)</v>
      </c>
      <c r="S1748" t="s">
        <v>27</v>
      </c>
      <c r="T1748">
        <v>4348</v>
      </c>
      <c r="U1748">
        <v>3803</v>
      </c>
      <c r="V1748" t="s">
        <v>88</v>
      </c>
    </row>
    <row r="1749" spans="1:22">
      <c r="A1749" t="str">
        <f t="shared" si="607"/>
        <v>19/02/2026</v>
      </c>
      <c r="B1749" t="str">
        <f t="shared" si="608"/>
        <v>ENTRADA</v>
      </c>
      <c r="C1749" t="str">
        <f t="shared" si="609"/>
        <v>NFSE</v>
      </c>
      <c r="D1749" t="str">
        <f>"352"</f>
        <v>352</v>
      </c>
      <c r="E1749" t="str">
        <f t="shared" si="610"/>
        <v>1</v>
      </c>
      <c r="F1749" t="str">
        <f t="shared" si="611"/>
        <v>COM</v>
      </c>
      <c r="G1749" t="str">
        <f>"PENSE FARMA 07 (10201)"</f>
        <v>PENSE FARMA 07 (10201)</v>
      </c>
      <c r="H1749" t="s">
        <v>460</v>
      </c>
      <c r="I1749" t="str">
        <f t="shared" si="612"/>
        <v>18/02/2026</v>
      </c>
      <c r="J1749" t="str">
        <f t="shared" si="615"/>
        <v>16/02/2026</v>
      </c>
      <c r="K1749">
        <v>46072</v>
      </c>
      <c r="N1749">
        <v>303</v>
      </c>
      <c r="O1749" t="s">
        <v>26</v>
      </c>
      <c r="Q1749">
        <v>102.9</v>
      </c>
      <c r="R1749" t="str">
        <f>"PENSE FARMA 45 (10209)"</f>
        <v>PENSE FARMA 45 (10209)</v>
      </c>
      <c r="S1749" t="s">
        <v>27</v>
      </c>
      <c r="T1749">
        <v>4348</v>
      </c>
      <c r="U1749">
        <v>3803</v>
      </c>
      <c r="V1749" t="s">
        <v>88</v>
      </c>
    </row>
    <row r="1750" spans="1:22">
      <c r="A1750" t="str">
        <f t="shared" si="607"/>
        <v>19/02/2026</v>
      </c>
      <c r="B1750" t="str">
        <f t="shared" si="608"/>
        <v>ENTRADA</v>
      </c>
      <c r="C1750" t="str">
        <f t="shared" si="609"/>
        <v>NFSE</v>
      </c>
      <c r="D1750" t="str">
        <f>"352"</f>
        <v>352</v>
      </c>
      <c r="E1750" t="str">
        <f t="shared" si="610"/>
        <v>1</v>
      </c>
      <c r="F1750" t="str">
        <f t="shared" si="611"/>
        <v>COM</v>
      </c>
      <c r="G1750" t="str">
        <f>"PENSE FARMA 07 (10201)"</f>
        <v>PENSE FARMA 07 (10201)</v>
      </c>
      <c r="H1750" t="s">
        <v>460</v>
      </c>
      <c r="I1750" t="str">
        <f t="shared" si="612"/>
        <v>18/02/2026</v>
      </c>
      <c r="J1750" t="str">
        <f t="shared" si="615"/>
        <v>16/02/2026</v>
      </c>
      <c r="K1750">
        <v>46072</v>
      </c>
      <c r="N1750">
        <v>303</v>
      </c>
      <c r="O1750" t="s">
        <v>26</v>
      </c>
      <c r="Q1750">
        <v>103.95</v>
      </c>
      <c r="R1750" t="str">
        <f>"PENSE FARMA 50 (10210)"</f>
        <v>PENSE FARMA 50 (10210)</v>
      </c>
      <c r="S1750" t="s">
        <v>27</v>
      </c>
      <c r="T1750">
        <v>4348</v>
      </c>
      <c r="U1750">
        <v>3803</v>
      </c>
      <c r="V1750" t="s">
        <v>88</v>
      </c>
    </row>
    <row r="1751" spans="1:22">
      <c r="A1751" t="str">
        <f t="shared" si="607"/>
        <v>19/02/2026</v>
      </c>
      <c r="B1751" t="str">
        <f t="shared" si="608"/>
        <v>ENTRADA</v>
      </c>
      <c r="C1751" t="str">
        <f t="shared" si="609"/>
        <v>NFSE</v>
      </c>
      <c r="D1751" t="str">
        <f>"353"</f>
        <v>353</v>
      </c>
      <c r="E1751" t="str">
        <f t="shared" si="610"/>
        <v>1</v>
      </c>
      <c r="F1751" t="str">
        <f t="shared" si="611"/>
        <v>COM</v>
      </c>
      <c r="G1751" t="str">
        <f>"PENSE FARMA 39 (10228)"</f>
        <v>PENSE FARMA 39 (10228)</v>
      </c>
      <c r="H1751" t="str">
        <f>"Serv.Prest. 09/02/2026 a 15/02/2026 - RPS: 2275 - NFSe: 353"</f>
        <v>Serv.Prest. 09/02/2026 a 15/02/2026 - RPS: 2275 - NFSe: 353</v>
      </c>
      <c r="I1751" t="str">
        <f t="shared" si="612"/>
        <v>18/02/2026</v>
      </c>
      <c r="J1751" t="str">
        <f t="shared" si="615"/>
        <v>16/02/2026</v>
      </c>
      <c r="K1751" t="str">
        <f>("19/02/2026")</f>
        <v>19/02/2026</v>
      </c>
      <c r="L1751">
        <v>599.98</v>
      </c>
      <c r="M1751">
        <v>599.98</v>
      </c>
      <c r="N1751">
        <v>303</v>
      </c>
      <c r="O1751" t="str">
        <f>"RECEITAS COM ENTREGAS"</f>
        <v>RECEITAS COM ENTREGAS</v>
      </c>
      <c r="P1751">
        <v>599.98</v>
      </c>
      <c r="S1751" t="str">
        <f>"RECEITAS COM ENTREGAS (303)"</f>
        <v>RECEITAS COM ENTREGAS (303)</v>
      </c>
      <c r="T1751">
        <v>4349</v>
      </c>
      <c r="U1751">
        <v>3804</v>
      </c>
      <c r="V1751" t="s">
        <v>88</v>
      </c>
    </row>
    <row r="1752" spans="1:22">
      <c r="A1752" t="str">
        <f t="shared" si="607"/>
        <v>19/02/2026</v>
      </c>
      <c r="B1752" t="str">
        <f t="shared" si="608"/>
        <v>ENTRADA</v>
      </c>
      <c r="C1752" t="str">
        <f t="shared" si="609"/>
        <v>NFSE</v>
      </c>
      <c r="D1752" t="str">
        <f>"353"</f>
        <v>353</v>
      </c>
      <c r="E1752" t="str">
        <f t="shared" si="610"/>
        <v>1</v>
      </c>
      <c r="F1752" t="str">
        <f t="shared" si="611"/>
        <v>COM</v>
      </c>
      <c r="G1752" t="str">
        <f>"PENSE FARMA 39 (10228)"</f>
        <v>PENSE FARMA 39 (10228)</v>
      </c>
      <c r="H1752" t="s">
        <v>461</v>
      </c>
      <c r="I1752" t="str">
        <f t="shared" si="612"/>
        <v>18/02/2026</v>
      </c>
      <c r="J1752" t="str">
        <f t="shared" si="615"/>
        <v>16/02/2026</v>
      </c>
      <c r="K1752">
        <v>46072</v>
      </c>
      <c r="N1752">
        <v>303</v>
      </c>
      <c r="O1752" t="s">
        <v>26</v>
      </c>
      <c r="Q1752">
        <v>148.85</v>
      </c>
      <c r="R1752" t="str">
        <f>"PENSE FARMA 02 (10199)"</f>
        <v>PENSE FARMA 02 (10199)</v>
      </c>
      <c r="S1752" t="s">
        <v>27</v>
      </c>
      <c r="T1752">
        <v>4349</v>
      </c>
      <c r="U1752">
        <v>3804</v>
      </c>
      <c r="V1752" t="s">
        <v>88</v>
      </c>
    </row>
    <row r="1753" spans="1:22">
      <c r="A1753" t="str">
        <f t="shared" si="607"/>
        <v>19/02/2026</v>
      </c>
      <c r="B1753" t="str">
        <f t="shared" si="608"/>
        <v>ENTRADA</v>
      </c>
      <c r="C1753" t="str">
        <f t="shared" si="609"/>
        <v>NFSE</v>
      </c>
      <c r="D1753" t="str">
        <f>"353"</f>
        <v>353</v>
      </c>
      <c r="E1753" t="str">
        <f t="shared" si="610"/>
        <v>1</v>
      </c>
      <c r="F1753" t="str">
        <f t="shared" si="611"/>
        <v>COM</v>
      </c>
      <c r="G1753" t="str">
        <f>"PENSE FARMA 39 (10228)"</f>
        <v>PENSE FARMA 39 (10228)</v>
      </c>
      <c r="H1753" t="s">
        <v>461</v>
      </c>
      <c r="I1753" t="str">
        <f t="shared" si="612"/>
        <v>18/02/2026</v>
      </c>
      <c r="J1753" t="str">
        <f t="shared" si="615"/>
        <v>16/02/2026</v>
      </c>
      <c r="K1753">
        <v>46072</v>
      </c>
      <c r="N1753">
        <v>303</v>
      </c>
      <c r="O1753" t="s">
        <v>26</v>
      </c>
      <c r="Q1753">
        <v>148.86000000000001</v>
      </c>
      <c r="R1753" t="str">
        <f>"PENSE FARMA 01 (10215)"</f>
        <v>PENSE FARMA 01 (10215)</v>
      </c>
      <c r="S1753" t="s">
        <v>27</v>
      </c>
      <c r="T1753">
        <v>4349</v>
      </c>
      <c r="U1753">
        <v>3804</v>
      </c>
      <c r="V1753" t="s">
        <v>88</v>
      </c>
    </row>
    <row r="1754" spans="1:22">
      <c r="A1754" t="str">
        <f t="shared" si="607"/>
        <v>19/02/2026</v>
      </c>
      <c r="B1754" t="str">
        <f t="shared" si="608"/>
        <v>ENTRADA</v>
      </c>
      <c r="C1754" t="str">
        <f t="shared" si="609"/>
        <v>NFSE</v>
      </c>
      <c r="D1754" t="str">
        <f>"353"</f>
        <v>353</v>
      </c>
      <c r="E1754" t="str">
        <f t="shared" si="610"/>
        <v>1</v>
      </c>
      <c r="F1754" t="str">
        <f t="shared" si="611"/>
        <v>COM</v>
      </c>
      <c r="G1754" t="str">
        <f>"PENSE FARMA 39 (10228)"</f>
        <v>PENSE FARMA 39 (10228)</v>
      </c>
      <c r="H1754" t="s">
        <v>461</v>
      </c>
      <c r="I1754" t="str">
        <f t="shared" si="612"/>
        <v>18/02/2026</v>
      </c>
      <c r="J1754" t="str">
        <f t="shared" si="615"/>
        <v>16/02/2026</v>
      </c>
      <c r="K1754">
        <v>46072</v>
      </c>
      <c r="N1754">
        <v>303</v>
      </c>
      <c r="O1754" t="s">
        <v>26</v>
      </c>
      <c r="Q1754">
        <v>148.86000000000001</v>
      </c>
      <c r="R1754" t="str">
        <f>"PENSE FARMA 03 (10216)"</f>
        <v>PENSE FARMA 03 (10216)</v>
      </c>
      <c r="S1754" t="s">
        <v>27</v>
      </c>
      <c r="T1754">
        <v>4349</v>
      </c>
      <c r="U1754">
        <v>3804</v>
      </c>
      <c r="V1754" t="s">
        <v>88</v>
      </c>
    </row>
    <row r="1755" spans="1:22">
      <c r="A1755" t="str">
        <f t="shared" si="607"/>
        <v>19/02/2026</v>
      </c>
      <c r="B1755" t="str">
        <f t="shared" si="608"/>
        <v>ENTRADA</v>
      </c>
      <c r="C1755" t="str">
        <f t="shared" si="609"/>
        <v>NFSE</v>
      </c>
      <c r="D1755" t="str">
        <f>"353"</f>
        <v>353</v>
      </c>
      <c r="E1755" t="str">
        <f t="shared" si="610"/>
        <v>1</v>
      </c>
      <c r="F1755" t="str">
        <f t="shared" si="611"/>
        <v>COM</v>
      </c>
      <c r="G1755" t="str">
        <f>"PENSE FARMA 39 (10228)"</f>
        <v>PENSE FARMA 39 (10228)</v>
      </c>
      <c r="H1755" t="s">
        <v>461</v>
      </c>
      <c r="I1755" t="str">
        <f t="shared" si="612"/>
        <v>18/02/2026</v>
      </c>
      <c r="J1755" t="str">
        <f t="shared" si="615"/>
        <v>16/02/2026</v>
      </c>
      <c r="K1755">
        <v>46072</v>
      </c>
      <c r="N1755">
        <v>303</v>
      </c>
      <c r="O1755" t="s">
        <v>26</v>
      </c>
      <c r="Q1755">
        <v>153.41</v>
      </c>
      <c r="R1755" t="str">
        <f>"PENSE FARMA 39 (10228)"</f>
        <v>PENSE FARMA 39 (10228)</v>
      </c>
      <c r="S1755" t="s">
        <v>27</v>
      </c>
      <c r="T1755">
        <v>4349</v>
      </c>
      <c r="U1755">
        <v>3804</v>
      </c>
      <c r="V1755" t="s">
        <v>88</v>
      </c>
    </row>
    <row r="1756" spans="1:22">
      <c r="A1756" t="str">
        <f t="shared" si="607"/>
        <v>19/02/2026</v>
      </c>
      <c r="B1756" t="str">
        <f t="shared" si="608"/>
        <v>ENTRADA</v>
      </c>
      <c r="C1756" t="str">
        <f t="shared" si="609"/>
        <v>NFSE</v>
      </c>
      <c r="D1756" t="str">
        <f>"354"</f>
        <v>354</v>
      </c>
      <c r="E1756" t="str">
        <f t="shared" si="610"/>
        <v>1</v>
      </c>
      <c r="F1756" t="str">
        <f t="shared" si="611"/>
        <v>COM</v>
      </c>
      <c r="G1756" t="str">
        <f>"PENSE FARMA 25 (10224)"</f>
        <v>PENSE FARMA 25 (10224)</v>
      </c>
      <c r="H1756" t="str">
        <f>"Serv.Prest. 09/02/2026 a 15/02/2026 - RPS: 2276 - NFSe: 354"</f>
        <v>Serv.Prest. 09/02/2026 a 15/02/2026 - RPS: 2276 - NFSe: 354</v>
      </c>
      <c r="I1756" t="str">
        <f t="shared" si="612"/>
        <v>18/02/2026</v>
      </c>
      <c r="J1756" t="str">
        <f t="shared" si="615"/>
        <v>16/02/2026</v>
      </c>
      <c r="K1756" t="str">
        <f>("19/02/2026")</f>
        <v>19/02/2026</v>
      </c>
      <c r="L1756">
        <v>320.5</v>
      </c>
      <c r="M1756">
        <v>320.5</v>
      </c>
      <c r="N1756">
        <v>303</v>
      </c>
      <c r="O1756" t="str">
        <f>"RECEITAS COM ENTREGAS"</f>
        <v>RECEITAS COM ENTREGAS</v>
      </c>
      <c r="P1756">
        <v>320.5</v>
      </c>
      <c r="S1756" t="str">
        <f>"RECEITAS COM ENTREGAS (303)"</f>
        <v>RECEITAS COM ENTREGAS (303)</v>
      </c>
      <c r="T1756">
        <v>4350</v>
      </c>
      <c r="U1756">
        <v>3805</v>
      </c>
      <c r="V1756" t="s">
        <v>88</v>
      </c>
    </row>
    <row r="1757" spans="1:22">
      <c r="A1757" t="str">
        <f t="shared" si="607"/>
        <v>19/02/2026</v>
      </c>
      <c r="B1757" t="str">
        <f t="shared" si="608"/>
        <v>ENTRADA</v>
      </c>
      <c r="C1757" t="str">
        <f t="shared" si="609"/>
        <v>NFSE</v>
      </c>
      <c r="D1757" t="str">
        <f>"354"</f>
        <v>354</v>
      </c>
      <c r="E1757" t="str">
        <f t="shared" si="610"/>
        <v>1</v>
      </c>
      <c r="F1757" t="str">
        <f t="shared" si="611"/>
        <v>COM</v>
      </c>
      <c r="G1757" t="str">
        <f>"PENSE FARMA 25 (10224)"</f>
        <v>PENSE FARMA 25 (10224)</v>
      </c>
      <c r="H1757" t="s">
        <v>462</v>
      </c>
      <c r="I1757" t="str">
        <f t="shared" si="612"/>
        <v>18/02/2026</v>
      </c>
      <c r="J1757" t="str">
        <f t="shared" si="615"/>
        <v>16/02/2026</v>
      </c>
      <c r="K1757">
        <v>46072</v>
      </c>
      <c r="N1757">
        <v>303</v>
      </c>
      <c r="O1757" t="s">
        <v>26</v>
      </c>
      <c r="Q1757">
        <v>320.5</v>
      </c>
      <c r="R1757" t="str">
        <f>"PENSE FARMA 25 (10224)"</f>
        <v>PENSE FARMA 25 (10224)</v>
      </c>
      <c r="S1757" t="s">
        <v>27</v>
      </c>
      <c r="T1757">
        <v>4350</v>
      </c>
      <c r="U1757">
        <v>3805</v>
      </c>
      <c r="V1757" t="s">
        <v>88</v>
      </c>
    </row>
    <row r="1758" spans="1:22">
      <c r="A1758" t="str">
        <f t="shared" ref="A1758:A1777" si="616">("19/02/2026")</f>
        <v>19/02/2026</v>
      </c>
      <c r="B1758" t="str">
        <f t="shared" ref="B1758:B1774" si="617">"ENTRADA"</f>
        <v>ENTRADA</v>
      </c>
      <c r="C1758" t="str">
        <f t="shared" ref="C1758:C1773" si="618">"NFSE"</f>
        <v>NFSE</v>
      </c>
      <c r="D1758" t="str">
        <f>"355"</f>
        <v>355</v>
      </c>
      <c r="E1758" t="str">
        <f t="shared" ref="E1758:E1773" si="619">"1"</f>
        <v>1</v>
      </c>
      <c r="F1758" t="str">
        <f t="shared" ref="F1758:F1773" si="620">"COM"</f>
        <v>COM</v>
      </c>
      <c r="G1758" t="str">
        <f>"PENSE FARMA 09 (10218)"</f>
        <v>PENSE FARMA 09 (10218)</v>
      </c>
      <c r="H1758" t="str">
        <f>"Serv.Prest. 09/02/2026 a 15/02/2026 - RPS: 2277 - NFSe: 355"</f>
        <v>Serv.Prest. 09/02/2026 a 15/02/2026 - RPS: 2277 - NFSe: 355</v>
      </c>
      <c r="I1758" t="str">
        <f t="shared" si="612"/>
        <v>18/02/2026</v>
      </c>
      <c r="J1758" t="str">
        <f t="shared" si="615"/>
        <v>16/02/2026</v>
      </c>
      <c r="K1758" t="str">
        <f>("19/02/2026")</f>
        <v>19/02/2026</v>
      </c>
      <c r="L1758">
        <v>336.54</v>
      </c>
      <c r="M1758">
        <v>336.54</v>
      </c>
      <c r="N1758">
        <v>303</v>
      </c>
      <c r="O1758" t="str">
        <f>"RECEITAS COM ENTREGAS"</f>
        <v>RECEITAS COM ENTREGAS</v>
      </c>
      <c r="P1758">
        <v>336.54</v>
      </c>
      <c r="S1758" t="str">
        <f>"RECEITAS COM ENTREGAS (303)"</f>
        <v>RECEITAS COM ENTREGAS (303)</v>
      </c>
      <c r="T1758">
        <v>4351</v>
      </c>
      <c r="U1758">
        <v>3806</v>
      </c>
      <c r="V1758" t="s">
        <v>88</v>
      </c>
    </row>
    <row r="1759" spans="1:22">
      <c r="A1759" t="str">
        <f t="shared" si="616"/>
        <v>19/02/2026</v>
      </c>
      <c r="B1759" t="str">
        <f t="shared" si="617"/>
        <v>ENTRADA</v>
      </c>
      <c r="C1759" t="str">
        <f t="shared" si="618"/>
        <v>NFSE</v>
      </c>
      <c r="D1759" t="str">
        <f>"355"</f>
        <v>355</v>
      </c>
      <c r="E1759" t="str">
        <f t="shared" si="619"/>
        <v>1</v>
      </c>
      <c r="F1759" t="str">
        <f t="shared" si="620"/>
        <v>COM</v>
      </c>
      <c r="G1759" t="str">
        <f>"PENSE FARMA 09 (10218)"</f>
        <v>PENSE FARMA 09 (10218)</v>
      </c>
      <c r="H1759" t="s">
        <v>463</v>
      </c>
      <c r="I1759" t="str">
        <f t="shared" ref="I1759:I1773" si="621">("18/02/2026")</f>
        <v>18/02/2026</v>
      </c>
      <c r="J1759" t="str">
        <f t="shared" si="615"/>
        <v>16/02/2026</v>
      </c>
      <c r="K1759">
        <v>46072</v>
      </c>
      <c r="N1759">
        <v>303</v>
      </c>
      <c r="O1759" t="s">
        <v>26</v>
      </c>
      <c r="Q1759">
        <v>168.27</v>
      </c>
      <c r="R1759" t="str">
        <f>"PENSE FARMA 09 (10218)"</f>
        <v>PENSE FARMA 09 (10218)</v>
      </c>
      <c r="S1759" t="s">
        <v>27</v>
      </c>
      <c r="T1759">
        <v>4351</v>
      </c>
      <c r="U1759">
        <v>3806</v>
      </c>
      <c r="V1759" t="s">
        <v>88</v>
      </c>
    </row>
    <row r="1760" spans="1:22">
      <c r="A1760" t="str">
        <f t="shared" si="616"/>
        <v>19/02/2026</v>
      </c>
      <c r="B1760" t="str">
        <f t="shared" si="617"/>
        <v>ENTRADA</v>
      </c>
      <c r="C1760" t="str">
        <f t="shared" si="618"/>
        <v>NFSE</v>
      </c>
      <c r="D1760" t="str">
        <f>"355"</f>
        <v>355</v>
      </c>
      <c r="E1760" t="str">
        <f t="shared" si="619"/>
        <v>1</v>
      </c>
      <c r="F1760" t="str">
        <f t="shared" si="620"/>
        <v>COM</v>
      </c>
      <c r="G1760" t="str">
        <f>"PENSE FARMA 09 (10218)"</f>
        <v>PENSE FARMA 09 (10218)</v>
      </c>
      <c r="H1760" t="s">
        <v>463</v>
      </c>
      <c r="I1760" t="str">
        <f t="shared" si="621"/>
        <v>18/02/2026</v>
      </c>
      <c r="J1760" t="str">
        <f t="shared" si="615"/>
        <v>16/02/2026</v>
      </c>
      <c r="K1760">
        <v>46072</v>
      </c>
      <c r="N1760">
        <v>303</v>
      </c>
      <c r="O1760" t="s">
        <v>26</v>
      </c>
      <c r="Q1760">
        <v>168.27</v>
      </c>
      <c r="R1760" t="str">
        <f>"PENSE FARMA 10 (10219)"</f>
        <v>PENSE FARMA 10 (10219)</v>
      </c>
      <c r="S1760" t="s">
        <v>27</v>
      </c>
      <c r="T1760">
        <v>4351</v>
      </c>
      <c r="U1760">
        <v>3806</v>
      </c>
      <c r="V1760" t="s">
        <v>88</v>
      </c>
    </row>
    <row r="1761" spans="1:22">
      <c r="A1761" t="str">
        <f t="shared" si="616"/>
        <v>19/02/2026</v>
      </c>
      <c r="B1761" t="str">
        <f t="shared" si="617"/>
        <v>ENTRADA</v>
      </c>
      <c r="C1761" t="str">
        <f t="shared" si="618"/>
        <v>NFSE</v>
      </c>
      <c r="D1761" t="str">
        <f t="shared" ref="D1761:D1766" si="622">"356"</f>
        <v>356</v>
      </c>
      <c r="E1761" t="str">
        <f t="shared" si="619"/>
        <v>1</v>
      </c>
      <c r="F1761" t="str">
        <f t="shared" si="620"/>
        <v>COM</v>
      </c>
      <c r="G1761" t="str">
        <f t="shared" ref="G1761:G1766" si="623">"PENSE FARMA 08 (10217)"</f>
        <v>PENSE FARMA 08 (10217)</v>
      </c>
      <c r="H1761" t="str">
        <f>"Serv.Prest. 09/02/2026 a 15/02/2026 - RPS: 2278 - NFSe: 356"</f>
        <v>Serv.Prest. 09/02/2026 a 15/02/2026 - RPS: 2278 - NFSe: 356</v>
      </c>
      <c r="I1761" t="str">
        <f t="shared" si="621"/>
        <v>18/02/2026</v>
      </c>
      <c r="J1761" t="str">
        <f t="shared" si="615"/>
        <v>16/02/2026</v>
      </c>
      <c r="K1761" t="str">
        <f>("19/02/2026")</f>
        <v>19/02/2026</v>
      </c>
      <c r="L1761">
        <v>589.5</v>
      </c>
      <c r="M1761">
        <v>589.5</v>
      </c>
      <c r="N1761">
        <v>303</v>
      </c>
      <c r="O1761" t="str">
        <f>"RECEITAS COM ENTREGAS"</f>
        <v>RECEITAS COM ENTREGAS</v>
      </c>
      <c r="P1761">
        <v>589.5</v>
      </c>
      <c r="S1761" t="str">
        <f>"RECEITAS COM ENTREGAS (303)"</f>
        <v>RECEITAS COM ENTREGAS (303)</v>
      </c>
      <c r="T1761">
        <v>4352</v>
      </c>
      <c r="U1761">
        <v>3807</v>
      </c>
      <c r="V1761" t="s">
        <v>88</v>
      </c>
    </row>
    <row r="1762" spans="1:22">
      <c r="A1762" t="str">
        <f t="shared" si="616"/>
        <v>19/02/2026</v>
      </c>
      <c r="B1762" t="str">
        <f t="shared" si="617"/>
        <v>ENTRADA</v>
      </c>
      <c r="C1762" t="str">
        <f t="shared" si="618"/>
        <v>NFSE</v>
      </c>
      <c r="D1762" t="str">
        <f t="shared" si="622"/>
        <v>356</v>
      </c>
      <c r="E1762" t="str">
        <f t="shared" si="619"/>
        <v>1</v>
      </c>
      <c r="F1762" t="str">
        <f t="shared" si="620"/>
        <v>COM</v>
      </c>
      <c r="G1762" t="str">
        <f t="shared" si="623"/>
        <v>PENSE FARMA 08 (10217)</v>
      </c>
      <c r="H1762" t="s">
        <v>464</v>
      </c>
      <c r="I1762" t="str">
        <f t="shared" si="621"/>
        <v>18/02/2026</v>
      </c>
      <c r="J1762" t="str">
        <f t="shared" si="615"/>
        <v>16/02/2026</v>
      </c>
      <c r="K1762">
        <v>46072</v>
      </c>
      <c r="N1762">
        <v>303</v>
      </c>
      <c r="O1762" t="s">
        <v>26</v>
      </c>
      <c r="Q1762">
        <v>117.9</v>
      </c>
      <c r="R1762" t="str">
        <f>"PENSE FARMA 08 (10217)"</f>
        <v>PENSE FARMA 08 (10217)</v>
      </c>
      <c r="S1762" t="s">
        <v>27</v>
      </c>
      <c r="T1762">
        <v>4352</v>
      </c>
      <c r="U1762">
        <v>3807</v>
      </c>
      <c r="V1762" t="s">
        <v>88</v>
      </c>
    </row>
    <row r="1763" spans="1:22">
      <c r="A1763" t="str">
        <f t="shared" si="616"/>
        <v>19/02/2026</v>
      </c>
      <c r="B1763" t="str">
        <f t="shared" si="617"/>
        <v>ENTRADA</v>
      </c>
      <c r="C1763" t="str">
        <f t="shared" si="618"/>
        <v>NFSE</v>
      </c>
      <c r="D1763" t="str">
        <f t="shared" si="622"/>
        <v>356</v>
      </c>
      <c r="E1763" t="str">
        <f t="shared" si="619"/>
        <v>1</v>
      </c>
      <c r="F1763" t="str">
        <f t="shared" si="620"/>
        <v>COM</v>
      </c>
      <c r="G1763" t="str">
        <f t="shared" si="623"/>
        <v>PENSE FARMA 08 (10217)</v>
      </c>
      <c r="H1763" t="s">
        <v>464</v>
      </c>
      <c r="I1763" t="str">
        <f t="shared" si="621"/>
        <v>18/02/2026</v>
      </c>
      <c r="J1763" t="str">
        <f t="shared" si="615"/>
        <v>16/02/2026</v>
      </c>
      <c r="K1763">
        <v>46072</v>
      </c>
      <c r="N1763">
        <v>303</v>
      </c>
      <c r="O1763" t="s">
        <v>26</v>
      </c>
      <c r="Q1763">
        <v>117.9</v>
      </c>
      <c r="R1763" t="str">
        <f>"PENSE FARMA 11 (10220)"</f>
        <v>PENSE FARMA 11 (10220)</v>
      </c>
      <c r="S1763" t="s">
        <v>27</v>
      </c>
      <c r="T1763">
        <v>4352</v>
      </c>
      <c r="U1763">
        <v>3807</v>
      </c>
      <c r="V1763" t="s">
        <v>88</v>
      </c>
    </row>
    <row r="1764" spans="1:22">
      <c r="A1764" t="str">
        <f t="shared" si="616"/>
        <v>19/02/2026</v>
      </c>
      <c r="B1764" t="str">
        <f t="shared" si="617"/>
        <v>ENTRADA</v>
      </c>
      <c r="C1764" t="str">
        <f t="shared" si="618"/>
        <v>NFSE</v>
      </c>
      <c r="D1764" t="str">
        <f t="shared" si="622"/>
        <v>356</v>
      </c>
      <c r="E1764" t="str">
        <f t="shared" si="619"/>
        <v>1</v>
      </c>
      <c r="F1764" t="str">
        <f t="shared" si="620"/>
        <v>COM</v>
      </c>
      <c r="G1764" t="str">
        <f t="shared" si="623"/>
        <v>PENSE FARMA 08 (10217)</v>
      </c>
      <c r="H1764" t="s">
        <v>464</v>
      </c>
      <c r="I1764" t="str">
        <f t="shared" si="621"/>
        <v>18/02/2026</v>
      </c>
      <c r="J1764" t="str">
        <f t="shared" si="615"/>
        <v>16/02/2026</v>
      </c>
      <c r="K1764">
        <v>46072</v>
      </c>
      <c r="N1764">
        <v>303</v>
      </c>
      <c r="O1764" t="s">
        <v>26</v>
      </c>
      <c r="Q1764">
        <v>117.9</v>
      </c>
      <c r="R1764" t="str">
        <f>"PENSE FARMA 41 (10229)"</f>
        <v>PENSE FARMA 41 (10229)</v>
      </c>
      <c r="S1764" t="s">
        <v>27</v>
      </c>
      <c r="T1764">
        <v>4352</v>
      </c>
      <c r="U1764">
        <v>3807</v>
      </c>
      <c r="V1764" t="s">
        <v>88</v>
      </c>
    </row>
    <row r="1765" spans="1:22">
      <c r="A1765" t="str">
        <f t="shared" si="616"/>
        <v>19/02/2026</v>
      </c>
      <c r="B1765" t="str">
        <f t="shared" si="617"/>
        <v>ENTRADA</v>
      </c>
      <c r="C1765" t="str">
        <f t="shared" si="618"/>
        <v>NFSE</v>
      </c>
      <c r="D1765" t="str">
        <f t="shared" si="622"/>
        <v>356</v>
      </c>
      <c r="E1765" t="str">
        <f t="shared" si="619"/>
        <v>1</v>
      </c>
      <c r="F1765" t="str">
        <f t="shared" si="620"/>
        <v>COM</v>
      </c>
      <c r="G1765" t="str">
        <f t="shared" si="623"/>
        <v>PENSE FARMA 08 (10217)</v>
      </c>
      <c r="H1765" t="s">
        <v>464</v>
      </c>
      <c r="I1765" t="str">
        <f t="shared" si="621"/>
        <v>18/02/2026</v>
      </c>
      <c r="J1765" t="str">
        <f t="shared" si="615"/>
        <v>16/02/2026</v>
      </c>
      <c r="K1765">
        <v>46072</v>
      </c>
      <c r="N1765">
        <v>303</v>
      </c>
      <c r="O1765" t="s">
        <v>26</v>
      </c>
      <c r="Q1765">
        <v>117.9</v>
      </c>
      <c r="R1765" t="str">
        <f>"PENSE FARMA 42 (10230)"</f>
        <v>PENSE FARMA 42 (10230)</v>
      </c>
      <c r="S1765" t="s">
        <v>27</v>
      </c>
      <c r="T1765">
        <v>4352</v>
      </c>
      <c r="U1765">
        <v>3807</v>
      </c>
      <c r="V1765" t="s">
        <v>88</v>
      </c>
    </row>
    <row r="1766" spans="1:22">
      <c r="A1766" t="str">
        <f t="shared" si="616"/>
        <v>19/02/2026</v>
      </c>
      <c r="B1766" t="str">
        <f t="shared" si="617"/>
        <v>ENTRADA</v>
      </c>
      <c r="C1766" t="str">
        <f t="shared" si="618"/>
        <v>NFSE</v>
      </c>
      <c r="D1766" t="str">
        <f t="shared" si="622"/>
        <v>356</v>
      </c>
      <c r="E1766" t="str">
        <f t="shared" si="619"/>
        <v>1</v>
      </c>
      <c r="F1766" t="str">
        <f t="shared" si="620"/>
        <v>COM</v>
      </c>
      <c r="G1766" t="str">
        <f t="shared" si="623"/>
        <v>PENSE FARMA 08 (10217)</v>
      </c>
      <c r="H1766" t="s">
        <v>464</v>
      </c>
      <c r="I1766" t="str">
        <f t="shared" si="621"/>
        <v>18/02/2026</v>
      </c>
      <c r="J1766" t="str">
        <f t="shared" si="615"/>
        <v>16/02/2026</v>
      </c>
      <c r="K1766">
        <v>46072</v>
      </c>
      <c r="N1766">
        <v>303</v>
      </c>
      <c r="O1766" t="s">
        <v>26</v>
      </c>
      <c r="Q1766">
        <v>117.9</v>
      </c>
      <c r="R1766" t="str">
        <f>"PENSE FARMA 52 (10236)"</f>
        <v>PENSE FARMA 52 (10236)</v>
      </c>
      <c r="S1766" t="s">
        <v>27</v>
      </c>
      <c r="T1766">
        <v>4352</v>
      </c>
      <c r="U1766">
        <v>3807</v>
      </c>
      <c r="V1766" t="s">
        <v>88</v>
      </c>
    </row>
    <row r="1767" spans="1:22">
      <c r="A1767" t="str">
        <f t="shared" si="616"/>
        <v>19/02/2026</v>
      </c>
      <c r="B1767" t="str">
        <f t="shared" si="617"/>
        <v>ENTRADA</v>
      </c>
      <c r="C1767" t="str">
        <f t="shared" si="618"/>
        <v>NFSE</v>
      </c>
      <c r="D1767" t="str">
        <f>"357"</f>
        <v>357</v>
      </c>
      <c r="E1767" t="str">
        <f t="shared" si="619"/>
        <v>1</v>
      </c>
      <c r="F1767" t="str">
        <f t="shared" si="620"/>
        <v>COM</v>
      </c>
      <c r="G1767" t="str">
        <f>"PENSE FARMA 15 (10195)"</f>
        <v>PENSE FARMA 15 (10195)</v>
      </c>
      <c r="H1767" t="str">
        <f>"Serv.Prest. 09/02/2026 a 15/02/2026 - RPS: 2279 - NFSe: 357"</f>
        <v>Serv.Prest. 09/02/2026 a 15/02/2026 - RPS: 2279 - NFSe: 357</v>
      </c>
      <c r="I1767" t="str">
        <f t="shared" si="621"/>
        <v>18/02/2026</v>
      </c>
      <c r="J1767" t="str">
        <f t="shared" ref="J1767:J1773" si="624">("17/02/2026")</f>
        <v>17/02/2026</v>
      </c>
      <c r="K1767" t="str">
        <f>("19/02/2026")</f>
        <v>19/02/2026</v>
      </c>
      <c r="L1767">
        <v>642</v>
      </c>
      <c r="M1767">
        <v>642</v>
      </c>
      <c r="N1767">
        <v>303</v>
      </c>
      <c r="O1767" t="str">
        <f>"RECEITAS COM ENTREGAS"</f>
        <v>RECEITAS COM ENTREGAS</v>
      </c>
      <c r="P1767">
        <v>642</v>
      </c>
      <c r="S1767" t="str">
        <f>"RECEITAS COM ENTREGAS (303)"</f>
        <v>RECEITAS COM ENTREGAS (303)</v>
      </c>
      <c r="T1767">
        <v>4353</v>
      </c>
      <c r="U1767">
        <v>3808</v>
      </c>
      <c r="V1767" t="s">
        <v>88</v>
      </c>
    </row>
    <row r="1768" spans="1:22">
      <c r="A1768" t="str">
        <f t="shared" si="616"/>
        <v>19/02/2026</v>
      </c>
      <c r="B1768" t="str">
        <f t="shared" si="617"/>
        <v>ENTRADA</v>
      </c>
      <c r="C1768" t="str">
        <f t="shared" si="618"/>
        <v>NFSE</v>
      </c>
      <c r="D1768" t="str">
        <f>"357"</f>
        <v>357</v>
      </c>
      <c r="E1768" t="str">
        <f t="shared" si="619"/>
        <v>1</v>
      </c>
      <c r="F1768" t="str">
        <f t="shared" si="620"/>
        <v>COM</v>
      </c>
      <c r="G1768" t="str">
        <f>"PENSE FARMA 15 (10195)"</f>
        <v>PENSE FARMA 15 (10195)</v>
      </c>
      <c r="H1768" t="s">
        <v>465</v>
      </c>
      <c r="I1768" t="str">
        <f t="shared" si="621"/>
        <v>18/02/2026</v>
      </c>
      <c r="J1768" t="str">
        <f t="shared" si="624"/>
        <v>17/02/2026</v>
      </c>
      <c r="K1768">
        <v>46072</v>
      </c>
      <c r="N1768">
        <v>303</v>
      </c>
      <c r="O1768" t="s">
        <v>26</v>
      </c>
      <c r="Q1768">
        <v>160.5</v>
      </c>
      <c r="R1768" t="str">
        <f>"PENSE FARMA 15 (10195)"</f>
        <v>PENSE FARMA 15 (10195)</v>
      </c>
      <c r="S1768" t="s">
        <v>27</v>
      </c>
      <c r="T1768">
        <v>4353</v>
      </c>
      <c r="U1768">
        <v>3808</v>
      </c>
      <c r="V1768" t="s">
        <v>88</v>
      </c>
    </row>
    <row r="1769" spans="1:22">
      <c r="A1769" t="str">
        <f t="shared" si="616"/>
        <v>19/02/2026</v>
      </c>
      <c r="B1769" t="str">
        <f t="shared" si="617"/>
        <v>ENTRADA</v>
      </c>
      <c r="C1769" t="str">
        <f t="shared" si="618"/>
        <v>NFSE</v>
      </c>
      <c r="D1769" t="str">
        <f>"357"</f>
        <v>357</v>
      </c>
      <c r="E1769" t="str">
        <f t="shared" si="619"/>
        <v>1</v>
      </c>
      <c r="F1769" t="str">
        <f t="shared" si="620"/>
        <v>COM</v>
      </c>
      <c r="G1769" t="str">
        <f>"PENSE FARMA 15 (10195)"</f>
        <v>PENSE FARMA 15 (10195)</v>
      </c>
      <c r="H1769" t="s">
        <v>465</v>
      </c>
      <c r="I1769" t="str">
        <f t="shared" si="621"/>
        <v>18/02/2026</v>
      </c>
      <c r="J1769" t="str">
        <f t="shared" si="624"/>
        <v>17/02/2026</v>
      </c>
      <c r="K1769">
        <v>46072</v>
      </c>
      <c r="N1769">
        <v>303</v>
      </c>
      <c r="O1769" t="s">
        <v>26</v>
      </c>
      <c r="Q1769">
        <v>160.5</v>
      </c>
      <c r="R1769" t="str">
        <f>"PENSE FARMA 26 (10196)"</f>
        <v>PENSE FARMA 26 (10196)</v>
      </c>
      <c r="S1769" t="s">
        <v>27</v>
      </c>
      <c r="T1769">
        <v>4353</v>
      </c>
      <c r="U1769">
        <v>3808</v>
      </c>
      <c r="V1769" t="s">
        <v>88</v>
      </c>
    </row>
    <row r="1770" spans="1:22">
      <c r="A1770" t="str">
        <f t="shared" si="616"/>
        <v>19/02/2026</v>
      </c>
      <c r="B1770" t="str">
        <f t="shared" si="617"/>
        <v>ENTRADA</v>
      </c>
      <c r="C1770" t="str">
        <f t="shared" si="618"/>
        <v>NFSE</v>
      </c>
      <c r="D1770" t="str">
        <f>"357"</f>
        <v>357</v>
      </c>
      <c r="E1770" t="str">
        <f t="shared" si="619"/>
        <v>1</v>
      </c>
      <c r="F1770" t="str">
        <f t="shared" si="620"/>
        <v>COM</v>
      </c>
      <c r="G1770" t="str">
        <f>"PENSE FARMA 15 (10195)"</f>
        <v>PENSE FARMA 15 (10195)</v>
      </c>
      <c r="H1770" t="s">
        <v>465</v>
      </c>
      <c r="I1770" t="str">
        <f t="shared" si="621"/>
        <v>18/02/2026</v>
      </c>
      <c r="J1770" t="str">
        <f t="shared" si="624"/>
        <v>17/02/2026</v>
      </c>
      <c r="K1770">
        <v>46072</v>
      </c>
      <c r="N1770">
        <v>303</v>
      </c>
      <c r="O1770" t="s">
        <v>26</v>
      </c>
      <c r="Q1770">
        <v>160.5</v>
      </c>
      <c r="R1770" t="str">
        <f>"PENSE FARMA 60 (10197)"</f>
        <v>PENSE FARMA 60 (10197)</v>
      </c>
      <c r="S1770" t="s">
        <v>27</v>
      </c>
      <c r="T1770">
        <v>4353</v>
      </c>
      <c r="U1770">
        <v>3808</v>
      </c>
      <c r="V1770" t="s">
        <v>88</v>
      </c>
    </row>
    <row r="1771" spans="1:22">
      <c r="A1771" t="str">
        <f t="shared" si="616"/>
        <v>19/02/2026</v>
      </c>
      <c r="B1771" t="str">
        <f t="shared" si="617"/>
        <v>ENTRADA</v>
      </c>
      <c r="C1771" t="str">
        <f t="shared" si="618"/>
        <v>NFSE</v>
      </c>
      <c r="D1771" t="str">
        <f>"357"</f>
        <v>357</v>
      </c>
      <c r="E1771" t="str">
        <f t="shared" si="619"/>
        <v>1</v>
      </c>
      <c r="F1771" t="str">
        <f t="shared" si="620"/>
        <v>COM</v>
      </c>
      <c r="G1771" t="str">
        <f>"PENSE FARMA 15 (10195)"</f>
        <v>PENSE FARMA 15 (10195)</v>
      </c>
      <c r="H1771" t="s">
        <v>465</v>
      </c>
      <c r="I1771" t="str">
        <f t="shared" si="621"/>
        <v>18/02/2026</v>
      </c>
      <c r="J1771" t="str">
        <f t="shared" si="624"/>
        <v>17/02/2026</v>
      </c>
      <c r="K1771">
        <v>46072</v>
      </c>
      <c r="N1771">
        <v>303</v>
      </c>
      <c r="O1771" t="s">
        <v>26</v>
      </c>
      <c r="Q1771">
        <v>160.5</v>
      </c>
      <c r="R1771" t="str">
        <f>"PENSE FARMA 61 (10243)"</f>
        <v>PENSE FARMA 61 (10243)</v>
      </c>
      <c r="S1771" t="s">
        <v>27</v>
      </c>
      <c r="T1771">
        <v>4353</v>
      </c>
      <c r="U1771">
        <v>3808</v>
      </c>
      <c r="V1771" t="s">
        <v>88</v>
      </c>
    </row>
    <row r="1772" spans="1:22">
      <c r="A1772" t="str">
        <f t="shared" si="616"/>
        <v>19/02/2026</v>
      </c>
      <c r="B1772" t="str">
        <f t="shared" si="617"/>
        <v>ENTRADA</v>
      </c>
      <c r="C1772" t="str">
        <f t="shared" si="618"/>
        <v>NFSE</v>
      </c>
      <c r="D1772" t="str">
        <f>"362"</f>
        <v>362</v>
      </c>
      <c r="E1772" t="str">
        <f t="shared" si="619"/>
        <v>1</v>
      </c>
      <c r="F1772" t="str">
        <f t="shared" si="620"/>
        <v>COM</v>
      </c>
      <c r="G1772" t="str">
        <f>"PENSE FARMA 22 (10198)"</f>
        <v>PENSE FARMA 22 (10198)</v>
      </c>
      <c r="H1772" t="str">
        <f>"Serv.Prest. 09/02/2026 a 15/02/2026 - RPS: 2284 - NFSe: 362"</f>
        <v>Serv.Prest. 09/02/2026 a 15/02/2026 - RPS: 2284 - NFSe: 362</v>
      </c>
      <c r="I1772" t="str">
        <f t="shared" si="621"/>
        <v>18/02/2026</v>
      </c>
      <c r="J1772" t="str">
        <f t="shared" si="624"/>
        <v>17/02/2026</v>
      </c>
      <c r="K1772" t="str">
        <f>("19/02/2026")</f>
        <v>19/02/2026</v>
      </c>
      <c r="L1772">
        <v>418.56</v>
      </c>
      <c r="M1772">
        <v>418.56</v>
      </c>
      <c r="N1772">
        <v>303</v>
      </c>
      <c r="O1772" t="str">
        <f>"RECEITAS COM ENTREGAS"</f>
        <v>RECEITAS COM ENTREGAS</v>
      </c>
      <c r="P1772">
        <v>418.56</v>
      </c>
      <c r="S1772" t="str">
        <f>"RECEITAS COM ENTREGAS (303)"</f>
        <v>RECEITAS COM ENTREGAS (303)</v>
      </c>
      <c r="T1772">
        <v>4354</v>
      </c>
      <c r="U1772">
        <v>3813</v>
      </c>
      <c r="V1772" t="s">
        <v>88</v>
      </c>
    </row>
    <row r="1773" spans="1:22">
      <c r="A1773" t="str">
        <f t="shared" si="616"/>
        <v>19/02/2026</v>
      </c>
      <c r="B1773" t="str">
        <f t="shared" si="617"/>
        <v>ENTRADA</v>
      </c>
      <c r="C1773" t="str">
        <f t="shared" si="618"/>
        <v>NFSE</v>
      </c>
      <c r="D1773" t="str">
        <f>"362"</f>
        <v>362</v>
      </c>
      <c r="E1773" t="str">
        <f t="shared" si="619"/>
        <v>1</v>
      </c>
      <c r="F1773" t="str">
        <f t="shared" si="620"/>
        <v>COM</v>
      </c>
      <c r="G1773" t="str">
        <f>"PENSE FARMA 22 (10198)"</f>
        <v>PENSE FARMA 22 (10198)</v>
      </c>
      <c r="H1773" t="s">
        <v>466</v>
      </c>
      <c r="I1773" t="str">
        <f t="shared" si="621"/>
        <v>18/02/2026</v>
      </c>
      <c r="J1773" t="str">
        <f t="shared" si="624"/>
        <v>17/02/2026</v>
      </c>
      <c r="K1773">
        <v>46072</v>
      </c>
      <c r="N1773">
        <v>303</v>
      </c>
      <c r="O1773" t="s">
        <v>26</v>
      </c>
      <c r="Q1773">
        <v>418.56</v>
      </c>
      <c r="R1773" t="str">
        <f>"PENSE FARMA 22 (10198)"</f>
        <v>PENSE FARMA 22 (10198)</v>
      </c>
      <c r="S1773" t="s">
        <v>27</v>
      </c>
      <c r="T1773">
        <v>4354</v>
      </c>
      <c r="U1773">
        <v>3813</v>
      </c>
      <c r="V1773" t="s">
        <v>88</v>
      </c>
    </row>
    <row r="1774" spans="1:22">
      <c r="A1774" t="str">
        <f t="shared" si="616"/>
        <v>19/02/2026</v>
      </c>
      <c r="B1774" t="str">
        <f t="shared" si="617"/>
        <v>ENTRADA</v>
      </c>
      <c r="C1774" t="str">
        <f>"APLICACAO"</f>
        <v>APLICACAO</v>
      </c>
      <c r="D1774" t="str">
        <f>""</f>
        <v/>
      </c>
      <c r="F1774" t="str">
        <f>"APL"</f>
        <v>APL</v>
      </c>
      <c r="G1774" t="str">
        <f>""</f>
        <v/>
      </c>
      <c r="H1774" t="str">
        <f>"APLICAÇÃO FINANCEIRA SICREDI"</f>
        <v>APLICAÇÃO FINANCEIRA SICREDI</v>
      </c>
      <c r="I1774" t="str">
        <f t="shared" ref="I1774:K1776" si="625">("19/02/2026")</f>
        <v>19/02/2026</v>
      </c>
      <c r="J1774" t="str">
        <f t="shared" si="625"/>
        <v>19/02/2026</v>
      </c>
      <c r="K1774" t="str">
        <f t="shared" si="625"/>
        <v>19/02/2026</v>
      </c>
      <c r="N1774">
        <v>121</v>
      </c>
      <c r="O1774" t="str">
        <f>"APLICAÇÃO BANCO A"</f>
        <v>APLICAÇÃO BANCO A</v>
      </c>
      <c r="P1774">
        <v>38000</v>
      </c>
      <c r="S1774" t="str">
        <f>"APLICAÇÃO BANCO A (121)"</f>
        <v>APLICAÇÃO BANCO A (121)</v>
      </c>
      <c r="T1774">
        <v>4378</v>
      </c>
      <c r="U1774">
        <v>0</v>
      </c>
      <c r="V1774" t="s">
        <v>200</v>
      </c>
    </row>
    <row r="1775" spans="1:22">
      <c r="A1775" t="str">
        <f t="shared" si="616"/>
        <v>19/02/2026</v>
      </c>
      <c r="B1775" t="str">
        <f t="shared" ref="B1775:B1784" si="626">"SAÍDA"</f>
        <v>SAÍDA</v>
      </c>
      <c r="C1775" t="str">
        <f>"APLICACAO"</f>
        <v>APLICACAO</v>
      </c>
      <c r="D1775" t="str">
        <f>""</f>
        <v/>
      </c>
      <c r="F1775" t="str">
        <f>"APL"</f>
        <v>APL</v>
      </c>
      <c r="G1775" t="str">
        <f>""</f>
        <v/>
      </c>
      <c r="H1775" t="str">
        <f>"APLICAÇÃO FINANCEIRA SICREDI"</f>
        <v>APLICAÇÃO FINANCEIRA SICREDI</v>
      </c>
      <c r="I1775" t="str">
        <f t="shared" si="625"/>
        <v>19/02/2026</v>
      </c>
      <c r="J1775" t="str">
        <f t="shared" si="625"/>
        <v>19/02/2026</v>
      </c>
      <c r="K1775" t="str">
        <f t="shared" si="625"/>
        <v>19/02/2026</v>
      </c>
      <c r="N1775">
        <v>131</v>
      </c>
      <c r="O1775" t="str">
        <f>"BANCO SICREDI"</f>
        <v>BANCO SICREDI</v>
      </c>
      <c r="S1775" t="str">
        <f>"BANCO SICREDI (131)"</f>
        <v>BANCO SICREDI (131)</v>
      </c>
      <c r="T1775">
        <v>4378</v>
      </c>
      <c r="U1775">
        <v>0</v>
      </c>
      <c r="V1775" t="s">
        <v>88</v>
      </c>
    </row>
    <row r="1776" spans="1:22">
      <c r="A1776" t="str">
        <f t="shared" si="616"/>
        <v>19/02/2026</v>
      </c>
      <c r="B1776" t="str">
        <f t="shared" si="626"/>
        <v>SAÍDA</v>
      </c>
      <c r="C1776" t="str">
        <f>"PIX"</f>
        <v>PIX</v>
      </c>
      <c r="D1776" t="str">
        <f>"1902"</f>
        <v>1902</v>
      </c>
      <c r="E1776" t="str">
        <f>"26"</f>
        <v>26</v>
      </c>
      <c r="F1776" t="str">
        <f t="shared" ref="F1776:F1783" si="627">"COM"</f>
        <v>COM</v>
      </c>
      <c r="G1776" t="str">
        <f>"BOOKING.COM BRASIL SERVICOS DE RESERVA DE HOTEIS LTDA. (20084)"</f>
        <v>BOOKING.COM BRASIL SERVICOS DE RESERVA DE HOTEIS LTDA. (20084)</v>
      </c>
      <c r="H1776" t="str">
        <f>"LOCAÇÃO AIRBNB PARA FEIRA EM SAO PAULO"</f>
        <v>LOCAÇÃO AIRBNB PARA FEIRA EM SAO PAULO</v>
      </c>
      <c r="I1776" t="str">
        <f t="shared" si="625"/>
        <v>19/02/2026</v>
      </c>
      <c r="J1776" t="str">
        <f t="shared" si="625"/>
        <v>19/02/2026</v>
      </c>
      <c r="K1776" t="str">
        <f t="shared" si="625"/>
        <v>19/02/2026</v>
      </c>
      <c r="L1776">
        <v>2086</v>
      </c>
      <c r="M1776">
        <v>2086</v>
      </c>
      <c r="N1776">
        <v>128</v>
      </c>
      <c r="O1776" t="str">
        <f>"DESPESAS COM VIAGENS"</f>
        <v>DESPESAS COM VIAGENS</v>
      </c>
      <c r="P1776">
        <v>2086</v>
      </c>
      <c r="S1776" t="str">
        <f>"BANCO CORA (102)"</f>
        <v>BANCO CORA (102)</v>
      </c>
      <c r="T1776">
        <v>4380</v>
      </c>
      <c r="U1776">
        <v>3847</v>
      </c>
      <c r="V1776" t="s">
        <v>22</v>
      </c>
    </row>
    <row r="1777" spans="1:22">
      <c r="A1777" t="str">
        <f t="shared" si="616"/>
        <v>19/02/2026</v>
      </c>
      <c r="B1777" t="str">
        <f t="shared" si="626"/>
        <v>SAÍDA</v>
      </c>
      <c r="C1777" t="str">
        <f>"PIX"</f>
        <v>PIX</v>
      </c>
      <c r="D1777" t="str">
        <f>"1902"</f>
        <v>1902</v>
      </c>
      <c r="E1777" t="str">
        <f>"26"</f>
        <v>26</v>
      </c>
      <c r="F1777" t="str">
        <f t="shared" si="627"/>
        <v>COM</v>
      </c>
      <c r="G1777" t="str">
        <f>"BOOKING.COM BRASIL SERVICOS DE RESERVA DE HOTEIS LTDA. (20084)"</f>
        <v>BOOKING.COM BRASIL SERVICOS DE RESERVA DE HOTEIS LTDA. (20084)</v>
      </c>
      <c r="H1777" t="s">
        <v>467</v>
      </c>
      <c r="I1777" t="str">
        <f>("19/02/2026")</f>
        <v>19/02/2026</v>
      </c>
      <c r="J1777" t="str">
        <f>("19/02/2026")</f>
        <v>19/02/2026</v>
      </c>
      <c r="K1777">
        <v>46072</v>
      </c>
      <c r="N1777">
        <v>128</v>
      </c>
      <c r="O1777" t="s">
        <v>60</v>
      </c>
      <c r="Q1777">
        <v>2086</v>
      </c>
      <c r="R1777" t="str">
        <f>"BOOKING.COM BRASIL SERVICOS DE RESERVA DE HOTEIS LTDA. (20084)"</f>
        <v>BOOKING.COM BRASIL SERVICOS DE RESERVA DE HOTEIS LTDA. (20084)</v>
      </c>
      <c r="S1777" t="s">
        <v>22</v>
      </c>
      <c r="T1777">
        <v>4380</v>
      </c>
      <c r="U1777">
        <v>3847</v>
      </c>
      <c r="V1777" t="s">
        <v>22</v>
      </c>
    </row>
    <row r="1778" spans="1:22">
      <c r="A1778" t="str">
        <f t="shared" ref="A1778:A1809" si="628">("20/02/2026")</f>
        <v>20/02/2026</v>
      </c>
      <c r="B1778" t="str">
        <f t="shared" si="626"/>
        <v>SAÍDA</v>
      </c>
      <c r="C1778" t="str">
        <f>"BOLETO"</f>
        <v>BOLETO</v>
      </c>
      <c r="D1778" t="str">
        <f>"0000013463"</f>
        <v>0000013463</v>
      </c>
      <c r="E1778" t="str">
        <f>"2"</f>
        <v>2</v>
      </c>
      <c r="F1778" t="str">
        <f t="shared" si="627"/>
        <v>COM</v>
      </c>
      <c r="G1778" t="str">
        <f>"SOLIDES TECNOLOGIA SA (20114)"</f>
        <v>SOLIDES TECNOLOGIA SA (20114)</v>
      </c>
      <c r="H1778" t="str">
        <f>"PLATAFORMA DE RECRUTAMENTO"</f>
        <v>PLATAFORMA DE RECRUTAMENTO</v>
      </c>
      <c r="I1778" t="str">
        <f t="shared" ref="I1778:I1784" si="629">("20/02/2026")</f>
        <v>20/02/2026</v>
      </c>
      <c r="J1778" t="str">
        <f>("11/02/2026")</f>
        <v>11/02/2026</v>
      </c>
      <c r="K1778" t="str">
        <f>("20/02/2026")</f>
        <v>20/02/2026</v>
      </c>
      <c r="L1778">
        <v>430</v>
      </c>
      <c r="M1778">
        <v>430</v>
      </c>
      <c r="N1778">
        <v>104</v>
      </c>
      <c r="O1778" t="str">
        <f>"SOFTWARE / LICENÇAS"</f>
        <v>SOFTWARE / LICENÇAS</v>
      </c>
      <c r="P1778">
        <v>430</v>
      </c>
      <c r="S1778" t="str">
        <f>"BANCO CORA (102)"</f>
        <v>BANCO CORA (102)</v>
      </c>
      <c r="T1778">
        <v>4213</v>
      </c>
      <c r="U1778">
        <v>3306</v>
      </c>
      <c r="V1778" t="s">
        <v>22</v>
      </c>
    </row>
    <row r="1779" spans="1:22">
      <c r="A1779" t="str">
        <f t="shared" si="628"/>
        <v>20/02/2026</v>
      </c>
      <c r="B1779" t="str">
        <f t="shared" si="626"/>
        <v>SAÍDA</v>
      </c>
      <c r="C1779" t="str">
        <f>"BOLETO"</f>
        <v>BOLETO</v>
      </c>
      <c r="D1779" t="str">
        <f>"0000013463"</f>
        <v>0000013463</v>
      </c>
      <c r="E1779" t="str">
        <f>"2"</f>
        <v>2</v>
      </c>
      <c r="F1779" t="str">
        <f t="shared" si="627"/>
        <v>COM</v>
      </c>
      <c r="G1779" t="str">
        <f>"SOLIDES TECNOLOGIA SA (20114)"</f>
        <v>SOLIDES TECNOLOGIA SA (20114)</v>
      </c>
      <c r="H1779" t="s">
        <v>144</v>
      </c>
      <c r="I1779" t="str">
        <f t="shared" si="629"/>
        <v>20/02/2026</v>
      </c>
      <c r="J1779" t="str">
        <f>("11/02/2026")</f>
        <v>11/02/2026</v>
      </c>
      <c r="K1779">
        <v>46073</v>
      </c>
      <c r="N1779">
        <v>104</v>
      </c>
      <c r="O1779" t="s">
        <v>145</v>
      </c>
      <c r="Q1779">
        <v>430</v>
      </c>
      <c r="R1779" t="str">
        <f>"SOLIDES TECNOLOGIA SA (20114)"</f>
        <v>SOLIDES TECNOLOGIA SA (20114)</v>
      </c>
      <c r="S1779" t="s">
        <v>22</v>
      </c>
      <c r="T1779">
        <v>4213</v>
      </c>
      <c r="U1779">
        <v>3306</v>
      </c>
      <c r="V1779" t="s">
        <v>22</v>
      </c>
    </row>
    <row r="1780" spans="1:22">
      <c r="A1780" t="str">
        <f t="shared" si="628"/>
        <v>20/02/2026</v>
      </c>
      <c r="B1780" t="str">
        <f t="shared" si="626"/>
        <v>SAÍDA</v>
      </c>
      <c r="C1780" t="str">
        <f>"BOLETO"</f>
        <v>BOLETO</v>
      </c>
      <c r="D1780" t="str">
        <f>"071625352681731"</f>
        <v>071625352681731</v>
      </c>
      <c r="E1780" t="str">
        <f>"2"</f>
        <v>2</v>
      </c>
      <c r="F1780" t="str">
        <f t="shared" si="627"/>
        <v>COM</v>
      </c>
      <c r="G1780" t="str">
        <f>"MINISTERIO DA FAZENDA (20009)"</f>
        <v>MINISTERIO DA FAZENDA (20009)</v>
      </c>
      <c r="H1780" t="str">
        <f>"INSS SOBRE PROLABORE"</f>
        <v>INSS SOBRE PROLABORE</v>
      </c>
      <c r="I1780" t="str">
        <f t="shared" si="629"/>
        <v>20/02/2026</v>
      </c>
      <c r="J1780" t="str">
        <f>("02/01/2026")</f>
        <v>02/01/2026</v>
      </c>
      <c r="K1780" t="str">
        <f>("20/02/2026")</f>
        <v>20/02/2026</v>
      </c>
      <c r="L1780">
        <v>356.62</v>
      </c>
      <c r="M1780">
        <v>356.62</v>
      </c>
      <c r="N1780">
        <v>112</v>
      </c>
      <c r="O1780" t="str">
        <f>"INSS - PRO-LABORE"</f>
        <v>INSS - PRO-LABORE</v>
      </c>
      <c r="P1780">
        <v>356.62</v>
      </c>
      <c r="S1780" t="str">
        <f>"BANCO CORA (102)"</f>
        <v>BANCO CORA (102)</v>
      </c>
      <c r="T1780">
        <v>4214</v>
      </c>
      <c r="U1780">
        <v>3526</v>
      </c>
      <c r="V1780" t="s">
        <v>22</v>
      </c>
    </row>
    <row r="1781" spans="1:22">
      <c r="A1781" t="str">
        <f t="shared" si="628"/>
        <v>20/02/2026</v>
      </c>
      <c r="B1781" t="str">
        <f t="shared" si="626"/>
        <v>SAÍDA</v>
      </c>
      <c r="C1781" t="str">
        <f>"BOLETO"</f>
        <v>BOLETO</v>
      </c>
      <c r="D1781" t="str">
        <f>"071625352681731"</f>
        <v>071625352681731</v>
      </c>
      <c r="E1781" t="str">
        <f>"2"</f>
        <v>2</v>
      </c>
      <c r="F1781" t="str">
        <f t="shared" si="627"/>
        <v>COM</v>
      </c>
      <c r="G1781" t="str">
        <f>"MINISTERIO DA FAZENDA (20009)"</f>
        <v>MINISTERIO DA FAZENDA (20009)</v>
      </c>
      <c r="H1781" t="s">
        <v>205</v>
      </c>
      <c r="I1781" t="str">
        <f t="shared" si="629"/>
        <v>20/02/2026</v>
      </c>
      <c r="J1781" t="str">
        <f>("02/01/2026")</f>
        <v>02/01/2026</v>
      </c>
      <c r="K1781">
        <v>46073</v>
      </c>
      <c r="N1781">
        <v>112</v>
      </c>
      <c r="O1781" t="s">
        <v>206</v>
      </c>
      <c r="Q1781">
        <v>356.62</v>
      </c>
      <c r="R1781" t="str">
        <f>"MINISTERIO DA FAZENDA (20009)"</f>
        <v>MINISTERIO DA FAZENDA (20009)</v>
      </c>
      <c r="S1781" t="s">
        <v>22</v>
      </c>
      <c r="T1781">
        <v>4214</v>
      </c>
      <c r="U1781">
        <v>3526</v>
      </c>
      <c r="V1781" t="s">
        <v>22</v>
      </c>
    </row>
    <row r="1782" spans="1:22">
      <c r="A1782" t="str">
        <f t="shared" si="628"/>
        <v>20/02/2026</v>
      </c>
      <c r="B1782" t="str">
        <f t="shared" si="626"/>
        <v>SAÍDA</v>
      </c>
      <c r="C1782" t="str">
        <f>"BOLETO"</f>
        <v>BOLETO</v>
      </c>
      <c r="D1782" t="str">
        <f>"256"</f>
        <v>256</v>
      </c>
      <c r="E1782" t="str">
        <f>"1"</f>
        <v>1</v>
      </c>
      <c r="F1782" t="str">
        <f t="shared" si="627"/>
        <v>COM</v>
      </c>
      <c r="G1782" t="str">
        <f>"ASSOCIACAO BRASILEIRA DE EVENTOS FARMACEUTICOS - FARMAT (20140)"</f>
        <v>ASSOCIACAO BRASILEIRA DE EVENTOS FARMACEUTICOS - FARMAT (20140)</v>
      </c>
      <c r="H1782" t="str">
        <f>"EVENTO FARMATRAND"</f>
        <v>EVENTO FARMATRAND</v>
      </c>
      <c r="I1782" t="str">
        <f t="shared" si="629"/>
        <v>20/02/2026</v>
      </c>
      <c r="J1782" t="str">
        <f>("18/02/2026")</f>
        <v>18/02/2026</v>
      </c>
      <c r="K1782" t="str">
        <f>("20/02/2026")</f>
        <v>20/02/2026</v>
      </c>
      <c r="L1782">
        <v>3750</v>
      </c>
      <c r="M1782">
        <v>3750</v>
      </c>
      <c r="N1782">
        <v>129</v>
      </c>
      <c r="O1782" t="str">
        <f>"DESPESAS COM EVENTOS"</f>
        <v>DESPESAS COM EVENTOS</v>
      </c>
      <c r="P1782">
        <v>3750</v>
      </c>
      <c r="S1782" t="str">
        <f>"BANCO CORA (102)"</f>
        <v>BANCO CORA (102)</v>
      </c>
      <c r="T1782">
        <v>4215</v>
      </c>
      <c r="U1782">
        <v>3819</v>
      </c>
      <c r="V1782" t="s">
        <v>22</v>
      </c>
    </row>
    <row r="1783" spans="1:22">
      <c r="A1783" t="str">
        <f t="shared" si="628"/>
        <v>20/02/2026</v>
      </c>
      <c r="B1783" t="str">
        <f t="shared" si="626"/>
        <v>SAÍDA</v>
      </c>
      <c r="C1783" t="str">
        <f>"PIX"</f>
        <v>PIX</v>
      </c>
      <c r="D1783" t="str">
        <f>"24"</f>
        <v>24</v>
      </c>
      <c r="E1783" t="str">
        <f>"1"</f>
        <v>1</v>
      </c>
      <c r="F1783" t="str">
        <f t="shared" si="627"/>
        <v>COM</v>
      </c>
      <c r="G1783" t="str">
        <f>"INFINITY BRASIL LTDA (20020)"</f>
        <v>INFINITY BRASIL LTDA (20020)</v>
      </c>
      <c r="H1783" t="str">
        <f>"SERVIDOR FLUX FARMA PERIODO DEZEMBRO/25"</f>
        <v>SERVIDOR FLUX FARMA PERIODO DEZEMBRO/25</v>
      </c>
      <c r="I1783" t="str">
        <f t="shared" si="629"/>
        <v>20/02/2026</v>
      </c>
      <c r="J1783" t="str">
        <f>("28/01/2026")</f>
        <v>28/01/2026</v>
      </c>
      <c r="K1783" t="str">
        <f>("20/02/2026")</f>
        <v>20/02/2026</v>
      </c>
      <c r="L1783">
        <v>579.36</v>
      </c>
      <c r="M1783">
        <v>579.36</v>
      </c>
      <c r="N1783">
        <v>104</v>
      </c>
      <c r="O1783" t="str">
        <f>"SOFTWARE / LICENÇAS"</f>
        <v>SOFTWARE / LICENÇAS</v>
      </c>
      <c r="P1783">
        <v>579.36</v>
      </c>
      <c r="S1783" t="str">
        <f>"BANCO CORA (102)"</f>
        <v>BANCO CORA (102)</v>
      </c>
      <c r="T1783">
        <v>4216</v>
      </c>
      <c r="U1783">
        <v>3826</v>
      </c>
      <c r="V1783" t="s">
        <v>22</v>
      </c>
    </row>
    <row r="1784" spans="1:22">
      <c r="A1784" t="str">
        <f t="shared" si="628"/>
        <v>20/02/2026</v>
      </c>
      <c r="B1784" t="str">
        <f t="shared" si="626"/>
        <v>SAÍDA</v>
      </c>
      <c r="C1784" t="str">
        <f>""</f>
        <v/>
      </c>
      <c r="D1784" t="str">
        <f>""</f>
        <v/>
      </c>
      <c r="F1784" t="str">
        <f>"CXA"</f>
        <v>CXA</v>
      </c>
      <c r="G1784" t="str">
        <f>""</f>
        <v/>
      </c>
      <c r="H1784" t="str">
        <f>"COMPRA DE 300 ECOBAG PARA FEIRA EM ABRADILAN"</f>
        <v>COMPRA DE 300 ECOBAG PARA FEIRA EM ABRADILAN</v>
      </c>
      <c r="I1784" t="str">
        <f t="shared" si="629"/>
        <v>20/02/2026</v>
      </c>
      <c r="J1784" t="str">
        <f>("20/02/2026")</f>
        <v>20/02/2026</v>
      </c>
      <c r="K1784" t="str">
        <f>("20/02/2026")</f>
        <v>20/02/2026</v>
      </c>
      <c r="L1784">
        <v>1967.82</v>
      </c>
      <c r="M1784">
        <v>1967.82</v>
      </c>
      <c r="N1784">
        <v>129</v>
      </c>
      <c r="O1784" t="str">
        <f>"DESPESAS COM EVENTOS"</f>
        <v>DESPESAS COM EVENTOS</v>
      </c>
      <c r="P1784">
        <v>1967.82</v>
      </c>
      <c r="S1784" t="str">
        <f>"BANCO CORA (102)"</f>
        <v>BANCO CORA (102)</v>
      </c>
      <c r="T1784">
        <v>4217</v>
      </c>
      <c r="U1784">
        <v>0</v>
      </c>
      <c r="V1784" t="s">
        <v>468</v>
      </c>
    </row>
    <row r="1785" spans="1:22">
      <c r="A1785" t="str">
        <f t="shared" si="628"/>
        <v>20/02/2026</v>
      </c>
      <c r="B1785" t="str">
        <f t="shared" ref="B1785:B1816" si="630">"ENTRADA"</f>
        <v>ENTRADA</v>
      </c>
      <c r="C1785" t="str">
        <f t="shared" ref="C1785:C1816" si="631">"NFSE"</f>
        <v>NFSE</v>
      </c>
      <c r="D1785" t="str">
        <f>"333"</f>
        <v>333</v>
      </c>
      <c r="E1785" t="str">
        <f t="shared" ref="E1785:E1816" si="632">"1"</f>
        <v>1</v>
      </c>
      <c r="F1785" t="str">
        <f t="shared" ref="F1785:F1816" si="633">"COM"</f>
        <v>COM</v>
      </c>
      <c r="G1785" t="str">
        <f>"DROGARIA POUPA MINAS (DOIS AMIGOS) 5 (10140)"</f>
        <v>DROGARIA POUPA MINAS (DOIS AMIGOS) 5 (10140)</v>
      </c>
      <c r="H1785" t="str">
        <f>"Serv.Prest. 09/02/2026 a 15/02/2026 - RPS: 2255 - NFSe: 333"</f>
        <v>Serv.Prest. 09/02/2026 a 15/02/2026 - RPS: 2255 - NFSe: 333</v>
      </c>
      <c r="I1785" t="str">
        <f>("19/02/2026")</f>
        <v>19/02/2026</v>
      </c>
      <c r="J1785" t="str">
        <f>("16/02/2026")</f>
        <v>16/02/2026</v>
      </c>
      <c r="K1785" t="str">
        <f>("20/02/2026")</f>
        <v>20/02/2026</v>
      </c>
      <c r="L1785">
        <v>791.01</v>
      </c>
      <c r="M1785">
        <v>791.01</v>
      </c>
      <c r="N1785">
        <v>303</v>
      </c>
      <c r="O1785" t="str">
        <f>"RECEITAS COM ENTREGAS"</f>
        <v>RECEITAS COM ENTREGAS</v>
      </c>
      <c r="P1785">
        <v>791.01</v>
      </c>
      <c r="S1785" t="str">
        <f>"RECEITAS COM ENTREGAS (303)"</f>
        <v>RECEITAS COM ENTREGAS (303)</v>
      </c>
      <c r="T1785">
        <v>4355</v>
      </c>
      <c r="U1785">
        <v>3784</v>
      </c>
      <c r="V1785" t="s">
        <v>88</v>
      </c>
    </row>
    <row r="1786" spans="1:22">
      <c r="A1786" t="str">
        <f t="shared" si="628"/>
        <v>20/02/2026</v>
      </c>
      <c r="B1786" t="str">
        <f t="shared" si="630"/>
        <v>ENTRADA</v>
      </c>
      <c r="C1786" t="str">
        <f t="shared" si="631"/>
        <v>NFSE</v>
      </c>
      <c r="D1786" t="str">
        <f>"333"</f>
        <v>333</v>
      </c>
      <c r="E1786" t="str">
        <f t="shared" si="632"/>
        <v>1</v>
      </c>
      <c r="F1786" t="str">
        <f t="shared" si="633"/>
        <v>COM</v>
      </c>
      <c r="G1786" t="str">
        <f>"DROGARIA POUPA MINAS (DOIS AMIGOS) 5 (10140)"</f>
        <v>DROGARIA POUPA MINAS (DOIS AMIGOS) 5 (10140)</v>
      </c>
      <c r="H1786" t="s">
        <v>469</v>
      </c>
      <c r="I1786" t="str">
        <f>("19/02/2026")</f>
        <v>19/02/2026</v>
      </c>
      <c r="J1786" t="str">
        <f>("16/02/2026")</f>
        <v>16/02/2026</v>
      </c>
      <c r="K1786">
        <v>46073</v>
      </c>
      <c r="N1786">
        <v>303</v>
      </c>
      <c r="O1786" t="s">
        <v>26</v>
      </c>
      <c r="Q1786">
        <v>791.01</v>
      </c>
      <c r="R1786" t="str">
        <f>"DROGARIA POUPA MINAS (ULTRAMINAS) 1 (10181)"</f>
        <v>DROGARIA POUPA MINAS (ULTRAMINAS) 1 (10181)</v>
      </c>
      <c r="S1786" t="s">
        <v>27</v>
      </c>
      <c r="T1786">
        <v>4355</v>
      </c>
      <c r="U1786">
        <v>3784</v>
      </c>
      <c r="V1786" t="s">
        <v>88</v>
      </c>
    </row>
    <row r="1787" spans="1:22">
      <c r="A1787" t="str">
        <f t="shared" si="628"/>
        <v>20/02/2026</v>
      </c>
      <c r="B1787" t="str">
        <f t="shared" si="630"/>
        <v>ENTRADA</v>
      </c>
      <c r="C1787" t="str">
        <f t="shared" si="631"/>
        <v>NFSE</v>
      </c>
      <c r="D1787" t="str">
        <f>"334"</f>
        <v>334</v>
      </c>
      <c r="E1787" t="str">
        <f t="shared" si="632"/>
        <v>1</v>
      </c>
      <c r="F1787" t="str">
        <f t="shared" si="633"/>
        <v>COM</v>
      </c>
      <c r="G1787" t="str">
        <f>"DROGARIA POUPA MINAS (ULTRAMINAS) 3 (10129)"</f>
        <v>DROGARIA POUPA MINAS (ULTRAMINAS) 3 (10129)</v>
      </c>
      <c r="H1787" t="str">
        <f>"Serv.Prest. 09/02/2026 a 15/02/2026 - RPS: 2256 - NFSe: 334"</f>
        <v>Serv.Prest. 09/02/2026 a 15/02/2026 - RPS: 2256 - NFSe: 334</v>
      </c>
      <c r="I1787" t="str">
        <f>("19/02/2026")</f>
        <v>19/02/2026</v>
      </c>
      <c r="J1787" t="str">
        <f>("16/02/2026")</f>
        <v>16/02/2026</v>
      </c>
      <c r="K1787" t="str">
        <f>("20/02/2026")</f>
        <v>20/02/2026</v>
      </c>
      <c r="L1787">
        <v>171.6</v>
      </c>
      <c r="M1787">
        <v>171.6</v>
      </c>
      <c r="N1787">
        <v>303</v>
      </c>
      <c r="O1787" t="str">
        <f>"RECEITAS COM ENTREGAS"</f>
        <v>RECEITAS COM ENTREGAS</v>
      </c>
      <c r="P1787">
        <v>171.6</v>
      </c>
      <c r="S1787" t="str">
        <f>"RECEITAS COM ENTREGAS (303)"</f>
        <v>RECEITAS COM ENTREGAS (303)</v>
      </c>
      <c r="T1787">
        <v>4356</v>
      </c>
      <c r="U1787">
        <v>3785</v>
      </c>
      <c r="V1787" t="s">
        <v>88</v>
      </c>
    </row>
    <row r="1788" spans="1:22">
      <c r="A1788" t="str">
        <f t="shared" si="628"/>
        <v>20/02/2026</v>
      </c>
      <c r="B1788" t="str">
        <f t="shared" si="630"/>
        <v>ENTRADA</v>
      </c>
      <c r="C1788" t="str">
        <f t="shared" si="631"/>
        <v>NFSE</v>
      </c>
      <c r="D1788" t="str">
        <f>"334"</f>
        <v>334</v>
      </c>
      <c r="E1788" t="str">
        <f t="shared" si="632"/>
        <v>1</v>
      </c>
      <c r="F1788" t="str">
        <f t="shared" si="633"/>
        <v>COM</v>
      </c>
      <c r="G1788" t="str">
        <f>"DROGARIA POUPA MINAS (ULTRAMINAS) 3 (10129)"</f>
        <v>DROGARIA POUPA MINAS (ULTRAMINAS) 3 (10129)</v>
      </c>
      <c r="H1788" t="s">
        <v>470</v>
      </c>
      <c r="I1788" t="str">
        <f>("19/02/2026")</f>
        <v>19/02/2026</v>
      </c>
      <c r="J1788" t="str">
        <f>("16/02/2026")</f>
        <v>16/02/2026</v>
      </c>
      <c r="K1788">
        <v>46073</v>
      </c>
      <c r="N1788">
        <v>303</v>
      </c>
      <c r="O1788" t="s">
        <v>26</v>
      </c>
      <c r="Q1788">
        <v>171.6</v>
      </c>
      <c r="R1788" t="str">
        <f>"DROGARIA POUPA MINAS (ULTRAMINAS) 3 (10129)"</f>
        <v>DROGARIA POUPA MINAS (ULTRAMINAS) 3 (10129)</v>
      </c>
      <c r="S1788" t="s">
        <v>27</v>
      </c>
      <c r="T1788">
        <v>4356</v>
      </c>
      <c r="U1788">
        <v>3785</v>
      </c>
      <c r="V1788" t="s">
        <v>88</v>
      </c>
    </row>
    <row r="1789" spans="1:22">
      <c r="A1789" t="str">
        <f t="shared" si="628"/>
        <v>20/02/2026</v>
      </c>
      <c r="B1789" t="str">
        <f t="shared" si="630"/>
        <v>ENTRADA</v>
      </c>
      <c r="C1789" t="str">
        <f t="shared" si="631"/>
        <v>NFSE</v>
      </c>
      <c r="D1789" t="str">
        <f t="shared" ref="D1789:D1820" si="634">"295"</f>
        <v>295</v>
      </c>
      <c r="E1789" t="str">
        <f t="shared" si="632"/>
        <v>1</v>
      </c>
      <c r="F1789" t="str">
        <f t="shared" si="633"/>
        <v>COM</v>
      </c>
      <c r="G1789" t="str">
        <f t="shared" ref="G1789:G1820" si="635">"FARMÁCIA INDIANA LJ 1 (10126)"</f>
        <v>FARMÁCIA INDIANA LJ 1 (10126)</v>
      </c>
      <c r="H1789" t="str">
        <f>"Serv.Prest. 02/02/2026 a 08/02/2026 - RPS: 2217 - NFSe: 295"</f>
        <v>Serv.Prest. 02/02/2026 a 08/02/2026 - RPS: 2217 - NFSe: 295</v>
      </c>
      <c r="I1789" t="str">
        <f t="shared" ref="I1789:I1820" si="636">("18/02/2026")</f>
        <v>18/02/2026</v>
      </c>
      <c r="J1789" t="str">
        <f t="shared" ref="J1789:J1820" si="637">("10/02/2026")</f>
        <v>10/02/2026</v>
      </c>
      <c r="K1789" t="str">
        <f>("20/02/2026")</f>
        <v>20/02/2026</v>
      </c>
      <c r="L1789">
        <v>13727.82</v>
      </c>
      <c r="M1789">
        <v>13727.82</v>
      </c>
      <c r="N1789">
        <v>303</v>
      </c>
      <c r="O1789" t="str">
        <f>"RECEITAS COM ENTREGAS"</f>
        <v>RECEITAS COM ENTREGAS</v>
      </c>
      <c r="P1789">
        <v>13727.82</v>
      </c>
      <c r="S1789" t="str">
        <f>"RECEITAS COM ENTREGAS (303)"</f>
        <v>RECEITAS COM ENTREGAS (303)</v>
      </c>
      <c r="T1789">
        <v>4373</v>
      </c>
      <c r="U1789">
        <v>3712</v>
      </c>
      <c r="V1789" t="s">
        <v>22</v>
      </c>
    </row>
    <row r="1790" spans="1:22">
      <c r="A1790" t="str">
        <f t="shared" si="628"/>
        <v>20/02/2026</v>
      </c>
      <c r="B1790" t="str">
        <f t="shared" si="630"/>
        <v>ENTRADA</v>
      </c>
      <c r="C1790" t="str">
        <f t="shared" si="631"/>
        <v>NFSE</v>
      </c>
      <c r="D1790" t="str">
        <f t="shared" si="634"/>
        <v>295</v>
      </c>
      <c r="E1790" t="str">
        <f t="shared" si="632"/>
        <v>1</v>
      </c>
      <c r="F1790" t="str">
        <f t="shared" si="633"/>
        <v>COM</v>
      </c>
      <c r="G1790" t="str">
        <f t="shared" si="635"/>
        <v>FARMÁCIA INDIANA LJ 1 (10126)</v>
      </c>
      <c r="H1790" t="s">
        <v>471</v>
      </c>
      <c r="I1790" t="str">
        <f t="shared" si="636"/>
        <v>18/02/2026</v>
      </c>
      <c r="J1790" t="str">
        <f t="shared" si="637"/>
        <v>10/02/2026</v>
      </c>
      <c r="K1790">
        <v>46073</v>
      </c>
      <c r="N1790">
        <v>303</v>
      </c>
      <c r="O1790" t="s">
        <v>26</v>
      </c>
      <c r="Q1790">
        <v>1998.76</v>
      </c>
      <c r="R1790" t="str">
        <f>"FARMÁCIA INDIANA LJ 06 (10006)"</f>
        <v>FARMÁCIA INDIANA LJ 06 (10006)</v>
      </c>
      <c r="S1790" t="s">
        <v>27</v>
      </c>
      <c r="T1790">
        <v>4373</v>
      </c>
      <c r="U1790">
        <v>3712</v>
      </c>
      <c r="V1790" t="s">
        <v>22</v>
      </c>
    </row>
    <row r="1791" spans="1:22">
      <c r="A1791" t="str">
        <f t="shared" si="628"/>
        <v>20/02/2026</v>
      </c>
      <c r="B1791" t="str">
        <f t="shared" si="630"/>
        <v>ENTRADA</v>
      </c>
      <c r="C1791" t="str">
        <f t="shared" si="631"/>
        <v>NFSE</v>
      </c>
      <c r="D1791" t="str">
        <f t="shared" si="634"/>
        <v>295</v>
      </c>
      <c r="E1791" t="str">
        <f t="shared" si="632"/>
        <v>1</v>
      </c>
      <c r="F1791" t="str">
        <f t="shared" si="633"/>
        <v>COM</v>
      </c>
      <c r="G1791" t="str">
        <f t="shared" si="635"/>
        <v>FARMÁCIA INDIANA LJ 1 (10126)</v>
      </c>
      <c r="H1791" t="s">
        <v>471</v>
      </c>
      <c r="I1791" t="str">
        <f t="shared" si="636"/>
        <v>18/02/2026</v>
      </c>
      <c r="J1791" t="str">
        <f t="shared" si="637"/>
        <v>10/02/2026</v>
      </c>
      <c r="K1791">
        <v>46073</v>
      </c>
      <c r="N1791">
        <v>303</v>
      </c>
      <c r="O1791" t="s">
        <v>26</v>
      </c>
      <c r="Q1791">
        <v>1311.01</v>
      </c>
      <c r="R1791" t="str">
        <f>"FARMÁCIA INDIANA LJ 07 (10007)"</f>
        <v>FARMÁCIA INDIANA LJ 07 (10007)</v>
      </c>
      <c r="S1791" t="s">
        <v>27</v>
      </c>
      <c r="T1791">
        <v>4373</v>
      </c>
      <c r="U1791">
        <v>3712</v>
      </c>
      <c r="V1791" t="s">
        <v>22</v>
      </c>
    </row>
    <row r="1792" spans="1:22">
      <c r="A1792" t="str">
        <f t="shared" si="628"/>
        <v>20/02/2026</v>
      </c>
      <c r="B1792" t="str">
        <f t="shared" si="630"/>
        <v>ENTRADA</v>
      </c>
      <c r="C1792" t="str">
        <f t="shared" si="631"/>
        <v>NFSE</v>
      </c>
      <c r="D1792" t="str">
        <f t="shared" si="634"/>
        <v>295</v>
      </c>
      <c r="E1792" t="str">
        <f t="shared" si="632"/>
        <v>1</v>
      </c>
      <c r="F1792" t="str">
        <f t="shared" si="633"/>
        <v>COM</v>
      </c>
      <c r="G1792" t="str">
        <f t="shared" si="635"/>
        <v>FARMÁCIA INDIANA LJ 1 (10126)</v>
      </c>
      <c r="H1792" t="s">
        <v>471</v>
      </c>
      <c r="I1792" t="str">
        <f t="shared" si="636"/>
        <v>18/02/2026</v>
      </c>
      <c r="J1792" t="str">
        <f t="shared" si="637"/>
        <v>10/02/2026</v>
      </c>
      <c r="K1792">
        <v>46073</v>
      </c>
      <c r="N1792">
        <v>303</v>
      </c>
      <c r="O1792" t="s">
        <v>26</v>
      </c>
      <c r="Q1792">
        <v>1192.95</v>
      </c>
      <c r="R1792" t="str">
        <f>"FARMÁCIA INDIANA LJ 11 (10008)"</f>
        <v>FARMÁCIA INDIANA LJ 11 (10008)</v>
      </c>
      <c r="S1792" t="s">
        <v>27</v>
      </c>
      <c r="T1792">
        <v>4373</v>
      </c>
      <c r="U1792">
        <v>3712</v>
      </c>
      <c r="V1792" t="s">
        <v>22</v>
      </c>
    </row>
    <row r="1793" spans="1:22">
      <c r="A1793" t="str">
        <f t="shared" si="628"/>
        <v>20/02/2026</v>
      </c>
      <c r="B1793" t="str">
        <f t="shared" si="630"/>
        <v>ENTRADA</v>
      </c>
      <c r="C1793" t="str">
        <f t="shared" si="631"/>
        <v>NFSE</v>
      </c>
      <c r="D1793" t="str">
        <f t="shared" si="634"/>
        <v>295</v>
      </c>
      <c r="E1793" t="str">
        <f t="shared" si="632"/>
        <v>1</v>
      </c>
      <c r="F1793" t="str">
        <f t="shared" si="633"/>
        <v>COM</v>
      </c>
      <c r="G1793" t="str">
        <f t="shared" si="635"/>
        <v>FARMÁCIA INDIANA LJ 1 (10126)</v>
      </c>
      <c r="H1793" t="s">
        <v>471</v>
      </c>
      <c r="I1793" t="str">
        <f t="shared" si="636"/>
        <v>18/02/2026</v>
      </c>
      <c r="J1793" t="str">
        <f t="shared" si="637"/>
        <v>10/02/2026</v>
      </c>
      <c r="K1793">
        <v>46073</v>
      </c>
      <c r="N1793">
        <v>303</v>
      </c>
      <c r="O1793" t="s">
        <v>26</v>
      </c>
      <c r="Q1793">
        <v>433.8</v>
      </c>
      <c r="R1793" t="str">
        <f>"FARMÁCIA INDIANA LJ 14 (10009)"</f>
        <v>FARMÁCIA INDIANA LJ 14 (10009)</v>
      </c>
      <c r="S1793" t="s">
        <v>27</v>
      </c>
      <c r="T1793">
        <v>4373</v>
      </c>
      <c r="U1793">
        <v>3712</v>
      </c>
      <c r="V1793" t="s">
        <v>22</v>
      </c>
    </row>
    <row r="1794" spans="1:22">
      <c r="A1794" t="str">
        <f t="shared" si="628"/>
        <v>20/02/2026</v>
      </c>
      <c r="B1794" t="str">
        <f t="shared" si="630"/>
        <v>ENTRADA</v>
      </c>
      <c r="C1794" t="str">
        <f t="shared" si="631"/>
        <v>NFSE</v>
      </c>
      <c r="D1794" t="str">
        <f t="shared" si="634"/>
        <v>295</v>
      </c>
      <c r="E1794" t="str">
        <f t="shared" si="632"/>
        <v>1</v>
      </c>
      <c r="F1794" t="str">
        <f t="shared" si="633"/>
        <v>COM</v>
      </c>
      <c r="G1794" t="str">
        <f t="shared" si="635"/>
        <v>FARMÁCIA INDIANA LJ 1 (10126)</v>
      </c>
      <c r="H1794" t="s">
        <v>471</v>
      </c>
      <c r="I1794" t="str">
        <f t="shared" si="636"/>
        <v>18/02/2026</v>
      </c>
      <c r="J1794" t="str">
        <f t="shared" si="637"/>
        <v>10/02/2026</v>
      </c>
      <c r="K1794">
        <v>46073</v>
      </c>
      <c r="N1794">
        <v>303</v>
      </c>
      <c r="O1794" t="s">
        <v>26</v>
      </c>
      <c r="Q1794">
        <v>278.67</v>
      </c>
      <c r="R1794" t="str">
        <f>"FARMÁCIA INDIANA LJ 18 (10011)"</f>
        <v>FARMÁCIA INDIANA LJ 18 (10011)</v>
      </c>
      <c r="S1794" t="s">
        <v>27</v>
      </c>
      <c r="T1794">
        <v>4373</v>
      </c>
      <c r="U1794">
        <v>3712</v>
      </c>
      <c r="V1794" t="s">
        <v>22</v>
      </c>
    </row>
    <row r="1795" spans="1:22">
      <c r="A1795" t="str">
        <f t="shared" si="628"/>
        <v>20/02/2026</v>
      </c>
      <c r="B1795" t="str">
        <f t="shared" si="630"/>
        <v>ENTRADA</v>
      </c>
      <c r="C1795" t="str">
        <f t="shared" si="631"/>
        <v>NFSE</v>
      </c>
      <c r="D1795" t="str">
        <f t="shared" si="634"/>
        <v>295</v>
      </c>
      <c r="E1795" t="str">
        <f t="shared" si="632"/>
        <v>1</v>
      </c>
      <c r="F1795" t="str">
        <f t="shared" si="633"/>
        <v>COM</v>
      </c>
      <c r="G1795" t="str">
        <f t="shared" si="635"/>
        <v>FARMÁCIA INDIANA LJ 1 (10126)</v>
      </c>
      <c r="H1795" t="s">
        <v>471</v>
      </c>
      <c r="I1795" t="str">
        <f t="shared" si="636"/>
        <v>18/02/2026</v>
      </c>
      <c r="J1795" t="str">
        <f t="shared" si="637"/>
        <v>10/02/2026</v>
      </c>
      <c r="K1795">
        <v>46073</v>
      </c>
      <c r="N1795">
        <v>303</v>
      </c>
      <c r="O1795" t="s">
        <v>26</v>
      </c>
      <c r="Q1795">
        <v>362.41</v>
      </c>
      <c r="R1795" t="str">
        <f>"FARMÁCIA INDIANA LJ 19 (10012)"</f>
        <v>FARMÁCIA INDIANA LJ 19 (10012)</v>
      </c>
      <c r="S1795" t="s">
        <v>27</v>
      </c>
      <c r="T1795">
        <v>4373</v>
      </c>
      <c r="U1795">
        <v>3712</v>
      </c>
      <c r="V1795" t="s">
        <v>22</v>
      </c>
    </row>
    <row r="1796" spans="1:22">
      <c r="A1796" t="str">
        <f t="shared" si="628"/>
        <v>20/02/2026</v>
      </c>
      <c r="B1796" t="str">
        <f t="shared" si="630"/>
        <v>ENTRADA</v>
      </c>
      <c r="C1796" t="str">
        <f t="shared" si="631"/>
        <v>NFSE</v>
      </c>
      <c r="D1796" t="str">
        <f t="shared" si="634"/>
        <v>295</v>
      </c>
      <c r="E1796" t="str">
        <f t="shared" si="632"/>
        <v>1</v>
      </c>
      <c r="F1796" t="str">
        <f t="shared" si="633"/>
        <v>COM</v>
      </c>
      <c r="G1796" t="str">
        <f t="shared" si="635"/>
        <v>FARMÁCIA INDIANA LJ 1 (10126)</v>
      </c>
      <c r="H1796" t="s">
        <v>471</v>
      </c>
      <c r="I1796" t="str">
        <f t="shared" si="636"/>
        <v>18/02/2026</v>
      </c>
      <c r="J1796" t="str">
        <f t="shared" si="637"/>
        <v>10/02/2026</v>
      </c>
      <c r="K1796">
        <v>46073</v>
      </c>
      <c r="N1796">
        <v>303</v>
      </c>
      <c r="O1796" t="s">
        <v>26</v>
      </c>
      <c r="Q1796">
        <v>502.44</v>
      </c>
      <c r="R1796" t="str">
        <f>"FARMÁCIA INDIANA LJ 40 (10016)"</f>
        <v>FARMÁCIA INDIANA LJ 40 (10016)</v>
      </c>
      <c r="S1796" t="s">
        <v>27</v>
      </c>
      <c r="T1796">
        <v>4373</v>
      </c>
      <c r="U1796">
        <v>3712</v>
      </c>
      <c r="V1796" t="s">
        <v>22</v>
      </c>
    </row>
    <row r="1797" spans="1:22">
      <c r="A1797" t="str">
        <f t="shared" si="628"/>
        <v>20/02/2026</v>
      </c>
      <c r="B1797" t="str">
        <f t="shared" si="630"/>
        <v>ENTRADA</v>
      </c>
      <c r="C1797" t="str">
        <f t="shared" si="631"/>
        <v>NFSE</v>
      </c>
      <c r="D1797" t="str">
        <f t="shared" si="634"/>
        <v>295</v>
      </c>
      <c r="E1797" t="str">
        <f t="shared" si="632"/>
        <v>1</v>
      </c>
      <c r="F1797" t="str">
        <f t="shared" si="633"/>
        <v>COM</v>
      </c>
      <c r="G1797" t="str">
        <f t="shared" si="635"/>
        <v>FARMÁCIA INDIANA LJ 1 (10126)</v>
      </c>
      <c r="H1797" t="s">
        <v>471</v>
      </c>
      <c r="I1797" t="str">
        <f t="shared" si="636"/>
        <v>18/02/2026</v>
      </c>
      <c r="J1797" t="str">
        <f t="shared" si="637"/>
        <v>10/02/2026</v>
      </c>
      <c r="K1797">
        <v>46073</v>
      </c>
      <c r="N1797">
        <v>303</v>
      </c>
      <c r="O1797" t="s">
        <v>26</v>
      </c>
      <c r="Q1797">
        <v>207.29</v>
      </c>
      <c r="R1797" t="str">
        <f>"FARMÁCIA INDIANA LJ 59 (10026)"</f>
        <v>FARMÁCIA INDIANA LJ 59 (10026)</v>
      </c>
      <c r="S1797" t="s">
        <v>27</v>
      </c>
      <c r="T1797">
        <v>4373</v>
      </c>
      <c r="U1797">
        <v>3712</v>
      </c>
      <c r="V1797" t="s">
        <v>22</v>
      </c>
    </row>
    <row r="1798" spans="1:22">
      <c r="A1798" t="str">
        <f t="shared" si="628"/>
        <v>20/02/2026</v>
      </c>
      <c r="B1798" t="str">
        <f t="shared" si="630"/>
        <v>ENTRADA</v>
      </c>
      <c r="C1798" t="str">
        <f t="shared" si="631"/>
        <v>NFSE</v>
      </c>
      <c r="D1798" t="str">
        <f t="shared" si="634"/>
        <v>295</v>
      </c>
      <c r="E1798" t="str">
        <f t="shared" si="632"/>
        <v>1</v>
      </c>
      <c r="F1798" t="str">
        <f t="shared" si="633"/>
        <v>COM</v>
      </c>
      <c r="G1798" t="str">
        <f t="shared" si="635"/>
        <v>FARMÁCIA INDIANA LJ 1 (10126)</v>
      </c>
      <c r="H1798" t="s">
        <v>471</v>
      </c>
      <c r="I1798" t="str">
        <f t="shared" si="636"/>
        <v>18/02/2026</v>
      </c>
      <c r="J1798" t="str">
        <f t="shared" si="637"/>
        <v>10/02/2026</v>
      </c>
      <c r="K1798">
        <v>46073</v>
      </c>
      <c r="N1798">
        <v>303</v>
      </c>
      <c r="O1798" t="s">
        <v>26</v>
      </c>
      <c r="Q1798">
        <v>534.01</v>
      </c>
      <c r="R1798" t="str">
        <f>"FARMÁCIA INDIANA LJ 61 (10027)"</f>
        <v>FARMÁCIA INDIANA LJ 61 (10027)</v>
      </c>
      <c r="S1798" t="s">
        <v>27</v>
      </c>
      <c r="T1798">
        <v>4373</v>
      </c>
      <c r="U1798">
        <v>3712</v>
      </c>
      <c r="V1798" t="s">
        <v>22</v>
      </c>
    </row>
    <row r="1799" spans="1:22">
      <c r="A1799" t="str">
        <f t="shared" si="628"/>
        <v>20/02/2026</v>
      </c>
      <c r="B1799" t="str">
        <f t="shared" si="630"/>
        <v>ENTRADA</v>
      </c>
      <c r="C1799" t="str">
        <f t="shared" si="631"/>
        <v>NFSE</v>
      </c>
      <c r="D1799" t="str">
        <f t="shared" si="634"/>
        <v>295</v>
      </c>
      <c r="E1799" t="str">
        <f t="shared" si="632"/>
        <v>1</v>
      </c>
      <c r="F1799" t="str">
        <f t="shared" si="633"/>
        <v>COM</v>
      </c>
      <c r="G1799" t="str">
        <f t="shared" si="635"/>
        <v>FARMÁCIA INDIANA LJ 1 (10126)</v>
      </c>
      <c r="H1799" t="s">
        <v>471</v>
      </c>
      <c r="I1799" t="str">
        <f t="shared" si="636"/>
        <v>18/02/2026</v>
      </c>
      <c r="J1799" t="str">
        <f t="shared" si="637"/>
        <v>10/02/2026</v>
      </c>
      <c r="K1799">
        <v>46073</v>
      </c>
      <c r="N1799">
        <v>303</v>
      </c>
      <c r="O1799" t="s">
        <v>26</v>
      </c>
      <c r="Q1799">
        <v>245.73</v>
      </c>
      <c r="R1799" t="str">
        <f>"FARMÁCIA INDIANA LJ 62 (10028)"</f>
        <v>FARMÁCIA INDIANA LJ 62 (10028)</v>
      </c>
      <c r="S1799" t="s">
        <v>27</v>
      </c>
      <c r="T1799">
        <v>4373</v>
      </c>
      <c r="U1799">
        <v>3712</v>
      </c>
      <c r="V1799" t="s">
        <v>22</v>
      </c>
    </row>
    <row r="1800" spans="1:22">
      <c r="A1800" t="str">
        <f t="shared" si="628"/>
        <v>20/02/2026</v>
      </c>
      <c r="B1800" t="str">
        <f t="shared" si="630"/>
        <v>ENTRADA</v>
      </c>
      <c r="C1800" t="str">
        <f t="shared" si="631"/>
        <v>NFSE</v>
      </c>
      <c r="D1800" t="str">
        <f t="shared" si="634"/>
        <v>295</v>
      </c>
      <c r="E1800" t="str">
        <f t="shared" si="632"/>
        <v>1</v>
      </c>
      <c r="F1800" t="str">
        <f t="shared" si="633"/>
        <v>COM</v>
      </c>
      <c r="G1800" t="str">
        <f t="shared" si="635"/>
        <v>FARMÁCIA INDIANA LJ 1 (10126)</v>
      </c>
      <c r="H1800" t="s">
        <v>471</v>
      </c>
      <c r="I1800" t="str">
        <f t="shared" si="636"/>
        <v>18/02/2026</v>
      </c>
      <c r="J1800" t="str">
        <f t="shared" si="637"/>
        <v>10/02/2026</v>
      </c>
      <c r="K1800">
        <v>46073</v>
      </c>
      <c r="N1800">
        <v>303</v>
      </c>
      <c r="O1800" t="s">
        <v>26</v>
      </c>
      <c r="Q1800">
        <v>86.49</v>
      </c>
      <c r="R1800" t="str">
        <f>"FARMÁCIA INDIANA LJ 64 (10029)"</f>
        <v>FARMÁCIA INDIANA LJ 64 (10029)</v>
      </c>
      <c r="S1800" t="s">
        <v>27</v>
      </c>
      <c r="T1800">
        <v>4373</v>
      </c>
      <c r="U1800">
        <v>3712</v>
      </c>
      <c r="V1800" t="s">
        <v>22</v>
      </c>
    </row>
    <row r="1801" spans="1:22">
      <c r="A1801" t="str">
        <f t="shared" si="628"/>
        <v>20/02/2026</v>
      </c>
      <c r="B1801" t="str">
        <f t="shared" si="630"/>
        <v>ENTRADA</v>
      </c>
      <c r="C1801" t="str">
        <f t="shared" si="631"/>
        <v>NFSE</v>
      </c>
      <c r="D1801" t="str">
        <f t="shared" si="634"/>
        <v>295</v>
      </c>
      <c r="E1801" t="str">
        <f t="shared" si="632"/>
        <v>1</v>
      </c>
      <c r="F1801" t="str">
        <f t="shared" si="633"/>
        <v>COM</v>
      </c>
      <c r="G1801" t="str">
        <f t="shared" si="635"/>
        <v>FARMÁCIA INDIANA LJ 1 (10126)</v>
      </c>
      <c r="H1801" t="s">
        <v>471</v>
      </c>
      <c r="I1801" t="str">
        <f t="shared" si="636"/>
        <v>18/02/2026</v>
      </c>
      <c r="J1801" t="str">
        <f t="shared" si="637"/>
        <v>10/02/2026</v>
      </c>
      <c r="K1801">
        <v>46073</v>
      </c>
      <c r="N1801">
        <v>303</v>
      </c>
      <c r="O1801" t="s">
        <v>26</v>
      </c>
      <c r="Q1801">
        <v>67.27</v>
      </c>
      <c r="R1801" t="str">
        <f>"FARMÁCIA INDIANA LJ 97 (10040)"</f>
        <v>FARMÁCIA INDIANA LJ 97 (10040)</v>
      </c>
      <c r="S1801" t="s">
        <v>27</v>
      </c>
      <c r="T1801">
        <v>4373</v>
      </c>
      <c r="U1801">
        <v>3712</v>
      </c>
      <c r="V1801" t="s">
        <v>22</v>
      </c>
    </row>
    <row r="1802" spans="1:22">
      <c r="A1802" t="str">
        <f t="shared" si="628"/>
        <v>20/02/2026</v>
      </c>
      <c r="B1802" t="str">
        <f t="shared" si="630"/>
        <v>ENTRADA</v>
      </c>
      <c r="C1802" t="str">
        <f t="shared" si="631"/>
        <v>NFSE</v>
      </c>
      <c r="D1802" t="str">
        <f t="shared" si="634"/>
        <v>295</v>
      </c>
      <c r="E1802" t="str">
        <f t="shared" si="632"/>
        <v>1</v>
      </c>
      <c r="F1802" t="str">
        <f t="shared" si="633"/>
        <v>COM</v>
      </c>
      <c r="G1802" t="str">
        <f t="shared" si="635"/>
        <v>FARMÁCIA INDIANA LJ 1 (10126)</v>
      </c>
      <c r="H1802" t="s">
        <v>471</v>
      </c>
      <c r="I1802" t="str">
        <f t="shared" si="636"/>
        <v>18/02/2026</v>
      </c>
      <c r="J1802" t="str">
        <f t="shared" si="637"/>
        <v>10/02/2026</v>
      </c>
      <c r="K1802">
        <v>46073</v>
      </c>
      <c r="N1802">
        <v>303</v>
      </c>
      <c r="O1802" t="s">
        <v>26</v>
      </c>
      <c r="Q1802">
        <v>200.43</v>
      </c>
      <c r="R1802" t="str">
        <f>"FARMÁCIA INDIANA LJ 100 (10042)"</f>
        <v>FARMÁCIA INDIANA LJ 100 (10042)</v>
      </c>
      <c r="S1802" t="s">
        <v>27</v>
      </c>
      <c r="T1802">
        <v>4373</v>
      </c>
      <c r="U1802">
        <v>3712</v>
      </c>
      <c r="V1802" t="s">
        <v>22</v>
      </c>
    </row>
    <row r="1803" spans="1:22">
      <c r="A1803" t="str">
        <f t="shared" si="628"/>
        <v>20/02/2026</v>
      </c>
      <c r="B1803" t="str">
        <f t="shared" si="630"/>
        <v>ENTRADA</v>
      </c>
      <c r="C1803" t="str">
        <f t="shared" si="631"/>
        <v>NFSE</v>
      </c>
      <c r="D1803" t="str">
        <f t="shared" si="634"/>
        <v>295</v>
      </c>
      <c r="E1803" t="str">
        <f t="shared" si="632"/>
        <v>1</v>
      </c>
      <c r="F1803" t="str">
        <f t="shared" si="633"/>
        <v>COM</v>
      </c>
      <c r="G1803" t="str">
        <f t="shared" si="635"/>
        <v>FARMÁCIA INDIANA LJ 1 (10126)</v>
      </c>
      <c r="H1803" t="s">
        <v>471</v>
      </c>
      <c r="I1803" t="str">
        <f t="shared" si="636"/>
        <v>18/02/2026</v>
      </c>
      <c r="J1803" t="str">
        <f t="shared" si="637"/>
        <v>10/02/2026</v>
      </c>
      <c r="K1803">
        <v>46073</v>
      </c>
      <c r="N1803">
        <v>303</v>
      </c>
      <c r="O1803" t="s">
        <v>26</v>
      </c>
      <c r="Q1803">
        <v>689.14</v>
      </c>
      <c r="R1803" t="str">
        <f>"FARMÁCIA INDIANA LJ 101 (10043)"</f>
        <v>FARMÁCIA INDIANA LJ 101 (10043)</v>
      </c>
      <c r="S1803" t="s">
        <v>27</v>
      </c>
      <c r="T1803">
        <v>4373</v>
      </c>
      <c r="U1803">
        <v>3712</v>
      </c>
      <c r="V1803" t="s">
        <v>22</v>
      </c>
    </row>
    <row r="1804" spans="1:22">
      <c r="A1804" t="str">
        <f t="shared" si="628"/>
        <v>20/02/2026</v>
      </c>
      <c r="B1804" t="str">
        <f t="shared" si="630"/>
        <v>ENTRADA</v>
      </c>
      <c r="C1804" t="str">
        <f t="shared" si="631"/>
        <v>NFSE</v>
      </c>
      <c r="D1804" t="str">
        <f t="shared" si="634"/>
        <v>295</v>
      </c>
      <c r="E1804" t="str">
        <f t="shared" si="632"/>
        <v>1</v>
      </c>
      <c r="F1804" t="str">
        <f t="shared" si="633"/>
        <v>COM</v>
      </c>
      <c r="G1804" t="str">
        <f t="shared" si="635"/>
        <v>FARMÁCIA INDIANA LJ 1 (10126)</v>
      </c>
      <c r="H1804" t="s">
        <v>471</v>
      </c>
      <c r="I1804" t="str">
        <f t="shared" si="636"/>
        <v>18/02/2026</v>
      </c>
      <c r="J1804" t="str">
        <f t="shared" si="637"/>
        <v>10/02/2026</v>
      </c>
      <c r="K1804">
        <v>46073</v>
      </c>
      <c r="N1804">
        <v>303</v>
      </c>
      <c r="O1804" t="s">
        <v>26</v>
      </c>
      <c r="Q1804">
        <v>49.42</v>
      </c>
      <c r="R1804" t="str">
        <f>"FARMÁCIA INDIANA LJ 103 (10044)"</f>
        <v>FARMÁCIA INDIANA LJ 103 (10044)</v>
      </c>
      <c r="S1804" t="s">
        <v>27</v>
      </c>
      <c r="T1804">
        <v>4373</v>
      </c>
      <c r="U1804">
        <v>3712</v>
      </c>
      <c r="V1804" t="s">
        <v>22</v>
      </c>
    </row>
    <row r="1805" spans="1:22">
      <c r="A1805" t="str">
        <f t="shared" si="628"/>
        <v>20/02/2026</v>
      </c>
      <c r="B1805" t="str">
        <f t="shared" si="630"/>
        <v>ENTRADA</v>
      </c>
      <c r="C1805" t="str">
        <f t="shared" si="631"/>
        <v>NFSE</v>
      </c>
      <c r="D1805" t="str">
        <f t="shared" si="634"/>
        <v>295</v>
      </c>
      <c r="E1805" t="str">
        <f t="shared" si="632"/>
        <v>1</v>
      </c>
      <c r="F1805" t="str">
        <f t="shared" si="633"/>
        <v>COM</v>
      </c>
      <c r="G1805" t="str">
        <f t="shared" si="635"/>
        <v>FARMÁCIA INDIANA LJ 1 (10126)</v>
      </c>
      <c r="H1805" t="s">
        <v>471</v>
      </c>
      <c r="I1805" t="str">
        <f t="shared" si="636"/>
        <v>18/02/2026</v>
      </c>
      <c r="J1805" t="str">
        <f t="shared" si="637"/>
        <v>10/02/2026</v>
      </c>
      <c r="K1805">
        <v>46073</v>
      </c>
      <c r="N1805">
        <v>303</v>
      </c>
      <c r="O1805" t="s">
        <v>26</v>
      </c>
      <c r="Q1805">
        <v>214.15</v>
      </c>
      <c r="R1805" t="str">
        <f>"FARMÁCIA INDIANA LJ 109 (10047)"</f>
        <v>FARMÁCIA INDIANA LJ 109 (10047)</v>
      </c>
      <c r="S1805" t="s">
        <v>27</v>
      </c>
      <c r="T1805">
        <v>4373</v>
      </c>
      <c r="U1805">
        <v>3712</v>
      </c>
      <c r="V1805" t="s">
        <v>22</v>
      </c>
    </row>
    <row r="1806" spans="1:22">
      <c r="A1806" t="str">
        <f t="shared" si="628"/>
        <v>20/02/2026</v>
      </c>
      <c r="B1806" t="str">
        <f t="shared" si="630"/>
        <v>ENTRADA</v>
      </c>
      <c r="C1806" t="str">
        <f t="shared" si="631"/>
        <v>NFSE</v>
      </c>
      <c r="D1806" t="str">
        <f t="shared" si="634"/>
        <v>295</v>
      </c>
      <c r="E1806" t="str">
        <f t="shared" si="632"/>
        <v>1</v>
      </c>
      <c r="F1806" t="str">
        <f t="shared" si="633"/>
        <v>COM</v>
      </c>
      <c r="G1806" t="str">
        <f t="shared" si="635"/>
        <v>FARMÁCIA INDIANA LJ 1 (10126)</v>
      </c>
      <c r="H1806" t="s">
        <v>471</v>
      </c>
      <c r="I1806" t="str">
        <f t="shared" si="636"/>
        <v>18/02/2026</v>
      </c>
      <c r="J1806" t="str">
        <f t="shared" si="637"/>
        <v>10/02/2026</v>
      </c>
      <c r="K1806">
        <v>46073</v>
      </c>
      <c r="N1806">
        <v>303</v>
      </c>
      <c r="O1806" t="s">
        <v>26</v>
      </c>
      <c r="Q1806">
        <v>365.16</v>
      </c>
      <c r="R1806" t="str">
        <f>"FARMÁCIA INDIANA LJ 110 (10048)"</f>
        <v>FARMÁCIA INDIANA LJ 110 (10048)</v>
      </c>
      <c r="S1806" t="s">
        <v>27</v>
      </c>
      <c r="T1806">
        <v>4373</v>
      </c>
      <c r="U1806">
        <v>3712</v>
      </c>
      <c r="V1806" t="s">
        <v>22</v>
      </c>
    </row>
    <row r="1807" spans="1:22">
      <c r="A1807" t="str">
        <f t="shared" si="628"/>
        <v>20/02/2026</v>
      </c>
      <c r="B1807" t="str">
        <f t="shared" si="630"/>
        <v>ENTRADA</v>
      </c>
      <c r="C1807" t="str">
        <f t="shared" si="631"/>
        <v>NFSE</v>
      </c>
      <c r="D1807" t="str">
        <f t="shared" si="634"/>
        <v>295</v>
      </c>
      <c r="E1807" t="str">
        <f t="shared" si="632"/>
        <v>1</v>
      </c>
      <c r="F1807" t="str">
        <f t="shared" si="633"/>
        <v>COM</v>
      </c>
      <c r="G1807" t="str">
        <f t="shared" si="635"/>
        <v>FARMÁCIA INDIANA LJ 1 (10126)</v>
      </c>
      <c r="H1807" t="s">
        <v>471</v>
      </c>
      <c r="I1807" t="str">
        <f t="shared" si="636"/>
        <v>18/02/2026</v>
      </c>
      <c r="J1807" t="str">
        <f t="shared" si="637"/>
        <v>10/02/2026</v>
      </c>
      <c r="K1807">
        <v>46073</v>
      </c>
      <c r="N1807">
        <v>303</v>
      </c>
      <c r="O1807" t="s">
        <v>26</v>
      </c>
      <c r="Q1807">
        <v>65.89</v>
      </c>
      <c r="R1807" t="str">
        <f>"FARMÁCIA INDIANA LJ 111 (10049)"</f>
        <v>FARMÁCIA INDIANA LJ 111 (10049)</v>
      </c>
      <c r="S1807" t="s">
        <v>27</v>
      </c>
      <c r="T1807">
        <v>4373</v>
      </c>
      <c r="U1807">
        <v>3712</v>
      </c>
      <c r="V1807" t="s">
        <v>22</v>
      </c>
    </row>
    <row r="1808" spans="1:22">
      <c r="A1808" t="str">
        <f t="shared" si="628"/>
        <v>20/02/2026</v>
      </c>
      <c r="B1808" t="str">
        <f t="shared" si="630"/>
        <v>ENTRADA</v>
      </c>
      <c r="C1808" t="str">
        <f t="shared" si="631"/>
        <v>NFSE</v>
      </c>
      <c r="D1808" t="str">
        <f t="shared" si="634"/>
        <v>295</v>
      </c>
      <c r="E1808" t="str">
        <f t="shared" si="632"/>
        <v>1</v>
      </c>
      <c r="F1808" t="str">
        <f t="shared" si="633"/>
        <v>COM</v>
      </c>
      <c r="G1808" t="str">
        <f t="shared" si="635"/>
        <v>FARMÁCIA INDIANA LJ 1 (10126)</v>
      </c>
      <c r="H1808" t="s">
        <v>471</v>
      </c>
      <c r="I1808" t="str">
        <f t="shared" si="636"/>
        <v>18/02/2026</v>
      </c>
      <c r="J1808" t="str">
        <f t="shared" si="637"/>
        <v>10/02/2026</v>
      </c>
      <c r="K1808">
        <v>46073</v>
      </c>
      <c r="N1808">
        <v>303</v>
      </c>
      <c r="O1808" t="s">
        <v>26</v>
      </c>
      <c r="Q1808">
        <v>100.21</v>
      </c>
      <c r="R1808" t="str">
        <f>"FARMÁCIA INDIANA LJ 112 (10050)"</f>
        <v>FARMÁCIA INDIANA LJ 112 (10050)</v>
      </c>
      <c r="S1808" t="s">
        <v>27</v>
      </c>
      <c r="T1808">
        <v>4373</v>
      </c>
      <c r="U1808">
        <v>3712</v>
      </c>
      <c r="V1808" t="s">
        <v>22</v>
      </c>
    </row>
    <row r="1809" spans="1:22">
      <c r="A1809" t="str">
        <f t="shared" si="628"/>
        <v>20/02/2026</v>
      </c>
      <c r="B1809" t="str">
        <f t="shared" si="630"/>
        <v>ENTRADA</v>
      </c>
      <c r="C1809" t="str">
        <f t="shared" si="631"/>
        <v>NFSE</v>
      </c>
      <c r="D1809" t="str">
        <f t="shared" si="634"/>
        <v>295</v>
      </c>
      <c r="E1809" t="str">
        <f t="shared" si="632"/>
        <v>1</v>
      </c>
      <c r="F1809" t="str">
        <f t="shared" si="633"/>
        <v>COM</v>
      </c>
      <c r="G1809" t="str">
        <f t="shared" si="635"/>
        <v>FARMÁCIA INDIANA LJ 1 (10126)</v>
      </c>
      <c r="H1809" t="s">
        <v>471</v>
      </c>
      <c r="I1809" t="str">
        <f t="shared" si="636"/>
        <v>18/02/2026</v>
      </c>
      <c r="J1809" t="str">
        <f t="shared" si="637"/>
        <v>10/02/2026</v>
      </c>
      <c r="K1809">
        <v>46073</v>
      </c>
      <c r="N1809">
        <v>303</v>
      </c>
      <c r="O1809" t="s">
        <v>26</v>
      </c>
      <c r="Q1809">
        <v>130.41</v>
      </c>
      <c r="R1809" t="str">
        <f>"FARMÁCIA INDIANA LJ 116 (10051)"</f>
        <v>FARMÁCIA INDIANA LJ 116 (10051)</v>
      </c>
      <c r="S1809" t="s">
        <v>27</v>
      </c>
      <c r="T1809">
        <v>4373</v>
      </c>
      <c r="U1809">
        <v>3712</v>
      </c>
      <c r="V1809" t="s">
        <v>22</v>
      </c>
    </row>
    <row r="1810" spans="1:22">
      <c r="A1810" t="str">
        <f t="shared" ref="A1810:A1841" si="638">("20/02/2026")</f>
        <v>20/02/2026</v>
      </c>
      <c r="B1810" t="str">
        <f t="shared" si="630"/>
        <v>ENTRADA</v>
      </c>
      <c r="C1810" t="str">
        <f t="shared" si="631"/>
        <v>NFSE</v>
      </c>
      <c r="D1810" t="str">
        <f t="shared" si="634"/>
        <v>295</v>
      </c>
      <c r="E1810" t="str">
        <f t="shared" si="632"/>
        <v>1</v>
      </c>
      <c r="F1810" t="str">
        <f t="shared" si="633"/>
        <v>COM</v>
      </c>
      <c r="G1810" t="str">
        <f t="shared" si="635"/>
        <v>FARMÁCIA INDIANA LJ 1 (10126)</v>
      </c>
      <c r="H1810" t="s">
        <v>471</v>
      </c>
      <c r="I1810" t="str">
        <f t="shared" si="636"/>
        <v>18/02/2026</v>
      </c>
      <c r="J1810" t="str">
        <f t="shared" si="637"/>
        <v>10/02/2026</v>
      </c>
      <c r="K1810">
        <v>46073</v>
      </c>
      <c r="N1810">
        <v>303</v>
      </c>
      <c r="O1810" t="s">
        <v>26</v>
      </c>
      <c r="Q1810">
        <v>133.16</v>
      </c>
      <c r="R1810" t="str">
        <f>"FARMÁCIA INDIANA LJ 118 (10052)"</f>
        <v>FARMÁCIA INDIANA LJ 118 (10052)</v>
      </c>
      <c r="S1810" t="s">
        <v>27</v>
      </c>
      <c r="T1810">
        <v>4373</v>
      </c>
      <c r="U1810">
        <v>3712</v>
      </c>
      <c r="V1810" t="s">
        <v>22</v>
      </c>
    </row>
    <row r="1811" spans="1:22">
      <c r="A1811" t="str">
        <f t="shared" si="638"/>
        <v>20/02/2026</v>
      </c>
      <c r="B1811" t="str">
        <f t="shared" si="630"/>
        <v>ENTRADA</v>
      </c>
      <c r="C1811" t="str">
        <f t="shared" si="631"/>
        <v>NFSE</v>
      </c>
      <c r="D1811" t="str">
        <f t="shared" si="634"/>
        <v>295</v>
      </c>
      <c r="E1811" t="str">
        <f t="shared" si="632"/>
        <v>1</v>
      </c>
      <c r="F1811" t="str">
        <f t="shared" si="633"/>
        <v>COM</v>
      </c>
      <c r="G1811" t="str">
        <f t="shared" si="635"/>
        <v>FARMÁCIA INDIANA LJ 1 (10126)</v>
      </c>
      <c r="H1811" t="s">
        <v>471</v>
      </c>
      <c r="I1811" t="str">
        <f t="shared" si="636"/>
        <v>18/02/2026</v>
      </c>
      <c r="J1811" t="str">
        <f t="shared" si="637"/>
        <v>10/02/2026</v>
      </c>
      <c r="K1811">
        <v>46073</v>
      </c>
      <c r="N1811">
        <v>303</v>
      </c>
      <c r="O1811" t="s">
        <v>26</v>
      </c>
      <c r="Q1811">
        <v>100.21</v>
      </c>
      <c r="R1811" t="str">
        <f>"FARMÁCIA INDIANA LJ 121 (10054)"</f>
        <v>FARMÁCIA INDIANA LJ 121 (10054)</v>
      </c>
      <c r="S1811" t="s">
        <v>27</v>
      </c>
      <c r="T1811">
        <v>4373</v>
      </c>
      <c r="U1811">
        <v>3712</v>
      </c>
      <c r="V1811" t="s">
        <v>22</v>
      </c>
    </row>
    <row r="1812" spans="1:22">
      <c r="A1812" t="str">
        <f t="shared" si="638"/>
        <v>20/02/2026</v>
      </c>
      <c r="B1812" t="str">
        <f t="shared" si="630"/>
        <v>ENTRADA</v>
      </c>
      <c r="C1812" t="str">
        <f t="shared" si="631"/>
        <v>NFSE</v>
      </c>
      <c r="D1812" t="str">
        <f t="shared" si="634"/>
        <v>295</v>
      </c>
      <c r="E1812" t="str">
        <f t="shared" si="632"/>
        <v>1</v>
      </c>
      <c r="F1812" t="str">
        <f t="shared" si="633"/>
        <v>COM</v>
      </c>
      <c r="G1812" t="str">
        <f t="shared" si="635"/>
        <v>FARMÁCIA INDIANA LJ 1 (10126)</v>
      </c>
      <c r="H1812" t="s">
        <v>471</v>
      </c>
      <c r="I1812" t="str">
        <f t="shared" si="636"/>
        <v>18/02/2026</v>
      </c>
      <c r="J1812" t="str">
        <f t="shared" si="637"/>
        <v>10/02/2026</v>
      </c>
      <c r="K1812">
        <v>46073</v>
      </c>
      <c r="N1812">
        <v>303</v>
      </c>
      <c r="O1812" t="s">
        <v>26</v>
      </c>
      <c r="Q1812">
        <v>100.21</v>
      </c>
      <c r="R1812" t="str">
        <f>"FARMÁCIA INDIANA LJ 128 (10057)"</f>
        <v>FARMÁCIA INDIANA LJ 128 (10057)</v>
      </c>
      <c r="S1812" t="s">
        <v>27</v>
      </c>
      <c r="T1812">
        <v>4373</v>
      </c>
      <c r="U1812">
        <v>3712</v>
      </c>
      <c r="V1812" t="s">
        <v>22</v>
      </c>
    </row>
    <row r="1813" spans="1:22">
      <c r="A1813" t="str">
        <f t="shared" si="638"/>
        <v>20/02/2026</v>
      </c>
      <c r="B1813" t="str">
        <f t="shared" si="630"/>
        <v>ENTRADA</v>
      </c>
      <c r="C1813" t="str">
        <f t="shared" si="631"/>
        <v>NFSE</v>
      </c>
      <c r="D1813" t="str">
        <f t="shared" si="634"/>
        <v>295</v>
      </c>
      <c r="E1813" t="str">
        <f t="shared" si="632"/>
        <v>1</v>
      </c>
      <c r="F1813" t="str">
        <f t="shared" si="633"/>
        <v>COM</v>
      </c>
      <c r="G1813" t="str">
        <f t="shared" si="635"/>
        <v>FARMÁCIA INDIANA LJ 1 (10126)</v>
      </c>
      <c r="H1813" t="s">
        <v>471</v>
      </c>
      <c r="I1813" t="str">
        <f t="shared" si="636"/>
        <v>18/02/2026</v>
      </c>
      <c r="J1813" t="str">
        <f t="shared" si="637"/>
        <v>10/02/2026</v>
      </c>
      <c r="K1813">
        <v>46073</v>
      </c>
      <c r="N1813">
        <v>303</v>
      </c>
      <c r="O1813" t="s">
        <v>26</v>
      </c>
      <c r="Q1813">
        <v>17.850000000000001</v>
      </c>
      <c r="R1813" t="str">
        <f>"FARMÁCIA INDIANA LJ 140 (10064)"</f>
        <v>FARMÁCIA INDIANA LJ 140 (10064)</v>
      </c>
      <c r="S1813" t="s">
        <v>27</v>
      </c>
      <c r="T1813">
        <v>4373</v>
      </c>
      <c r="U1813">
        <v>3712</v>
      </c>
      <c r="V1813" t="s">
        <v>22</v>
      </c>
    </row>
    <row r="1814" spans="1:22">
      <c r="A1814" t="str">
        <f t="shared" si="638"/>
        <v>20/02/2026</v>
      </c>
      <c r="B1814" t="str">
        <f t="shared" si="630"/>
        <v>ENTRADA</v>
      </c>
      <c r="C1814" t="str">
        <f t="shared" si="631"/>
        <v>NFSE</v>
      </c>
      <c r="D1814" t="str">
        <f t="shared" si="634"/>
        <v>295</v>
      </c>
      <c r="E1814" t="str">
        <f t="shared" si="632"/>
        <v>1</v>
      </c>
      <c r="F1814" t="str">
        <f t="shared" si="633"/>
        <v>COM</v>
      </c>
      <c r="G1814" t="str">
        <f t="shared" si="635"/>
        <v>FARMÁCIA INDIANA LJ 1 (10126)</v>
      </c>
      <c r="H1814" t="s">
        <v>471</v>
      </c>
      <c r="I1814" t="str">
        <f t="shared" si="636"/>
        <v>18/02/2026</v>
      </c>
      <c r="J1814" t="str">
        <f t="shared" si="637"/>
        <v>10/02/2026</v>
      </c>
      <c r="K1814">
        <v>46073</v>
      </c>
      <c r="N1814">
        <v>303</v>
      </c>
      <c r="O1814" t="s">
        <v>26</v>
      </c>
      <c r="Q1814">
        <v>12.36</v>
      </c>
      <c r="R1814" t="str">
        <f>"FARMÁCIA INDIANA LJ 141 (10065)"</f>
        <v>FARMÁCIA INDIANA LJ 141 (10065)</v>
      </c>
      <c r="S1814" t="s">
        <v>27</v>
      </c>
      <c r="T1814">
        <v>4373</v>
      </c>
      <c r="U1814">
        <v>3712</v>
      </c>
      <c r="V1814" t="s">
        <v>22</v>
      </c>
    </row>
    <row r="1815" spans="1:22">
      <c r="A1815" t="str">
        <f t="shared" si="638"/>
        <v>20/02/2026</v>
      </c>
      <c r="B1815" t="str">
        <f t="shared" si="630"/>
        <v>ENTRADA</v>
      </c>
      <c r="C1815" t="str">
        <f t="shared" si="631"/>
        <v>NFSE</v>
      </c>
      <c r="D1815" t="str">
        <f t="shared" si="634"/>
        <v>295</v>
      </c>
      <c r="E1815" t="str">
        <f t="shared" si="632"/>
        <v>1</v>
      </c>
      <c r="F1815" t="str">
        <f t="shared" si="633"/>
        <v>COM</v>
      </c>
      <c r="G1815" t="str">
        <f t="shared" si="635"/>
        <v>FARMÁCIA INDIANA LJ 1 (10126)</v>
      </c>
      <c r="H1815" t="s">
        <v>471</v>
      </c>
      <c r="I1815" t="str">
        <f t="shared" si="636"/>
        <v>18/02/2026</v>
      </c>
      <c r="J1815" t="str">
        <f t="shared" si="637"/>
        <v>10/02/2026</v>
      </c>
      <c r="K1815">
        <v>46073</v>
      </c>
      <c r="N1815">
        <v>303</v>
      </c>
      <c r="O1815" t="s">
        <v>26</v>
      </c>
      <c r="Q1815">
        <v>757.78</v>
      </c>
      <c r="R1815" t="str">
        <f>"FARMÁCIA INDIANA LJ 142 (10066)"</f>
        <v>FARMÁCIA INDIANA LJ 142 (10066)</v>
      </c>
      <c r="S1815" t="s">
        <v>27</v>
      </c>
      <c r="T1815">
        <v>4373</v>
      </c>
      <c r="U1815">
        <v>3712</v>
      </c>
      <c r="V1815" t="s">
        <v>22</v>
      </c>
    </row>
    <row r="1816" spans="1:22">
      <c r="A1816" t="str">
        <f t="shared" si="638"/>
        <v>20/02/2026</v>
      </c>
      <c r="B1816" t="str">
        <f t="shared" si="630"/>
        <v>ENTRADA</v>
      </c>
      <c r="C1816" t="str">
        <f t="shared" si="631"/>
        <v>NFSE</v>
      </c>
      <c r="D1816" t="str">
        <f t="shared" si="634"/>
        <v>295</v>
      </c>
      <c r="E1816" t="str">
        <f t="shared" si="632"/>
        <v>1</v>
      </c>
      <c r="F1816" t="str">
        <f t="shared" si="633"/>
        <v>COM</v>
      </c>
      <c r="G1816" t="str">
        <f t="shared" si="635"/>
        <v>FARMÁCIA INDIANA LJ 1 (10126)</v>
      </c>
      <c r="H1816" t="s">
        <v>471</v>
      </c>
      <c r="I1816" t="str">
        <f t="shared" si="636"/>
        <v>18/02/2026</v>
      </c>
      <c r="J1816" t="str">
        <f t="shared" si="637"/>
        <v>10/02/2026</v>
      </c>
      <c r="K1816">
        <v>46073</v>
      </c>
      <c r="N1816">
        <v>303</v>
      </c>
      <c r="O1816" t="s">
        <v>26</v>
      </c>
      <c r="Q1816">
        <v>67.27</v>
      </c>
      <c r="R1816" t="str">
        <f>"FARMÁCIA INDIANA LJ 143 (10067)"</f>
        <v>FARMÁCIA INDIANA LJ 143 (10067)</v>
      </c>
      <c r="S1816" t="s">
        <v>27</v>
      </c>
      <c r="T1816">
        <v>4373</v>
      </c>
      <c r="U1816">
        <v>3712</v>
      </c>
      <c r="V1816" t="s">
        <v>22</v>
      </c>
    </row>
    <row r="1817" spans="1:22">
      <c r="A1817" t="str">
        <f t="shared" si="638"/>
        <v>20/02/2026</v>
      </c>
      <c r="B1817" t="str">
        <f t="shared" ref="B1817:B1840" si="639">"ENTRADA"</f>
        <v>ENTRADA</v>
      </c>
      <c r="C1817" t="str">
        <f t="shared" ref="C1817:C1839" si="640">"NFSE"</f>
        <v>NFSE</v>
      </c>
      <c r="D1817" t="str">
        <f t="shared" si="634"/>
        <v>295</v>
      </c>
      <c r="E1817" t="str">
        <f t="shared" ref="E1817:E1839" si="641">"1"</f>
        <v>1</v>
      </c>
      <c r="F1817" t="str">
        <f t="shared" ref="F1817:F1839" si="642">"COM"</f>
        <v>COM</v>
      </c>
      <c r="G1817" t="str">
        <f t="shared" si="635"/>
        <v>FARMÁCIA INDIANA LJ 1 (10126)</v>
      </c>
      <c r="H1817" t="s">
        <v>471</v>
      </c>
      <c r="I1817" t="str">
        <f t="shared" si="636"/>
        <v>18/02/2026</v>
      </c>
      <c r="J1817" t="str">
        <f t="shared" si="637"/>
        <v>10/02/2026</v>
      </c>
      <c r="K1817">
        <v>46073</v>
      </c>
      <c r="N1817">
        <v>303</v>
      </c>
      <c r="O1817" t="s">
        <v>26</v>
      </c>
      <c r="Q1817">
        <v>413.21</v>
      </c>
      <c r="R1817" t="str">
        <f>"FARMÁCIA INDIANA LJ 152 (10069)"</f>
        <v>FARMÁCIA INDIANA LJ 152 (10069)</v>
      </c>
      <c r="S1817" t="s">
        <v>27</v>
      </c>
      <c r="T1817">
        <v>4373</v>
      </c>
      <c r="U1817">
        <v>3712</v>
      </c>
      <c r="V1817" t="s">
        <v>22</v>
      </c>
    </row>
    <row r="1818" spans="1:22">
      <c r="A1818" t="str">
        <f t="shared" si="638"/>
        <v>20/02/2026</v>
      </c>
      <c r="B1818" t="str">
        <f t="shared" si="639"/>
        <v>ENTRADA</v>
      </c>
      <c r="C1818" t="str">
        <f t="shared" si="640"/>
        <v>NFSE</v>
      </c>
      <c r="D1818" t="str">
        <f t="shared" si="634"/>
        <v>295</v>
      </c>
      <c r="E1818" t="str">
        <f t="shared" si="641"/>
        <v>1</v>
      </c>
      <c r="F1818" t="str">
        <f t="shared" si="642"/>
        <v>COM</v>
      </c>
      <c r="G1818" t="str">
        <f t="shared" si="635"/>
        <v>FARMÁCIA INDIANA LJ 1 (10126)</v>
      </c>
      <c r="H1818" t="s">
        <v>471</v>
      </c>
      <c r="I1818" t="str">
        <f t="shared" si="636"/>
        <v>18/02/2026</v>
      </c>
      <c r="J1818" t="str">
        <f t="shared" si="637"/>
        <v>10/02/2026</v>
      </c>
      <c r="K1818">
        <v>46073</v>
      </c>
      <c r="N1818">
        <v>303</v>
      </c>
      <c r="O1818" t="s">
        <v>26</v>
      </c>
      <c r="Q1818">
        <v>24.71</v>
      </c>
      <c r="R1818" t="str">
        <f>"FARMÁCIA INDIANA LJ 154 (10070)"</f>
        <v>FARMÁCIA INDIANA LJ 154 (10070)</v>
      </c>
      <c r="S1818" t="s">
        <v>27</v>
      </c>
      <c r="T1818">
        <v>4373</v>
      </c>
      <c r="U1818">
        <v>3712</v>
      </c>
      <c r="V1818" t="s">
        <v>22</v>
      </c>
    </row>
    <row r="1819" spans="1:22">
      <c r="A1819" t="str">
        <f t="shared" si="638"/>
        <v>20/02/2026</v>
      </c>
      <c r="B1819" t="str">
        <f t="shared" si="639"/>
        <v>ENTRADA</v>
      </c>
      <c r="C1819" t="str">
        <f t="shared" si="640"/>
        <v>NFSE</v>
      </c>
      <c r="D1819" t="str">
        <f t="shared" si="634"/>
        <v>295</v>
      </c>
      <c r="E1819" t="str">
        <f t="shared" si="641"/>
        <v>1</v>
      </c>
      <c r="F1819" t="str">
        <f t="shared" si="642"/>
        <v>COM</v>
      </c>
      <c r="G1819" t="str">
        <f t="shared" si="635"/>
        <v>FARMÁCIA INDIANA LJ 1 (10126)</v>
      </c>
      <c r="H1819" t="s">
        <v>471</v>
      </c>
      <c r="I1819" t="str">
        <f t="shared" si="636"/>
        <v>18/02/2026</v>
      </c>
      <c r="J1819" t="str">
        <f t="shared" si="637"/>
        <v>10/02/2026</v>
      </c>
      <c r="K1819">
        <v>46073</v>
      </c>
      <c r="N1819">
        <v>303</v>
      </c>
      <c r="O1819" t="s">
        <v>26</v>
      </c>
      <c r="Q1819">
        <v>214.15</v>
      </c>
      <c r="R1819" t="str">
        <f>"FARMÁCIA INDIANA LJ 171 (10074)"</f>
        <v>FARMÁCIA INDIANA LJ 171 (10074)</v>
      </c>
      <c r="S1819" t="s">
        <v>27</v>
      </c>
      <c r="T1819">
        <v>4373</v>
      </c>
      <c r="U1819">
        <v>3712</v>
      </c>
      <c r="V1819" t="s">
        <v>22</v>
      </c>
    </row>
    <row r="1820" spans="1:22">
      <c r="A1820" t="str">
        <f t="shared" si="638"/>
        <v>20/02/2026</v>
      </c>
      <c r="B1820" t="str">
        <f t="shared" si="639"/>
        <v>ENTRADA</v>
      </c>
      <c r="C1820" t="str">
        <f t="shared" si="640"/>
        <v>NFSE</v>
      </c>
      <c r="D1820" t="str">
        <f t="shared" si="634"/>
        <v>295</v>
      </c>
      <c r="E1820" t="str">
        <f t="shared" si="641"/>
        <v>1</v>
      </c>
      <c r="F1820" t="str">
        <f t="shared" si="642"/>
        <v>COM</v>
      </c>
      <c r="G1820" t="str">
        <f t="shared" si="635"/>
        <v>FARMÁCIA INDIANA LJ 1 (10126)</v>
      </c>
      <c r="H1820" t="s">
        <v>471</v>
      </c>
      <c r="I1820" t="str">
        <f t="shared" si="636"/>
        <v>18/02/2026</v>
      </c>
      <c r="J1820" t="str">
        <f t="shared" si="637"/>
        <v>10/02/2026</v>
      </c>
      <c r="K1820">
        <v>46073</v>
      </c>
      <c r="N1820">
        <v>303</v>
      </c>
      <c r="O1820" t="s">
        <v>26</v>
      </c>
      <c r="Q1820">
        <v>82.37</v>
      </c>
      <c r="R1820" t="str">
        <f>"FARMÁCIA INDIANA LJ 175 (10076)"</f>
        <v>FARMÁCIA INDIANA LJ 175 (10076)</v>
      </c>
      <c r="S1820" t="s">
        <v>27</v>
      </c>
      <c r="T1820">
        <v>4373</v>
      </c>
      <c r="U1820">
        <v>3712</v>
      </c>
      <c r="V1820" t="s">
        <v>22</v>
      </c>
    </row>
    <row r="1821" spans="1:22">
      <c r="A1821" t="str">
        <f t="shared" si="638"/>
        <v>20/02/2026</v>
      </c>
      <c r="B1821" t="str">
        <f t="shared" si="639"/>
        <v>ENTRADA</v>
      </c>
      <c r="C1821" t="str">
        <f t="shared" si="640"/>
        <v>NFSE</v>
      </c>
      <c r="D1821" t="str">
        <f t="shared" ref="D1821:D1839" si="643">"295"</f>
        <v>295</v>
      </c>
      <c r="E1821" t="str">
        <f t="shared" si="641"/>
        <v>1</v>
      </c>
      <c r="F1821" t="str">
        <f t="shared" si="642"/>
        <v>COM</v>
      </c>
      <c r="G1821" t="str">
        <f t="shared" ref="G1821:G1839" si="644">"FARMÁCIA INDIANA LJ 1 (10126)"</f>
        <v>FARMÁCIA INDIANA LJ 1 (10126)</v>
      </c>
      <c r="H1821" t="s">
        <v>471</v>
      </c>
      <c r="I1821" t="str">
        <f t="shared" ref="I1821:I1839" si="645">("18/02/2026")</f>
        <v>18/02/2026</v>
      </c>
      <c r="J1821" t="str">
        <f t="shared" ref="J1821:J1839" si="646">("10/02/2026")</f>
        <v>10/02/2026</v>
      </c>
      <c r="K1821">
        <v>46073</v>
      </c>
      <c r="N1821">
        <v>303</v>
      </c>
      <c r="O1821" t="s">
        <v>26</v>
      </c>
      <c r="Q1821">
        <v>127.67</v>
      </c>
      <c r="R1821" t="str">
        <f>"FARMÁCIA INDIANA LJ 178 (10077)"</f>
        <v>FARMÁCIA INDIANA LJ 178 (10077)</v>
      </c>
      <c r="S1821" t="s">
        <v>27</v>
      </c>
      <c r="T1821">
        <v>4373</v>
      </c>
      <c r="U1821">
        <v>3712</v>
      </c>
      <c r="V1821" t="s">
        <v>22</v>
      </c>
    </row>
    <row r="1822" spans="1:22">
      <c r="A1822" t="str">
        <f t="shared" si="638"/>
        <v>20/02/2026</v>
      </c>
      <c r="B1822" t="str">
        <f t="shared" si="639"/>
        <v>ENTRADA</v>
      </c>
      <c r="C1822" t="str">
        <f t="shared" si="640"/>
        <v>NFSE</v>
      </c>
      <c r="D1822" t="str">
        <f t="shared" si="643"/>
        <v>295</v>
      </c>
      <c r="E1822" t="str">
        <f t="shared" si="641"/>
        <v>1</v>
      </c>
      <c r="F1822" t="str">
        <f t="shared" si="642"/>
        <v>COM</v>
      </c>
      <c r="G1822" t="str">
        <f t="shared" si="644"/>
        <v>FARMÁCIA INDIANA LJ 1 (10126)</v>
      </c>
      <c r="H1822" t="s">
        <v>471</v>
      </c>
      <c r="I1822" t="str">
        <f t="shared" si="645"/>
        <v>18/02/2026</v>
      </c>
      <c r="J1822" t="str">
        <f t="shared" si="646"/>
        <v>10/02/2026</v>
      </c>
      <c r="K1822">
        <v>46073</v>
      </c>
      <c r="N1822">
        <v>303</v>
      </c>
      <c r="O1822" t="s">
        <v>26</v>
      </c>
      <c r="Q1822">
        <v>49.42</v>
      </c>
      <c r="R1822" t="str">
        <f>"FARMÁCIA INDIANA LJ 182 (10079)"</f>
        <v>FARMÁCIA INDIANA LJ 182 (10079)</v>
      </c>
      <c r="S1822" t="s">
        <v>27</v>
      </c>
      <c r="T1822">
        <v>4373</v>
      </c>
      <c r="U1822">
        <v>3712</v>
      </c>
      <c r="V1822" t="s">
        <v>22</v>
      </c>
    </row>
    <row r="1823" spans="1:22">
      <c r="A1823" t="str">
        <f t="shared" si="638"/>
        <v>20/02/2026</v>
      </c>
      <c r="B1823" t="str">
        <f t="shared" si="639"/>
        <v>ENTRADA</v>
      </c>
      <c r="C1823" t="str">
        <f t="shared" si="640"/>
        <v>NFSE</v>
      </c>
      <c r="D1823" t="str">
        <f t="shared" si="643"/>
        <v>295</v>
      </c>
      <c r="E1823" t="str">
        <f t="shared" si="641"/>
        <v>1</v>
      </c>
      <c r="F1823" t="str">
        <f t="shared" si="642"/>
        <v>COM</v>
      </c>
      <c r="G1823" t="str">
        <f t="shared" si="644"/>
        <v>FARMÁCIA INDIANA LJ 1 (10126)</v>
      </c>
      <c r="H1823" t="s">
        <v>471</v>
      </c>
      <c r="I1823" t="str">
        <f t="shared" si="645"/>
        <v>18/02/2026</v>
      </c>
      <c r="J1823" t="str">
        <f t="shared" si="646"/>
        <v>10/02/2026</v>
      </c>
      <c r="K1823">
        <v>46073</v>
      </c>
      <c r="N1823">
        <v>303</v>
      </c>
      <c r="O1823" t="s">
        <v>26</v>
      </c>
      <c r="Q1823">
        <v>39.81</v>
      </c>
      <c r="R1823" t="str">
        <f>"FARMÁCIA INDIANA LJ 184 (10080)"</f>
        <v>FARMÁCIA INDIANA LJ 184 (10080)</v>
      </c>
      <c r="S1823" t="s">
        <v>27</v>
      </c>
      <c r="T1823">
        <v>4373</v>
      </c>
      <c r="U1823">
        <v>3712</v>
      </c>
      <c r="V1823" t="s">
        <v>22</v>
      </c>
    </row>
    <row r="1824" spans="1:22">
      <c r="A1824" t="str">
        <f t="shared" si="638"/>
        <v>20/02/2026</v>
      </c>
      <c r="B1824" t="str">
        <f t="shared" si="639"/>
        <v>ENTRADA</v>
      </c>
      <c r="C1824" t="str">
        <f t="shared" si="640"/>
        <v>NFSE</v>
      </c>
      <c r="D1824" t="str">
        <f t="shared" si="643"/>
        <v>295</v>
      </c>
      <c r="E1824" t="str">
        <f t="shared" si="641"/>
        <v>1</v>
      </c>
      <c r="F1824" t="str">
        <f t="shared" si="642"/>
        <v>COM</v>
      </c>
      <c r="G1824" t="str">
        <f t="shared" si="644"/>
        <v>FARMÁCIA INDIANA LJ 1 (10126)</v>
      </c>
      <c r="H1824" t="s">
        <v>471</v>
      </c>
      <c r="I1824" t="str">
        <f t="shared" si="645"/>
        <v>18/02/2026</v>
      </c>
      <c r="J1824" t="str">
        <f t="shared" si="646"/>
        <v>10/02/2026</v>
      </c>
      <c r="K1824">
        <v>46073</v>
      </c>
      <c r="N1824">
        <v>303</v>
      </c>
      <c r="O1824" t="s">
        <v>26</v>
      </c>
      <c r="Q1824">
        <v>49.42</v>
      </c>
      <c r="R1824" t="str">
        <f>"FARMÁCIA INDIANA LJ 186 (10081)"</f>
        <v>FARMÁCIA INDIANA LJ 186 (10081)</v>
      </c>
      <c r="S1824" t="s">
        <v>27</v>
      </c>
      <c r="T1824">
        <v>4373</v>
      </c>
      <c r="U1824">
        <v>3712</v>
      </c>
      <c r="V1824" t="s">
        <v>22</v>
      </c>
    </row>
    <row r="1825" spans="1:22">
      <c r="A1825" t="str">
        <f t="shared" si="638"/>
        <v>20/02/2026</v>
      </c>
      <c r="B1825" t="str">
        <f t="shared" si="639"/>
        <v>ENTRADA</v>
      </c>
      <c r="C1825" t="str">
        <f t="shared" si="640"/>
        <v>NFSE</v>
      </c>
      <c r="D1825" t="str">
        <f t="shared" si="643"/>
        <v>295</v>
      </c>
      <c r="E1825" t="str">
        <f t="shared" si="641"/>
        <v>1</v>
      </c>
      <c r="F1825" t="str">
        <f t="shared" si="642"/>
        <v>COM</v>
      </c>
      <c r="G1825" t="str">
        <f t="shared" si="644"/>
        <v>FARMÁCIA INDIANA LJ 1 (10126)</v>
      </c>
      <c r="H1825" t="s">
        <v>471</v>
      </c>
      <c r="I1825" t="str">
        <f t="shared" si="645"/>
        <v>18/02/2026</v>
      </c>
      <c r="J1825" t="str">
        <f t="shared" si="646"/>
        <v>10/02/2026</v>
      </c>
      <c r="K1825">
        <v>46073</v>
      </c>
      <c r="N1825">
        <v>303</v>
      </c>
      <c r="O1825" t="s">
        <v>26</v>
      </c>
      <c r="Q1825">
        <v>302.01</v>
      </c>
      <c r="R1825" t="str">
        <f>"FARMÁCIA INDIANA LJ 192 (10082)"</f>
        <v>FARMÁCIA INDIANA LJ 192 (10082)</v>
      </c>
      <c r="S1825" t="s">
        <v>27</v>
      </c>
      <c r="T1825">
        <v>4373</v>
      </c>
      <c r="U1825">
        <v>3712</v>
      </c>
      <c r="V1825" t="s">
        <v>22</v>
      </c>
    </row>
    <row r="1826" spans="1:22">
      <c r="A1826" t="str">
        <f t="shared" si="638"/>
        <v>20/02/2026</v>
      </c>
      <c r="B1826" t="str">
        <f t="shared" si="639"/>
        <v>ENTRADA</v>
      </c>
      <c r="C1826" t="str">
        <f t="shared" si="640"/>
        <v>NFSE</v>
      </c>
      <c r="D1826" t="str">
        <f t="shared" si="643"/>
        <v>295</v>
      </c>
      <c r="E1826" t="str">
        <f t="shared" si="641"/>
        <v>1</v>
      </c>
      <c r="F1826" t="str">
        <f t="shared" si="642"/>
        <v>COM</v>
      </c>
      <c r="G1826" t="str">
        <f t="shared" si="644"/>
        <v>FARMÁCIA INDIANA LJ 1 (10126)</v>
      </c>
      <c r="H1826" t="s">
        <v>471</v>
      </c>
      <c r="I1826" t="str">
        <f t="shared" si="645"/>
        <v>18/02/2026</v>
      </c>
      <c r="J1826" t="str">
        <f t="shared" si="646"/>
        <v>10/02/2026</v>
      </c>
      <c r="K1826">
        <v>46073</v>
      </c>
      <c r="N1826">
        <v>303</v>
      </c>
      <c r="O1826" t="s">
        <v>26</v>
      </c>
      <c r="Q1826">
        <v>39.81</v>
      </c>
      <c r="R1826" t="str">
        <f>"FARMÁCIA INDIANA LJ 195 (10083)"</f>
        <v>FARMÁCIA INDIANA LJ 195 (10083)</v>
      </c>
      <c r="S1826" t="s">
        <v>27</v>
      </c>
      <c r="T1826">
        <v>4373</v>
      </c>
      <c r="U1826">
        <v>3712</v>
      </c>
      <c r="V1826" t="s">
        <v>22</v>
      </c>
    </row>
    <row r="1827" spans="1:22">
      <c r="A1827" t="str">
        <f t="shared" si="638"/>
        <v>20/02/2026</v>
      </c>
      <c r="B1827" t="str">
        <f t="shared" si="639"/>
        <v>ENTRADA</v>
      </c>
      <c r="C1827" t="str">
        <f t="shared" si="640"/>
        <v>NFSE</v>
      </c>
      <c r="D1827" t="str">
        <f t="shared" si="643"/>
        <v>295</v>
      </c>
      <c r="E1827" t="str">
        <f t="shared" si="641"/>
        <v>1</v>
      </c>
      <c r="F1827" t="str">
        <f t="shared" si="642"/>
        <v>COM</v>
      </c>
      <c r="G1827" t="str">
        <f t="shared" si="644"/>
        <v>FARMÁCIA INDIANA LJ 1 (10126)</v>
      </c>
      <c r="H1827" t="s">
        <v>471</v>
      </c>
      <c r="I1827" t="str">
        <f t="shared" si="645"/>
        <v>18/02/2026</v>
      </c>
      <c r="J1827" t="str">
        <f t="shared" si="646"/>
        <v>10/02/2026</v>
      </c>
      <c r="K1827">
        <v>46073</v>
      </c>
      <c r="N1827">
        <v>303</v>
      </c>
      <c r="O1827" t="s">
        <v>26</v>
      </c>
      <c r="Q1827">
        <v>100.21</v>
      </c>
      <c r="R1827" t="str">
        <f>"FARMÁCIA INDIANA LJ 202 (10085)"</f>
        <v>FARMÁCIA INDIANA LJ 202 (10085)</v>
      </c>
      <c r="S1827" t="s">
        <v>27</v>
      </c>
      <c r="T1827">
        <v>4373</v>
      </c>
      <c r="U1827">
        <v>3712</v>
      </c>
      <c r="V1827" t="s">
        <v>22</v>
      </c>
    </row>
    <row r="1828" spans="1:22">
      <c r="A1828" t="str">
        <f t="shared" si="638"/>
        <v>20/02/2026</v>
      </c>
      <c r="B1828" t="str">
        <f t="shared" si="639"/>
        <v>ENTRADA</v>
      </c>
      <c r="C1828" t="str">
        <f t="shared" si="640"/>
        <v>NFSE</v>
      </c>
      <c r="D1828" t="str">
        <f t="shared" si="643"/>
        <v>295</v>
      </c>
      <c r="E1828" t="str">
        <f t="shared" si="641"/>
        <v>1</v>
      </c>
      <c r="F1828" t="str">
        <f t="shared" si="642"/>
        <v>COM</v>
      </c>
      <c r="G1828" t="str">
        <f t="shared" si="644"/>
        <v>FARMÁCIA INDIANA LJ 1 (10126)</v>
      </c>
      <c r="H1828" t="s">
        <v>471</v>
      </c>
      <c r="I1828" t="str">
        <f t="shared" si="645"/>
        <v>18/02/2026</v>
      </c>
      <c r="J1828" t="str">
        <f t="shared" si="646"/>
        <v>10/02/2026</v>
      </c>
      <c r="K1828">
        <v>46073</v>
      </c>
      <c r="N1828">
        <v>303</v>
      </c>
      <c r="O1828" t="s">
        <v>26</v>
      </c>
      <c r="Q1828">
        <v>79.62</v>
      </c>
      <c r="R1828" t="str">
        <f>"FARMÁCIA INDIANA LJ 204 (10087)"</f>
        <v>FARMÁCIA INDIANA LJ 204 (10087)</v>
      </c>
      <c r="S1828" t="s">
        <v>27</v>
      </c>
      <c r="T1828">
        <v>4373</v>
      </c>
      <c r="U1828">
        <v>3712</v>
      </c>
      <c r="V1828" t="s">
        <v>22</v>
      </c>
    </row>
    <row r="1829" spans="1:22">
      <c r="A1829" t="str">
        <f t="shared" si="638"/>
        <v>20/02/2026</v>
      </c>
      <c r="B1829" t="str">
        <f t="shared" si="639"/>
        <v>ENTRADA</v>
      </c>
      <c r="C1829" t="str">
        <f t="shared" si="640"/>
        <v>NFSE</v>
      </c>
      <c r="D1829" t="str">
        <f t="shared" si="643"/>
        <v>295</v>
      </c>
      <c r="E1829" t="str">
        <f t="shared" si="641"/>
        <v>1</v>
      </c>
      <c r="F1829" t="str">
        <f t="shared" si="642"/>
        <v>COM</v>
      </c>
      <c r="G1829" t="str">
        <f t="shared" si="644"/>
        <v>FARMÁCIA INDIANA LJ 1 (10126)</v>
      </c>
      <c r="H1829" t="s">
        <v>471</v>
      </c>
      <c r="I1829" t="str">
        <f t="shared" si="645"/>
        <v>18/02/2026</v>
      </c>
      <c r="J1829" t="str">
        <f t="shared" si="646"/>
        <v>10/02/2026</v>
      </c>
      <c r="K1829">
        <v>46073</v>
      </c>
      <c r="N1829">
        <v>303</v>
      </c>
      <c r="O1829" t="s">
        <v>26</v>
      </c>
      <c r="Q1829">
        <v>146.88999999999999</v>
      </c>
      <c r="R1829" t="str">
        <f>"FARMÁCIA INDIANA LJ 207 (10088)"</f>
        <v>FARMÁCIA INDIANA LJ 207 (10088)</v>
      </c>
      <c r="S1829" t="s">
        <v>27</v>
      </c>
      <c r="T1829">
        <v>4373</v>
      </c>
      <c r="U1829">
        <v>3712</v>
      </c>
      <c r="V1829" t="s">
        <v>22</v>
      </c>
    </row>
    <row r="1830" spans="1:22">
      <c r="A1830" t="str">
        <f t="shared" si="638"/>
        <v>20/02/2026</v>
      </c>
      <c r="B1830" t="str">
        <f t="shared" si="639"/>
        <v>ENTRADA</v>
      </c>
      <c r="C1830" t="str">
        <f t="shared" si="640"/>
        <v>NFSE</v>
      </c>
      <c r="D1830" t="str">
        <f t="shared" si="643"/>
        <v>295</v>
      </c>
      <c r="E1830" t="str">
        <f t="shared" si="641"/>
        <v>1</v>
      </c>
      <c r="F1830" t="str">
        <f t="shared" si="642"/>
        <v>COM</v>
      </c>
      <c r="G1830" t="str">
        <f t="shared" si="644"/>
        <v>FARMÁCIA INDIANA LJ 1 (10126)</v>
      </c>
      <c r="H1830" t="s">
        <v>471</v>
      </c>
      <c r="I1830" t="str">
        <f t="shared" si="645"/>
        <v>18/02/2026</v>
      </c>
      <c r="J1830" t="str">
        <f t="shared" si="646"/>
        <v>10/02/2026</v>
      </c>
      <c r="K1830">
        <v>46073</v>
      </c>
      <c r="N1830">
        <v>303</v>
      </c>
      <c r="O1830" t="s">
        <v>26</v>
      </c>
      <c r="Q1830">
        <v>124.92</v>
      </c>
      <c r="R1830" t="str">
        <f>"FARMÁCIA INDIANA LJ 209 (10089)"</f>
        <v>FARMÁCIA INDIANA LJ 209 (10089)</v>
      </c>
      <c r="S1830" t="s">
        <v>27</v>
      </c>
      <c r="T1830">
        <v>4373</v>
      </c>
      <c r="U1830">
        <v>3712</v>
      </c>
      <c r="V1830" t="s">
        <v>22</v>
      </c>
    </row>
    <row r="1831" spans="1:22">
      <c r="A1831" t="str">
        <f t="shared" si="638"/>
        <v>20/02/2026</v>
      </c>
      <c r="B1831" t="str">
        <f t="shared" si="639"/>
        <v>ENTRADA</v>
      </c>
      <c r="C1831" t="str">
        <f t="shared" si="640"/>
        <v>NFSE</v>
      </c>
      <c r="D1831" t="str">
        <f t="shared" si="643"/>
        <v>295</v>
      </c>
      <c r="E1831" t="str">
        <f t="shared" si="641"/>
        <v>1</v>
      </c>
      <c r="F1831" t="str">
        <f t="shared" si="642"/>
        <v>COM</v>
      </c>
      <c r="G1831" t="str">
        <f t="shared" si="644"/>
        <v>FARMÁCIA INDIANA LJ 1 (10126)</v>
      </c>
      <c r="H1831" t="s">
        <v>471</v>
      </c>
      <c r="I1831" t="str">
        <f t="shared" si="645"/>
        <v>18/02/2026</v>
      </c>
      <c r="J1831" t="str">
        <f t="shared" si="646"/>
        <v>10/02/2026</v>
      </c>
      <c r="K1831">
        <v>46073</v>
      </c>
      <c r="N1831">
        <v>303</v>
      </c>
      <c r="O1831" t="s">
        <v>26</v>
      </c>
      <c r="Q1831">
        <v>225.14</v>
      </c>
      <c r="R1831" t="str">
        <f>"FARMÁCIA INDIANA LJ 219 (10091)"</f>
        <v>FARMÁCIA INDIANA LJ 219 (10091)</v>
      </c>
      <c r="S1831" t="s">
        <v>27</v>
      </c>
      <c r="T1831">
        <v>4373</v>
      </c>
      <c r="U1831">
        <v>3712</v>
      </c>
      <c r="V1831" t="s">
        <v>22</v>
      </c>
    </row>
    <row r="1832" spans="1:22">
      <c r="A1832" t="str">
        <f t="shared" si="638"/>
        <v>20/02/2026</v>
      </c>
      <c r="B1832" t="str">
        <f t="shared" si="639"/>
        <v>ENTRADA</v>
      </c>
      <c r="C1832" t="str">
        <f t="shared" si="640"/>
        <v>NFSE</v>
      </c>
      <c r="D1832" t="str">
        <f t="shared" si="643"/>
        <v>295</v>
      </c>
      <c r="E1832" t="str">
        <f t="shared" si="641"/>
        <v>1</v>
      </c>
      <c r="F1832" t="str">
        <f t="shared" si="642"/>
        <v>COM</v>
      </c>
      <c r="G1832" t="str">
        <f t="shared" si="644"/>
        <v>FARMÁCIA INDIANA LJ 1 (10126)</v>
      </c>
      <c r="H1832" t="s">
        <v>471</v>
      </c>
      <c r="I1832" t="str">
        <f t="shared" si="645"/>
        <v>18/02/2026</v>
      </c>
      <c r="J1832" t="str">
        <f t="shared" si="646"/>
        <v>10/02/2026</v>
      </c>
      <c r="K1832">
        <v>46073</v>
      </c>
      <c r="N1832">
        <v>303</v>
      </c>
      <c r="O1832" t="s">
        <v>26</v>
      </c>
      <c r="Q1832">
        <v>403.6</v>
      </c>
      <c r="R1832" t="str">
        <f>"FARMÁCIA INDIANA LJ 220 (10092)"</f>
        <v>FARMÁCIA INDIANA LJ 220 (10092)</v>
      </c>
      <c r="S1832" t="s">
        <v>27</v>
      </c>
      <c r="T1832">
        <v>4373</v>
      </c>
      <c r="U1832">
        <v>3712</v>
      </c>
      <c r="V1832" t="s">
        <v>22</v>
      </c>
    </row>
    <row r="1833" spans="1:22">
      <c r="A1833" t="str">
        <f t="shared" si="638"/>
        <v>20/02/2026</v>
      </c>
      <c r="B1833" t="str">
        <f t="shared" si="639"/>
        <v>ENTRADA</v>
      </c>
      <c r="C1833" t="str">
        <f t="shared" si="640"/>
        <v>NFSE</v>
      </c>
      <c r="D1833" t="str">
        <f t="shared" si="643"/>
        <v>295</v>
      </c>
      <c r="E1833" t="str">
        <f t="shared" si="641"/>
        <v>1</v>
      </c>
      <c r="F1833" t="str">
        <f t="shared" si="642"/>
        <v>COM</v>
      </c>
      <c r="G1833" t="str">
        <f t="shared" si="644"/>
        <v>FARMÁCIA INDIANA LJ 1 (10126)</v>
      </c>
      <c r="H1833" t="s">
        <v>471</v>
      </c>
      <c r="I1833" t="str">
        <f t="shared" si="645"/>
        <v>18/02/2026</v>
      </c>
      <c r="J1833" t="str">
        <f t="shared" si="646"/>
        <v>10/02/2026</v>
      </c>
      <c r="K1833">
        <v>46073</v>
      </c>
      <c r="N1833">
        <v>303</v>
      </c>
      <c r="O1833" t="s">
        <v>26</v>
      </c>
      <c r="Q1833">
        <v>113.94</v>
      </c>
      <c r="R1833" t="str">
        <f>"FARMÁCIA INDIANA LJ 185 (10141)"</f>
        <v>FARMÁCIA INDIANA LJ 185 (10141)</v>
      </c>
      <c r="S1833" t="s">
        <v>27</v>
      </c>
      <c r="T1833">
        <v>4373</v>
      </c>
      <c r="U1833">
        <v>3712</v>
      </c>
      <c r="V1833" t="s">
        <v>22</v>
      </c>
    </row>
    <row r="1834" spans="1:22">
      <c r="A1834" t="str">
        <f t="shared" si="638"/>
        <v>20/02/2026</v>
      </c>
      <c r="B1834" t="str">
        <f t="shared" si="639"/>
        <v>ENTRADA</v>
      </c>
      <c r="C1834" t="str">
        <f t="shared" si="640"/>
        <v>NFSE</v>
      </c>
      <c r="D1834" t="str">
        <f t="shared" si="643"/>
        <v>295</v>
      </c>
      <c r="E1834" t="str">
        <f t="shared" si="641"/>
        <v>1</v>
      </c>
      <c r="F1834" t="str">
        <f t="shared" si="642"/>
        <v>COM</v>
      </c>
      <c r="G1834" t="str">
        <f t="shared" si="644"/>
        <v>FARMÁCIA INDIANA LJ 1 (10126)</v>
      </c>
      <c r="H1834" t="s">
        <v>471</v>
      </c>
      <c r="I1834" t="str">
        <f t="shared" si="645"/>
        <v>18/02/2026</v>
      </c>
      <c r="J1834" t="str">
        <f t="shared" si="646"/>
        <v>10/02/2026</v>
      </c>
      <c r="K1834">
        <v>46073</v>
      </c>
      <c r="N1834">
        <v>303</v>
      </c>
      <c r="O1834" t="s">
        <v>26</v>
      </c>
      <c r="Q1834">
        <v>107.08</v>
      </c>
      <c r="R1834" t="str">
        <f>"FARMÁCIA INDIANA LJ 205 (10150)"</f>
        <v>FARMÁCIA INDIANA LJ 205 (10150)</v>
      </c>
      <c r="S1834" t="s">
        <v>27</v>
      </c>
      <c r="T1834">
        <v>4373</v>
      </c>
      <c r="U1834">
        <v>3712</v>
      </c>
      <c r="V1834" t="s">
        <v>22</v>
      </c>
    </row>
    <row r="1835" spans="1:22">
      <c r="A1835" t="str">
        <f t="shared" si="638"/>
        <v>20/02/2026</v>
      </c>
      <c r="B1835" t="str">
        <f t="shared" si="639"/>
        <v>ENTRADA</v>
      </c>
      <c r="C1835" t="str">
        <f t="shared" si="640"/>
        <v>NFSE</v>
      </c>
      <c r="D1835" t="str">
        <f t="shared" si="643"/>
        <v>295</v>
      </c>
      <c r="E1835" t="str">
        <f t="shared" si="641"/>
        <v>1</v>
      </c>
      <c r="F1835" t="str">
        <f t="shared" si="642"/>
        <v>COM</v>
      </c>
      <c r="G1835" t="str">
        <f t="shared" si="644"/>
        <v>FARMÁCIA INDIANA LJ 1 (10126)</v>
      </c>
      <c r="H1835" t="s">
        <v>471</v>
      </c>
      <c r="I1835" t="str">
        <f t="shared" si="645"/>
        <v>18/02/2026</v>
      </c>
      <c r="J1835" t="str">
        <f t="shared" si="646"/>
        <v>10/02/2026</v>
      </c>
      <c r="K1835">
        <v>46073</v>
      </c>
      <c r="N1835">
        <v>303</v>
      </c>
      <c r="O1835" t="s">
        <v>26</v>
      </c>
      <c r="Q1835">
        <v>560.1</v>
      </c>
      <c r="R1835" t="str">
        <f>"FARMÁCIA INDIANA LJ 172 (10161)"</f>
        <v>FARMÁCIA INDIANA LJ 172 (10161)</v>
      </c>
      <c r="S1835" t="s">
        <v>27</v>
      </c>
      <c r="T1835">
        <v>4373</v>
      </c>
      <c r="U1835">
        <v>3712</v>
      </c>
      <c r="V1835" t="s">
        <v>22</v>
      </c>
    </row>
    <row r="1836" spans="1:22">
      <c r="A1836" t="str">
        <f t="shared" si="638"/>
        <v>20/02/2026</v>
      </c>
      <c r="B1836" t="str">
        <f t="shared" si="639"/>
        <v>ENTRADA</v>
      </c>
      <c r="C1836" t="str">
        <f t="shared" si="640"/>
        <v>NFSE</v>
      </c>
      <c r="D1836" t="str">
        <f t="shared" si="643"/>
        <v>295</v>
      </c>
      <c r="E1836" t="str">
        <f t="shared" si="641"/>
        <v>1</v>
      </c>
      <c r="F1836" t="str">
        <f t="shared" si="642"/>
        <v>COM</v>
      </c>
      <c r="G1836" t="str">
        <f t="shared" si="644"/>
        <v>FARMÁCIA INDIANA LJ 1 (10126)</v>
      </c>
      <c r="H1836" t="s">
        <v>471</v>
      </c>
      <c r="I1836" t="str">
        <f t="shared" si="645"/>
        <v>18/02/2026</v>
      </c>
      <c r="J1836" t="str">
        <f t="shared" si="646"/>
        <v>10/02/2026</v>
      </c>
      <c r="K1836">
        <v>46073</v>
      </c>
      <c r="N1836">
        <v>303</v>
      </c>
      <c r="O1836" t="s">
        <v>26</v>
      </c>
      <c r="Q1836">
        <v>79.62</v>
      </c>
      <c r="R1836" t="str">
        <f>"FARMÁCIA INDIANA LJ 266 (10186)"</f>
        <v>FARMÁCIA INDIANA LJ 266 (10186)</v>
      </c>
      <c r="S1836" t="s">
        <v>27</v>
      </c>
      <c r="T1836">
        <v>4373</v>
      </c>
      <c r="U1836">
        <v>3712</v>
      </c>
      <c r="V1836" t="s">
        <v>22</v>
      </c>
    </row>
    <row r="1837" spans="1:22">
      <c r="A1837" t="str">
        <f t="shared" si="638"/>
        <v>20/02/2026</v>
      </c>
      <c r="B1837" t="str">
        <f t="shared" si="639"/>
        <v>ENTRADA</v>
      </c>
      <c r="C1837" t="str">
        <f t="shared" si="640"/>
        <v>NFSE</v>
      </c>
      <c r="D1837" t="str">
        <f t="shared" si="643"/>
        <v>295</v>
      </c>
      <c r="E1837" t="str">
        <f t="shared" si="641"/>
        <v>1</v>
      </c>
      <c r="F1837" t="str">
        <f t="shared" si="642"/>
        <v>COM</v>
      </c>
      <c r="G1837" t="str">
        <f t="shared" si="644"/>
        <v>FARMÁCIA INDIANA LJ 1 (10126)</v>
      </c>
      <c r="H1837" t="s">
        <v>471</v>
      </c>
      <c r="I1837" t="str">
        <f t="shared" si="645"/>
        <v>18/02/2026</v>
      </c>
      <c r="J1837" t="str">
        <f t="shared" si="646"/>
        <v>10/02/2026</v>
      </c>
      <c r="K1837">
        <v>46073</v>
      </c>
      <c r="N1837">
        <v>303</v>
      </c>
      <c r="O1837" t="s">
        <v>26</v>
      </c>
      <c r="Q1837">
        <v>4.12</v>
      </c>
      <c r="R1837" t="str">
        <f>"FARMÁCIA INDIANA LJ 257 (10267)"</f>
        <v>FARMÁCIA INDIANA LJ 257 (10267)</v>
      </c>
      <c r="S1837" t="s">
        <v>27</v>
      </c>
      <c r="T1837">
        <v>4373</v>
      </c>
      <c r="U1837">
        <v>3712</v>
      </c>
      <c r="V1837" t="s">
        <v>22</v>
      </c>
    </row>
    <row r="1838" spans="1:22">
      <c r="A1838" t="str">
        <f t="shared" si="638"/>
        <v>20/02/2026</v>
      </c>
      <c r="B1838" t="str">
        <f t="shared" si="639"/>
        <v>ENTRADA</v>
      </c>
      <c r="C1838" t="str">
        <f t="shared" si="640"/>
        <v>NFSE</v>
      </c>
      <c r="D1838" t="str">
        <f t="shared" si="643"/>
        <v>295</v>
      </c>
      <c r="E1838" t="str">
        <f t="shared" si="641"/>
        <v>1</v>
      </c>
      <c r="F1838" t="str">
        <f t="shared" si="642"/>
        <v>COM</v>
      </c>
      <c r="G1838" t="str">
        <f t="shared" si="644"/>
        <v>FARMÁCIA INDIANA LJ 1 (10126)</v>
      </c>
      <c r="H1838" t="s">
        <v>471</v>
      </c>
      <c r="I1838" t="str">
        <f t="shared" si="645"/>
        <v>18/02/2026</v>
      </c>
      <c r="J1838" t="str">
        <f t="shared" si="646"/>
        <v>10/02/2026</v>
      </c>
      <c r="K1838">
        <v>46073</v>
      </c>
      <c r="N1838">
        <v>303</v>
      </c>
      <c r="O1838" t="s">
        <v>26</v>
      </c>
      <c r="Q1838">
        <v>120.8</v>
      </c>
      <c r="R1838" t="str">
        <f>"FARMÁCIA INDIANA LJ 134 (10271)"</f>
        <v>FARMÁCIA INDIANA LJ 134 (10271)</v>
      </c>
      <c r="S1838" t="s">
        <v>27</v>
      </c>
      <c r="T1838">
        <v>4373</v>
      </c>
      <c r="U1838">
        <v>3712</v>
      </c>
      <c r="V1838" t="s">
        <v>22</v>
      </c>
    </row>
    <row r="1839" spans="1:22">
      <c r="A1839" t="str">
        <f t="shared" si="638"/>
        <v>20/02/2026</v>
      </c>
      <c r="B1839" t="str">
        <f t="shared" si="639"/>
        <v>ENTRADA</v>
      </c>
      <c r="C1839" t="str">
        <f t="shared" si="640"/>
        <v>NFSE</v>
      </c>
      <c r="D1839" t="str">
        <f t="shared" si="643"/>
        <v>295</v>
      </c>
      <c r="E1839" t="str">
        <f t="shared" si="641"/>
        <v>1</v>
      </c>
      <c r="F1839" t="str">
        <f t="shared" si="642"/>
        <v>COM</v>
      </c>
      <c r="G1839" t="str">
        <f t="shared" si="644"/>
        <v>FARMÁCIA INDIANA LJ 1 (10126)</v>
      </c>
      <c r="H1839" t="s">
        <v>471</v>
      </c>
      <c r="I1839" t="str">
        <f t="shared" si="645"/>
        <v>18/02/2026</v>
      </c>
      <c r="J1839" t="str">
        <f t="shared" si="646"/>
        <v>10/02/2026</v>
      </c>
      <c r="K1839">
        <v>46073</v>
      </c>
      <c r="N1839">
        <v>303</v>
      </c>
      <c r="O1839" t="s">
        <v>26</v>
      </c>
      <c r="Q1839">
        <v>94.72</v>
      </c>
      <c r="R1839" t="str">
        <f>"FARMÁCIA INDIANA LJ 284 (10280)"</f>
        <v>FARMÁCIA INDIANA LJ 284 (10280)</v>
      </c>
      <c r="S1839" t="s">
        <v>27</v>
      </c>
      <c r="T1839">
        <v>4373</v>
      </c>
      <c r="U1839">
        <v>3712</v>
      </c>
      <c r="V1839" t="s">
        <v>22</v>
      </c>
    </row>
    <row r="1840" spans="1:22">
      <c r="A1840" t="str">
        <f t="shared" si="638"/>
        <v>20/02/2026</v>
      </c>
      <c r="B1840" t="str">
        <f t="shared" si="639"/>
        <v>ENTRADA</v>
      </c>
      <c r="C1840" t="str">
        <f>"TRANSFERENCIA"</f>
        <v>TRANSFERENCIA</v>
      </c>
      <c r="D1840" t="str">
        <f>""</f>
        <v/>
      </c>
      <c r="F1840" t="str">
        <f>"TRF"</f>
        <v>TRF</v>
      </c>
      <c r="G1840" t="str">
        <f>""</f>
        <v/>
      </c>
      <c r="H1840" t="str">
        <f>"TRANSFERENCIA PARA DEVOLUCAO AJUDA DE CAIXA COOPERATIVA (120-&gt;102)"</f>
        <v>TRANSFERENCIA PARA DEVOLUCAO AJUDA DE CAIXA COOPERATIVA (120-&gt;102)</v>
      </c>
      <c r="I1840" t="str">
        <f t="shared" ref="I1840:K1842" si="647">("20/02/2026")</f>
        <v>20/02/2026</v>
      </c>
      <c r="J1840" t="str">
        <f t="shared" si="647"/>
        <v>20/02/2026</v>
      </c>
      <c r="K1840" t="str">
        <f t="shared" si="647"/>
        <v>20/02/2026</v>
      </c>
      <c r="N1840">
        <v>102</v>
      </c>
      <c r="O1840" t="str">
        <f>"BANCO CORA"</f>
        <v>BANCO CORA</v>
      </c>
      <c r="P1840">
        <v>10000</v>
      </c>
      <c r="S1840" t="str">
        <f>"BANCO CORA (102)"</f>
        <v>BANCO CORA (102)</v>
      </c>
      <c r="T1840">
        <v>4374</v>
      </c>
      <c r="U1840">
        <v>0</v>
      </c>
      <c r="V1840" t="s">
        <v>22</v>
      </c>
    </row>
    <row r="1841" spans="1:22">
      <c r="A1841" t="str">
        <f t="shared" si="638"/>
        <v>20/02/2026</v>
      </c>
      <c r="B1841" t="str">
        <f>"SAÍDA"</f>
        <v>SAÍDA</v>
      </c>
      <c r="C1841" t="str">
        <f>"TRANSFERENCIA"</f>
        <v>TRANSFERENCIA</v>
      </c>
      <c r="D1841" t="str">
        <f>""</f>
        <v/>
      </c>
      <c r="F1841" t="str">
        <f>"TRF"</f>
        <v>TRF</v>
      </c>
      <c r="G1841" t="str">
        <f>""</f>
        <v/>
      </c>
      <c r="H1841" t="str">
        <f>"TRANSFERENCIA PARA DEVOLUCAO AJUDA DE CAIXA COOPERATIVA (120-&gt;102)"</f>
        <v>TRANSFERENCIA PARA DEVOLUCAO AJUDA DE CAIXA COOPERATIVA (120-&gt;102)</v>
      </c>
      <c r="I1841" t="str">
        <f t="shared" si="647"/>
        <v>20/02/2026</v>
      </c>
      <c r="J1841" t="str">
        <f t="shared" si="647"/>
        <v>20/02/2026</v>
      </c>
      <c r="K1841" t="str">
        <f t="shared" si="647"/>
        <v>20/02/2026</v>
      </c>
      <c r="N1841">
        <v>120</v>
      </c>
      <c r="O1841" t="str">
        <f>"CAIXA - COOPERATIVA"</f>
        <v>CAIXA - COOPERATIVA</v>
      </c>
      <c r="S1841" t="str">
        <f>"CAIXA - COOPERATIVA (120)"</f>
        <v>CAIXA - COOPERATIVA (120)</v>
      </c>
      <c r="T1841">
        <v>4374</v>
      </c>
      <c r="U1841">
        <v>0</v>
      </c>
      <c r="V1841" t="s">
        <v>56</v>
      </c>
    </row>
    <row r="1842" spans="1:22">
      <c r="A1842" t="str">
        <f t="shared" ref="A1842:A1849" si="648">("20/02/2026")</f>
        <v>20/02/2026</v>
      </c>
      <c r="B1842" t="str">
        <f>"SAÍDA"</f>
        <v>SAÍDA</v>
      </c>
      <c r="C1842" t="str">
        <f>"PIX"</f>
        <v>PIX</v>
      </c>
      <c r="D1842" t="str">
        <f>"1509251000"</f>
        <v>1509251000</v>
      </c>
      <c r="E1842" t="str">
        <f>"4"</f>
        <v>4</v>
      </c>
      <c r="F1842" t="str">
        <f t="shared" ref="F1842:F1860" si="649">"COM"</f>
        <v>COM</v>
      </c>
      <c r="G1842" t="str">
        <f>"CONTA SIMPLES SOLUCOES DE PAGAMENTOS LTDA (20019)"</f>
        <v>CONTA SIMPLES SOLUCOES DE PAGAMENTOS LTDA (20019)</v>
      </c>
      <c r="H1842" t="str">
        <f>"MARKETING REDES SOCIAIS - PIX- CHAVE ALEATORIA: 1d5b84cc-db31-469d-b8ee-076ced54c3e9"</f>
        <v>MARKETING REDES SOCIAIS - PIX- CHAVE ALEATORIA: 1d5b84cc-db31-469d-b8ee-076ced54c3e9</v>
      </c>
      <c r="I1842" t="str">
        <f t="shared" si="647"/>
        <v>20/02/2026</v>
      </c>
      <c r="J1842" t="str">
        <f t="shared" si="647"/>
        <v>20/02/2026</v>
      </c>
      <c r="K1842" t="str">
        <f t="shared" si="647"/>
        <v>20/02/2026</v>
      </c>
      <c r="L1842">
        <v>1500</v>
      </c>
      <c r="M1842">
        <v>1500</v>
      </c>
      <c r="N1842">
        <v>127</v>
      </c>
      <c r="O1842" t="str">
        <f>"PUBLICIDADE E PROPAGANDAS"</f>
        <v>PUBLICIDADE E PROPAGANDAS</v>
      </c>
      <c r="P1842">
        <v>1500</v>
      </c>
      <c r="S1842" t="str">
        <f>"BANCO CORA (102)"</f>
        <v>BANCO CORA (102)</v>
      </c>
      <c r="T1842">
        <v>4375</v>
      </c>
      <c r="U1842">
        <v>3195</v>
      </c>
      <c r="V1842" t="s">
        <v>22</v>
      </c>
    </row>
    <row r="1843" spans="1:22">
      <c r="A1843" t="str">
        <f t="shared" si="648"/>
        <v>20/02/2026</v>
      </c>
      <c r="B1843" t="str">
        <f>"SAÍDA"</f>
        <v>SAÍDA</v>
      </c>
      <c r="C1843" t="str">
        <f>"PIX"</f>
        <v>PIX</v>
      </c>
      <c r="D1843" t="str">
        <f>"1509251000"</f>
        <v>1509251000</v>
      </c>
      <c r="E1843" t="str">
        <f>"4"</f>
        <v>4</v>
      </c>
      <c r="F1843" t="str">
        <f t="shared" si="649"/>
        <v>COM</v>
      </c>
      <c r="G1843" t="str">
        <f>"CONTA SIMPLES SOLUCOES DE PAGAMENTOS LTDA (20019)"</f>
        <v>CONTA SIMPLES SOLUCOES DE PAGAMENTOS LTDA (20019)</v>
      </c>
      <c r="H1843" t="s">
        <v>83</v>
      </c>
      <c r="I1843" t="str">
        <f>("20/02/2026")</f>
        <v>20/02/2026</v>
      </c>
      <c r="J1843" t="str">
        <f>("20/02/2026")</f>
        <v>20/02/2026</v>
      </c>
      <c r="K1843">
        <v>46073</v>
      </c>
      <c r="N1843">
        <v>127</v>
      </c>
      <c r="O1843" t="s">
        <v>84</v>
      </c>
      <c r="Q1843">
        <v>1500</v>
      </c>
      <c r="R1843" t="str">
        <f>"CONTA SIMPLES SOLUCOES DE PAGAMENTOS LTDA (20019)"</f>
        <v>CONTA SIMPLES SOLUCOES DE PAGAMENTOS LTDA (20019)</v>
      </c>
      <c r="S1843" t="s">
        <v>22</v>
      </c>
      <c r="T1843">
        <v>4375</v>
      </c>
      <c r="U1843">
        <v>3195</v>
      </c>
      <c r="V1843" t="s">
        <v>22</v>
      </c>
    </row>
    <row r="1844" spans="1:22">
      <c r="A1844" t="str">
        <f t="shared" si="648"/>
        <v>20/02/2026</v>
      </c>
      <c r="B1844" t="str">
        <f>"ENTRADA"</f>
        <v>ENTRADA</v>
      </c>
      <c r="C1844" t="str">
        <f>"NFSE"</f>
        <v>NFSE</v>
      </c>
      <c r="D1844" t="str">
        <f>"317"</f>
        <v>317</v>
      </c>
      <c r="E1844" t="str">
        <f>"1"</f>
        <v>1</v>
      </c>
      <c r="F1844" t="str">
        <f t="shared" si="649"/>
        <v>COM</v>
      </c>
      <c r="G1844" t="str">
        <f>"BRASIL FARMA (10173)"</f>
        <v>BRASIL FARMA (10173)</v>
      </c>
      <c r="H1844" t="str">
        <f>"Serv.Prest. 09/02/2026 a 15/02/2026 - RPS: 2239 - NFSe: 317"</f>
        <v>Serv.Prest. 09/02/2026 a 15/02/2026 - RPS: 2239 - NFSe: 317</v>
      </c>
      <c r="I1844" t="str">
        <f>("18/02/2026")</f>
        <v>18/02/2026</v>
      </c>
      <c r="J1844" t="str">
        <f>("16/02/2026")</f>
        <v>16/02/2026</v>
      </c>
      <c r="K1844" t="str">
        <f>("20/02/2026")</f>
        <v>20/02/2026</v>
      </c>
      <c r="L1844">
        <v>300.89999999999998</v>
      </c>
      <c r="M1844">
        <v>309.91000000000003</v>
      </c>
      <c r="N1844">
        <v>303</v>
      </c>
      <c r="O1844" t="str">
        <f>"RECEITAS COM ENTREGAS"</f>
        <v>RECEITAS COM ENTREGAS</v>
      </c>
      <c r="P1844">
        <v>309.91000000000003</v>
      </c>
      <c r="S1844" t="str">
        <f>"RECEITAS COM ENTREGAS (303)"</f>
        <v>RECEITAS COM ENTREGAS (303)</v>
      </c>
      <c r="T1844">
        <v>4382</v>
      </c>
      <c r="U1844">
        <v>3768</v>
      </c>
      <c r="V1844" t="s">
        <v>88</v>
      </c>
    </row>
    <row r="1845" spans="1:22">
      <c r="A1845" t="str">
        <f t="shared" si="648"/>
        <v>20/02/2026</v>
      </c>
      <c r="B1845" t="str">
        <f>"ENTRADA"</f>
        <v>ENTRADA</v>
      </c>
      <c r="C1845" t="str">
        <f>"NFSE"</f>
        <v>NFSE</v>
      </c>
      <c r="D1845" t="str">
        <f>"317"</f>
        <v>317</v>
      </c>
      <c r="E1845" t="str">
        <f>"1"</f>
        <v>1</v>
      </c>
      <c r="F1845" t="str">
        <f t="shared" si="649"/>
        <v>COM</v>
      </c>
      <c r="G1845" t="str">
        <f>"BRASIL FARMA (10173)"</f>
        <v>BRASIL FARMA (10173)</v>
      </c>
      <c r="H1845" t="s">
        <v>472</v>
      </c>
      <c r="I1845" t="str">
        <f>("18/02/2026")</f>
        <v>18/02/2026</v>
      </c>
      <c r="J1845" t="str">
        <f>("16/02/2026")</f>
        <v>16/02/2026</v>
      </c>
      <c r="K1845">
        <v>46073</v>
      </c>
      <c r="N1845">
        <v>303</v>
      </c>
      <c r="O1845" t="s">
        <v>26</v>
      </c>
      <c r="Q1845">
        <v>309.91000000000003</v>
      </c>
      <c r="R1845" t="str">
        <f>"BRASIL FARMA (10173)"</f>
        <v>BRASIL FARMA (10173)</v>
      </c>
      <c r="S1845" t="s">
        <v>27</v>
      </c>
      <c r="T1845">
        <v>4382</v>
      </c>
      <c r="U1845">
        <v>3768</v>
      </c>
      <c r="V1845" t="s">
        <v>88</v>
      </c>
    </row>
    <row r="1846" spans="1:22">
      <c r="A1846" t="str">
        <f t="shared" si="648"/>
        <v>20/02/2026</v>
      </c>
      <c r="B1846" t="str">
        <f>"ENTRADA"</f>
        <v>ENTRADA</v>
      </c>
      <c r="C1846" t="str">
        <f>"NFSE"</f>
        <v>NFSE</v>
      </c>
      <c r="D1846" t="str">
        <f>"342"</f>
        <v>342</v>
      </c>
      <c r="E1846" t="str">
        <f>"1"</f>
        <v>1</v>
      </c>
      <c r="F1846" t="str">
        <f t="shared" si="649"/>
        <v>COM</v>
      </c>
      <c r="G1846" t="str">
        <f>"DROGARIA VAZ (10179)"</f>
        <v>DROGARIA VAZ (10179)</v>
      </c>
      <c r="H1846" t="str">
        <f>"Serv.Prest. 09/02/2026 a 15/02/2026 - RPS: 2264 - NFSe: 342"</f>
        <v>Serv.Prest. 09/02/2026 a 15/02/2026 - RPS: 2264 - NFSe: 342</v>
      </c>
      <c r="I1846" t="str">
        <f>("18/02/2026")</f>
        <v>18/02/2026</v>
      </c>
      <c r="J1846" t="str">
        <f>("16/02/2026")</f>
        <v>16/02/2026</v>
      </c>
      <c r="K1846" t="str">
        <f>("20/02/2026")</f>
        <v>20/02/2026</v>
      </c>
      <c r="L1846">
        <v>365.94</v>
      </c>
      <c r="M1846">
        <v>380.56</v>
      </c>
      <c r="N1846">
        <v>303</v>
      </c>
      <c r="O1846" t="str">
        <f>"RECEITAS COM ENTREGAS"</f>
        <v>RECEITAS COM ENTREGAS</v>
      </c>
      <c r="P1846">
        <v>380.56</v>
      </c>
      <c r="S1846" t="str">
        <f>"RECEITAS COM ENTREGAS (303)"</f>
        <v>RECEITAS COM ENTREGAS (303)</v>
      </c>
      <c r="T1846">
        <v>4383</v>
      </c>
      <c r="U1846">
        <v>3793</v>
      </c>
      <c r="V1846" t="s">
        <v>88</v>
      </c>
    </row>
    <row r="1847" spans="1:22">
      <c r="A1847" t="str">
        <f t="shared" si="648"/>
        <v>20/02/2026</v>
      </c>
      <c r="B1847" t="str">
        <f>"ENTRADA"</f>
        <v>ENTRADA</v>
      </c>
      <c r="C1847" t="str">
        <f>"NFSE"</f>
        <v>NFSE</v>
      </c>
      <c r="D1847" t="str">
        <f>"342"</f>
        <v>342</v>
      </c>
      <c r="E1847" t="str">
        <f>"1"</f>
        <v>1</v>
      </c>
      <c r="F1847" t="str">
        <f t="shared" si="649"/>
        <v>COM</v>
      </c>
      <c r="G1847" t="str">
        <f>"DROGARIA VAZ (10179)"</f>
        <v>DROGARIA VAZ (10179)</v>
      </c>
      <c r="H1847" t="s">
        <v>473</v>
      </c>
      <c r="I1847" t="str">
        <f>("18/02/2026")</f>
        <v>18/02/2026</v>
      </c>
      <c r="J1847" t="str">
        <f>("16/02/2026")</f>
        <v>16/02/2026</v>
      </c>
      <c r="K1847">
        <v>46073</v>
      </c>
      <c r="N1847">
        <v>303</v>
      </c>
      <c r="O1847" t="s">
        <v>26</v>
      </c>
      <c r="Q1847">
        <v>380.56</v>
      </c>
      <c r="R1847" t="str">
        <f>"DROGARIA VAZ (10179)"</f>
        <v>DROGARIA VAZ (10179)</v>
      </c>
      <c r="S1847" t="s">
        <v>27</v>
      </c>
      <c r="T1847">
        <v>4383</v>
      </c>
      <c r="U1847">
        <v>3793</v>
      </c>
      <c r="V1847" t="s">
        <v>88</v>
      </c>
    </row>
    <row r="1848" spans="1:22">
      <c r="A1848" t="str">
        <f t="shared" si="648"/>
        <v>20/02/2026</v>
      </c>
      <c r="B1848" t="str">
        <f>"SAÍDA"</f>
        <v>SAÍDA</v>
      </c>
      <c r="C1848" t="str">
        <f>"BOLETO"</f>
        <v>BOLETO</v>
      </c>
      <c r="D1848" t="str">
        <f>"072026019382781"</f>
        <v>072026019382781</v>
      </c>
      <c r="E1848" t="str">
        <f>"2"</f>
        <v>2</v>
      </c>
      <c r="F1848" t="str">
        <f t="shared" si="649"/>
        <v>COM</v>
      </c>
      <c r="G1848" t="str">
        <f>"MINISTERIO DA FAZENDA (20009)"</f>
        <v>MINISTERIO DA FAZENDA (20009)</v>
      </c>
      <c r="H1848" t="str">
        <f>"SIMPLES NACIONAL MES JANEIRO/2026"</f>
        <v>SIMPLES NACIONAL MES JANEIRO/2026</v>
      </c>
      <c r="I1848" t="str">
        <f>("20/02/2026")</f>
        <v>20/02/2026</v>
      </c>
      <c r="J1848" t="str">
        <f>("16/01/2026")</f>
        <v>16/01/2026</v>
      </c>
      <c r="K1848" t="str">
        <f>("20/02/2026")</f>
        <v>20/02/2026</v>
      </c>
      <c r="L1848">
        <v>21444.78</v>
      </c>
      <c r="M1848">
        <v>21444.78</v>
      </c>
      <c r="N1848">
        <v>144</v>
      </c>
      <c r="O1848" t="str">
        <f>"SIMPLES NACIONAL (DASN)"</f>
        <v>SIMPLES NACIONAL (DASN)</v>
      </c>
      <c r="P1848">
        <v>21444.78</v>
      </c>
      <c r="S1848" t="str">
        <f>"BANCO CORA (102)"</f>
        <v>BANCO CORA (102)</v>
      </c>
      <c r="T1848">
        <v>4385</v>
      </c>
      <c r="U1848">
        <v>3514</v>
      </c>
      <c r="V1848" t="s">
        <v>22</v>
      </c>
    </row>
    <row r="1849" spans="1:22">
      <c r="A1849" t="str">
        <f t="shared" si="648"/>
        <v>20/02/2026</v>
      </c>
      <c r="B1849" t="str">
        <f>"SAÍDA"</f>
        <v>SAÍDA</v>
      </c>
      <c r="C1849" t="str">
        <f>"BOLETO"</f>
        <v>BOLETO</v>
      </c>
      <c r="D1849" t="str">
        <f>"072026019382781"</f>
        <v>072026019382781</v>
      </c>
      <c r="E1849" t="str">
        <f>"2"</f>
        <v>2</v>
      </c>
      <c r="F1849" t="str">
        <f t="shared" si="649"/>
        <v>COM</v>
      </c>
      <c r="G1849" t="str">
        <f>"MINISTERIO DA FAZENDA (20009)"</f>
        <v>MINISTERIO DA FAZENDA (20009)</v>
      </c>
      <c r="H1849" t="s">
        <v>474</v>
      </c>
      <c r="I1849" t="str">
        <f>("20/02/2026")</f>
        <v>20/02/2026</v>
      </c>
      <c r="J1849" t="str">
        <f>("16/01/2026")</f>
        <v>16/01/2026</v>
      </c>
      <c r="K1849">
        <v>46073</v>
      </c>
      <c r="N1849">
        <v>144</v>
      </c>
      <c r="O1849" t="s">
        <v>208</v>
      </c>
      <c r="Q1849">
        <v>21444.78</v>
      </c>
      <c r="R1849" t="str">
        <f>"MINISTERIO DA FAZENDA (20009)"</f>
        <v>MINISTERIO DA FAZENDA (20009)</v>
      </c>
      <c r="S1849" t="s">
        <v>22</v>
      </c>
      <c r="T1849">
        <v>4385</v>
      </c>
      <c r="U1849">
        <v>3514</v>
      </c>
      <c r="V1849" t="s">
        <v>22</v>
      </c>
    </row>
    <row r="1850" spans="1:22">
      <c r="A1850" t="str">
        <f t="shared" ref="A1850:A1862" si="650">("23/02/2026")</f>
        <v>23/02/2026</v>
      </c>
      <c r="B1850" t="str">
        <f t="shared" ref="B1850:B1860" si="651">"ENTRADA"</f>
        <v>ENTRADA</v>
      </c>
      <c r="C1850" t="str">
        <f t="shared" ref="C1850:C1860" si="652">"NFSE"</f>
        <v>NFSE</v>
      </c>
      <c r="D1850" t="str">
        <f>"224"</f>
        <v>224</v>
      </c>
      <c r="E1850" t="str">
        <f t="shared" ref="E1850:E1860" si="653">"1"</f>
        <v>1</v>
      </c>
      <c r="F1850" t="str">
        <f t="shared" si="649"/>
        <v>COM</v>
      </c>
      <c r="G1850" t="str">
        <f>"PAGUE MENOS 332 (10290)"</f>
        <v>PAGUE MENOS 332 (10290)</v>
      </c>
      <c r="H1850" t="str">
        <f>"Serv.Prest. 26/01/2026 a 01/02/2026 - RPS: 2148 - NFSe: 224"</f>
        <v>Serv.Prest. 26/01/2026 a 01/02/2026 - RPS: 2148 - NFSe: 224</v>
      </c>
      <c r="I1850" t="str">
        <f t="shared" ref="I1850:I1860" si="654">("11/02/2026")</f>
        <v>11/02/2026</v>
      </c>
      <c r="J1850" t="str">
        <f t="shared" ref="J1850:J1860" si="655">("02/02/2026")</f>
        <v>02/02/2026</v>
      </c>
      <c r="K1850" t="str">
        <f>("23/02/2026")</f>
        <v>23/02/2026</v>
      </c>
      <c r="L1850">
        <v>126.82</v>
      </c>
      <c r="M1850">
        <v>126.82</v>
      </c>
      <c r="N1850">
        <v>303</v>
      </c>
      <c r="O1850" t="str">
        <f>"RECEITAS COM ENTREGAS"</f>
        <v>RECEITAS COM ENTREGAS</v>
      </c>
      <c r="P1850">
        <v>126.82</v>
      </c>
      <c r="S1850" t="str">
        <f>"RECEITAS COM ENTREGAS (303)"</f>
        <v>RECEITAS COM ENTREGAS (303)</v>
      </c>
      <c r="T1850">
        <v>4376</v>
      </c>
      <c r="U1850">
        <v>3628</v>
      </c>
      <c r="V1850" t="s">
        <v>22</v>
      </c>
    </row>
    <row r="1851" spans="1:22">
      <c r="A1851" t="str">
        <f t="shared" si="650"/>
        <v>23/02/2026</v>
      </c>
      <c r="B1851" t="str">
        <f t="shared" si="651"/>
        <v>ENTRADA</v>
      </c>
      <c r="C1851" t="str">
        <f t="shared" si="652"/>
        <v>NFSE</v>
      </c>
      <c r="D1851" t="str">
        <f>"224"</f>
        <v>224</v>
      </c>
      <c r="E1851" t="str">
        <f t="shared" si="653"/>
        <v>1</v>
      </c>
      <c r="F1851" t="str">
        <f t="shared" si="649"/>
        <v>COM</v>
      </c>
      <c r="G1851" t="str">
        <f>"PAGUE MENOS 332 (10290)"</f>
        <v>PAGUE MENOS 332 (10290)</v>
      </c>
      <c r="H1851" t="s">
        <v>475</v>
      </c>
      <c r="I1851" t="str">
        <f t="shared" si="654"/>
        <v>11/02/2026</v>
      </c>
      <c r="J1851" t="str">
        <f t="shared" si="655"/>
        <v>02/02/2026</v>
      </c>
      <c r="K1851">
        <v>46076</v>
      </c>
      <c r="N1851">
        <v>303</v>
      </c>
      <c r="O1851" t="s">
        <v>26</v>
      </c>
      <c r="Q1851">
        <v>62.7</v>
      </c>
      <c r="R1851" t="str">
        <f>"PAGUE MENOS 288 (10289)"</f>
        <v>PAGUE MENOS 288 (10289)</v>
      </c>
      <c r="S1851" t="s">
        <v>27</v>
      </c>
      <c r="T1851">
        <v>4376</v>
      </c>
      <c r="U1851">
        <v>3628</v>
      </c>
      <c r="V1851" t="s">
        <v>22</v>
      </c>
    </row>
    <row r="1852" spans="1:22">
      <c r="A1852" t="str">
        <f t="shared" si="650"/>
        <v>23/02/2026</v>
      </c>
      <c r="B1852" t="str">
        <f t="shared" si="651"/>
        <v>ENTRADA</v>
      </c>
      <c r="C1852" t="str">
        <f t="shared" si="652"/>
        <v>NFSE</v>
      </c>
      <c r="D1852" t="str">
        <f>"224"</f>
        <v>224</v>
      </c>
      <c r="E1852" t="str">
        <f t="shared" si="653"/>
        <v>1</v>
      </c>
      <c r="F1852" t="str">
        <f t="shared" si="649"/>
        <v>COM</v>
      </c>
      <c r="G1852" t="str">
        <f>"PAGUE MENOS 332 (10290)"</f>
        <v>PAGUE MENOS 332 (10290)</v>
      </c>
      <c r="H1852" t="s">
        <v>475</v>
      </c>
      <c r="I1852" t="str">
        <f t="shared" si="654"/>
        <v>11/02/2026</v>
      </c>
      <c r="J1852" t="str">
        <f t="shared" si="655"/>
        <v>02/02/2026</v>
      </c>
      <c r="K1852">
        <v>46076</v>
      </c>
      <c r="N1852">
        <v>303</v>
      </c>
      <c r="O1852" t="s">
        <v>26</v>
      </c>
      <c r="Q1852">
        <v>64.12</v>
      </c>
      <c r="R1852" t="str">
        <f>"PAGUE MENOS 332 (10290)"</f>
        <v>PAGUE MENOS 332 (10290)</v>
      </c>
      <c r="S1852" t="s">
        <v>27</v>
      </c>
      <c r="T1852">
        <v>4376</v>
      </c>
      <c r="U1852">
        <v>3628</v>
      </c>
      <c r="V1852" t="s">
        <v>22</v>
      </c>
    </row>
    <row r="1853" spans="1:22">
      <c r="A1853" t="str">
        <f t="shared" si="650"/>
        <v>23/02/2026</v>
      </c>
      <c r="B1853" t="str">
        <f t="shared" si="651"/>
        <v>ENTRADA</v>
      </c>
      <c r="C1853" t="str">
        <f t="shared" si="652"/>
        <v>NFSE</v>
      </c>
      <c r="D1853" t="str">
        <f t="shared" ref="D1853:D1860" si="656">"225"</f>
        <v>225</v>
      </c>
      <c r="E1853" t="str">
        <f t="shared" si="653"/>
        <v>1</v>
      </c>
      <c r="F1853" t="str">
        <f t="shared" si="649"/>
        <v>COM</v>
      </c>
      <c r="G1853" t="str">
        <f t="shared" ref="G1853:G1860" si="657">"PAGMENOS - LJ 608 (10135)"</f>
        <v>PAGMENOS - LJ 608 (10135)</v>
      </c>
      <c r="H1853" t="str">
        <f>"Serv.Prest. 26/01/2026 a 01/02/2026 - RPS: 2149 - NFSe: 225"</f>
        <v>Serv.Prest. 26/01/2026 a 01/02/2026 - RPS: 2149 - NFSe: 225</v>
      </c>
      <c r="I1853" t="str">
        <f t="shared" si="654"/>
        <v>11/02/2026</v>
      </c>
      <c r="J1853" t="str">
        <f t="shared" si="655"/>
        <v>02/02/2026</v>
      </c>
      <c r="K1853" t="str">
        <f>("23/02/2026")</f>
        <v>23/02/2026</v>
      </c>
      <c r="L1853">
        <v>1252.67</v>
      </c>
      <c r="M1853">
        <v>1252.67</v>
      </c>
      <c r="N1853">
        <v>303</v>
      </c>
      <c r="O1853" t="str">
        <f>"RECEITAS COM ENTREGAS"</f>
        <v>RECEITAS COM ENTREGAS</v>
      </c>
      <c r="P1853">
        <v>1252.67</v>
      </c>
      <c r="S1853" t="str">
        <f>"RECEITAS COM ENTREGAS (303)"</f>
        <v>RECEITAS COM ENTREGAS (303)</v>
      </c>
      <c r="T1853">
        <v>4377</v>
      </c>
      <c r="U1853">
        <v>3629</v>
      </c>
      <c r="V1853" t="s">
        <v>22</v>
      </c>
    </row>
    <row r="1854" spans="1:22">
      <c r="A1854" t="str">
        <f t="shared" si="650"/>
        <v>23/02/2026</v>
      </c>
      <c r="B1854" t="str">
        <f t="shared" si="651"/>
        <v>ENTRADA</v>
      </c>
      <c r="C1854" t="str">
        <f t="shared" si="652"/>
        <v>NFSE</v>
      </c>
      <c r="D1854" t="str">
        <f t="shared" si="656"/>
        <v>225</v>
      </c>
      <c r="E1854" t="str">
        <f t="shared" si="653"/>
        <v>1</v>
      </c>
      <c r="F1854" t="str">
        <f t="shared" si="649"/>
        <v>COM</v>
      </c>
      <c r="G1854" t="str">
        <f t="shared" si="657"/>
        <v>PAGMENOS - LJ 608 (10135)</v>
      </c>
      <c r="H1854" t="s">
        <v>476</v>
      </c>
      <c r="I1854" t="str">
        <f t="shared" si="654"/>
        <v>11/02/2026</v>
      </c>
      <c r="J1854" t="str">
        <f t="shared" si="655"/>
        <v>02/02/2026</v>
      </c>
      <c r="K1854">
        <v>46076</v>
      </c>
      <c r="N1854">
        <v>303</v>
      </c>
      <c r="O1854" t="s">
        <v>26</v>
      </c>
      <c r="Q1854">
        <v>220.22</v>
      </c>
      <c r="R1854" t="str">
        <f>"PAGMENOS - LJ 608 (10135)"</f>
        <v>PAGMENOS - LJ 608 (10135)</v>
      </c>
      <c r="S1854" t="s">
        <v>27</v>
      </c>
      <c r="T1854">
        <v>4377</v>
      </c>
      <c r="U1854">
        <v>3629</v>
      </c>
      <c r="V1854" t="s">
        <v>22</v>
      </c>
    </row>
    <row r="1855" spans="1:22">
      <c r="A1855" t="str">
        <f t="shared" si="650"/>
        <v>23/02/2026</v>
      </c>
      <c r="B1855" t="str">
        <f t="shared" si="651"/>
        <v>ENTRADA</v>
      </c>
      <c r="C1855" t="str">
        <f t="shared" si="652"/>
        <v>NFSE</v>
      </c>
      <c r="D1855" t="str">
        <f t="shared" si="656"/>
        <v>225</v>
      </c>
      <c r="E1855" t="str">
        <f t="shared" si="653"/>
        <v>1</v>
      </c>
      <c r="F1855" t="str">
        <f t="shared" si="649"/>
        <v>COM</v>
      </c>
      <c r="G1855" t="str">
        <f t="shared" si="657"/>
        <v>PAGMENOS - LJ 608 (10135)</v>
      </c>
      <c r="H1855" t="s">
        <v>476</v>
      </c>
      <c r="I1855" t="str">
        <f t="shared" si="654"/>
        <v>11/02/2026</v>
      </c>
      <c r="J1855" t="str">
        <f t="shared" si="655"/>
        <v>02/02/2026</v>
      </c>
      <c r="K1855">
        <v>46076</v>
      </c>
      <c r="N1855">
        <v>303</v>
      </c>
      <c r="O1855" t="s">
        <v>26</v>
      </c>
      <c r="Q1855">
        <v>330.33</v>
      </c>
      <c r="R1855" t="str">
        <f>"PAGMENOS - LJ 657 (10136)"</f>
        <v>PAGMENOS - LJ 657 (10136)</v>
      </c>
      <c r="S1855" t="s">
        <v>27</v>
      </c>
      <c r="T1855">
        <v>4377</v>
      </c>
      <c r="U1855">
        <v>3629</v>
      </c>
      <c r="V1855" t="s">
        <v>22</v>
      </c>
    </row>
    <row r="1856" spans="1:22">
      <c r="A1856" t="str">
        <f t="shared" si="650"/>
        <v>23/02/2026</v>
      </c>
      <c r="B1856" t="str">
        <f t="shared" si="651"/>
        <v>ENTRADA</v>
      </c>
      <c r="C1856" t="str">
        <f t="shared" si="652"/>
        <v>NFSE</v>
      </c>
      <c r="D1856" t="str">
        <f t="shared" si="656"/>
        <v>225</v>
      </c>
      <c r="E1856" t="str">
        <f t="shared" si="653"/>
        <v>1</v>
      </c>
      <c r="F1856" t="str">
        <f t="shared" si="649"/>
        <v>COM</v>
      </c>
      <c r="G1856" t="str">
        <f t="shared" si="657"/>
        <v>PAGMENOS - LJ 608 (10135)</v>
      </c>
      <c r="H1856" t="s">
        <v>476</v>
      </c>
      <c r="I1856" t="str">
        <f t="shared" si="654"/>
        <v>11/02/2026</v>
      </c>
      <c r="J1856" t="str">
        <f t="shared" si="655"/>
        <v>02/02/2026</v>
      </c>
      <c r="K1856">
        <v>46076</v>
      </c>
      <c r="N1856">
        <v>303</v>
      </c>
      <c r="O1856" t="s">
        <v>26</v>
      </c>
      <c r="Q1856">
        <v>25.18</v>
      </c>
      <c r="R1856" t="str">
        <f>"PAGMENOS - LJ 326 (10264)"</f>
        <v>PAGMENOS - LJ 326 (10264)</v>
      </c>
      <c r="S1856" t="s">
        <v>27</v>
      </c>
      <c r="T1856">
        <v>4377</v>
      </c>
      <c r="U1856">
        <v>3629</v>
      </c>
      <c r="V1856" t="s">
        <v>22</v>
      </c>
    </row>
    <row r="1857" spans="1:22">
      <c r="A1857" t="str">
        <f t="shared" si="650"/>
        <v>23/02/2026</v>
      </c>
      <c r="B1857" t="str">
        <f t="shared" si="651"/>
        <v>ENTRADA</v>
      </c>
      <c r="C1857" t="str">
        <f t="shared" si="652"/>
        <v>NFSE</v>
      </c>
      <c r="D1857" t="str">
        <f t="shared" si="656"/>
        <v>225</v>
      </c>
      <c r="E1857" t="str">
        <f t="shared" si="653"/>
        <v>1</v>
      </c>
      <c r="F1857" t="str">
        <f t="shared" si="649"/>
        <v>COM</v>
      </c>
      <c r="G1857" t="str">
        <f t="shared" si="657"/>
        <v>PAGMENOS - LJ 608 (10135)</v>
      </c>
      <c r="H1857" t="s">
        <v>476</v>
      </c>
      <c r="I1857" t="str">
        <f t="shared" si="654"/>
        <v>11/02/2026</v>
      </c>
      <c r="J1857" t="str">
        <f t="shared" si="655"/>
        <v>02/02/2026</v>
      </c>
      <c r="K1857">
        <v>46076</v>
      </c>
      <c r="N1857">
        <v>303</v>
      </c>
      <c r="O1857" t="s">
        <v>26</v>
      </c>
      <c r="Q1857">
        <v>155.33000000000001</v>
      </c>
      <c r="R1857" t="str">
        <f>"PAGMENOS - LJ 431 (10265)"</f>
        <v>PAGMENOS - LJ 431 (10265)</v>
      </c>
      <c r="S1857" t="s">
        <v>27</v>
      </c>
      <c r="T1857">
        <v>4377</v>
      </c>
      <c r="U1857">
        <v>3629</v>
      </c>
      <c r="V1857" t="s">
        <v>22</v>
      </c>
    </row>
    <row r="1858" spans="1:22">
      <c r="A1858" t="str">
        <f t="shared" si="650"/>
        <v>23/02/2026</v>
      </c>
      <c r="B1858" t="str">
        <f t="shared" si="651"/>
        <v>ENTRADA</v>
      </c>
      <c r="C1858" t="str">
        <f t="shared" si="652"/>
        <v>NFSE</v>
      </c>
      <c r="D1858" t="str">
        <f t="shared" si="656"/>
        <v>225</v>
      </c>
      <c r="E1858" t="str">
        <f t="shared" si="653"/>
        <v>1</v>
      </c>
      <c r="F1858" t="str">
        <f t="shared" si="649"/>
        <v>COM</v>
      </c>
      <c r="G1858" t="str">
        <f t="shared" si="657"/>
        <v>PAGMENOS - LJ 608 (10135)</v>
      </c>
      <c r="H1858" t="s">
        <v>476</v>
      </c>
      <c r="I1858" t="str">
        <f t="shared" si="654"/>
        <v>11/02/2026</v>
      </c>
      <c r="J1858" t="str">
        <f t="shared" si="655"/>
        <v>02/02/2026</v>
      </c>
      <c r="K1858">
        <v>46076</v>
      </c>
      <c r="N1858">
        <v>303</v>
      </c>
      <c r="O1858" t="s">
        <v>26</v>
      </c>
      <c r="Q1858">
        <v>229.49</v>
      </c>
      <c r="R1858" t="str">
        <f>"PAGMENOS - LJ 768 (10266)"</f>
        <v>PAGMENOS - LJ 768 (10266)</v>
      </c>
      <c r="S1858" t="s">
        <v>27</v>
      </c>
      <c r="T1858">
        <v>4377</v>
      </c>
      <c r="U1858">
        <v>3629</v>
      </c>
      <c r="V1858" t="s">
        <v>22</v>
      </c>
    </row>
    <row r="1859" spans="1:22">
      <c r="A1859" t="str">
        <f t="shared" si="650"/>
        <v>23/02/2026</v>
      </c>
      <c r="B1859" t="str">
        <f t="shared" si="651"/>
        <v>ENTRADA</v>
      </c>
      <c r="C1859" t="str">
        <f t="shared" si="652"/>
        <v>NFSE</v>
      </c>
      <c r="D1859" t="str">
        <f t="shared" si="656"/>
        <v>225</v>
      </c>
      <c r="E1859" t="str">
        <f t="shared" si="653"/>
        <v>1</v>
      </c>
      <c r="F1859" t="str">
        <f t="shared" si="649"/>
        <v>COM</v>
      </c>
      <c r="G1859" t="str">
        <f t="shared" si="657"/>
        <v>PAGMENOS - LJ 608 (10135)</v>
      </c>
      <c r="H1859" t="s">
        <v>476</v>
      </c>
      <c r="I1859" t="str">
        <f t="shared" si="654"/>
        <v>11/02/2026</v>
      </c>
      <c r="J1859" t="str">
        <f t="shared" si="655"/>
        <v>02/02/2026</v>
      </c>
      <c r="K1859">
        <v>46076</v>
      </c>
      <c r="N1859">
        <v>303</v>
      </c>
      <c r="O1859" t="s">
        <v>26</v>
      </c>
      <c r="Q1859">
        <v>282.10000000000002</v>
      </c>
      <c r="R1859" t="str">
        <f>"PAGUE MENOS 426 (10292)"</f>
        <v>PAGUE MENOS 426 (10292)</v>
      </c>
      <c r="S1859" t="s">
        <v>27</v>
      </c>
      <c r="T1859">
        <v>4377</v>
      </c>
      <c r="U1859">
        <v>3629</v>
      </c>
      <c r="V1859" t="s">
        <v>22</v>
      </c>
    </row>
    <row r="1860" spans="1:22">
      <c r="A1860" t="str">
        <f t="shared" si="650"/>
        <v>23/02/2026</v>
      </c>
      <c r="B1860" t="str">
        <f t="shared" si="651"/>
        <v>ENTRADA</v>
      </c>
      <c r="C1860" t="str">
        <f t="shared" si="652"/>
        <v>NFSE</v>
      </c>
      <c r="D1860" t="str">
        <f t="shared" si="656"/>
        <v>225</v>
      </c>
      <c r="E1860" t="str">
        <f t="shared" si="653"/>
        <v>1</v>
      </c>
      <c r="F1860" t="str">
        <f t="shared" si="649"/>
        <v>COM</v>
      </c>
      <c r="G1860" t="str">
        <f t="shared" si="657"/>
        <v>PAGMENOS - LJ 608 (10135)</v>
      </c>
      <c r="H1860" t="s">
        <v>476</v>
      </c>
      <c r="I1860" t="str">
        <f t="shared" si="654"/>
        <v>11/02/2026</v>
      </c>
      <c r="J1860" t="str">
        <f t="shared" si="655"/>
        <v>02/02/2026</v>
      </c>
      <c r="K1860">
        <v>46076</v>
      </c>
      <c r="N1860">
        <v>303</v>
      </c>
      <c r="O1860" t="s">
        <v>26</v>
      </c>
      <c r="Q1860">
        <v>10.02</v>
      </c>
      <c r="R1860" t="str">
        <f>"PAGUE MENOS 540 (10293)"</f>
        <v>PAGUE MENOS 540 (10293)</v>
      </c>
      <c r="S1860" t="s">
        <v>27</v>
      </c>
      <c r="T1860">
        <v>4377</v>
      </c>
      <c r="U1860">
        <v>3629</v>
      </c>
      <c r="V1860" t="s">
        <v>22</v>
      </c>
    </row>
    <row r="1861" spans="1:22">
      <c r="A1861" t="str">
        <f t="shared" si="650"/>
        <v>23/02/2026</v>
      </c>
      <c r="B1861" t="str">
        <f>"SAÍDA"</f>
        <v>SAÍDA</v>
      </c>
      <c r="C1861" t="str">
        <f>"JUROS"</f>
        <v>JUROS</v>
      </c>
      <c r="D1861" t="str">
        <f>""</f>
        <v/>
      </c>
      <c r="F1861" t="str">
        <f>"CXA"</f>
        <v>CXA</v>
      </c>
      <c r="G1861" t="str">
        <f>""</f>
        <v/>
      </c>
      <c r="H1861" t="str">
        <f>"TARIFA BOLETOS BANCARIOS"</f>
        <v>TARIFA BOLETOS BANCARIOS</v>
      </c>
      <c r="I1861" t="str">
        <f t="shared" ref="I1861:K1862" si="658">("23/02/2026")</f>
        <v>23/02/2026</v>
      </c>
      <c r="J1861" t="str">
        <f t="shared" si="658"/>
        <v>23/02/2026</v>
      </c>
      <c r="K1861" t="str">
        <f t="shared" si="658"/>
        <v>23/02/2026</v>
      </c>
      <c r="L1861">
        <v>13.5</v>
      </c>
      <c r="M1861">
        <v>13.5</v>
      </c>
      <c r="N1861">
        <v>401</v>
      </c>
      <c r="O1861" t="str">
        <f>"IOF/JUROS/DESP.FINANCEIRA"</f>
        <v>IOF/JUROS/DESP.FINANCEIRA</v>
      </c>
      <c r="P1861">
        <v>13.5</v>
      </c>
      <c r="S1861" t="str">
        <f>"BANCO SICREDI (131)"</f>
        <v>BANCO SICREDI (131)</v>
      </c>
      <c r="T1861">
        <v>4379</v>
      </c>
      <c r="U1861">
        <v>0</v>
      </c>
      <c r="V1861" t="s">
        <v>54</v>
      </c>
    </row>
    <row r="1862" spans="1:22">
      <c r="A1862" t="str">
        <f t="shared" si="650"/>
        <v>23/02/2026</v>
      </c>
      <c r="B1862" t="str">
        <f>"ENTRADA"</f>
        <v>ENTRADA</v>
      </c>
      <c r="C1862" t="str">
        <f>""</f>
        <v/>
      </c>
      <c r="D1862" t="str">
        <f>""</f>
        <v/>
      </c>
      <c r="F1862" t="str">
        <f>"CXA"</f>
        <v>CXA</v>
      </c>
      <c r="G1862" t="str">
        <f>""</f>
        <v/>
      </c>
      <c r="H1862" t="str">
        <f>"REEMBOLSO DESPESAS COM EVENTO FARMATREND"</f>
        <v>REEMBOLSO DESPESAS COM EVENTO FARMATREND</v>
      </c>
      <c r="I1862" t="str">
        <f t="shared" si="658"/>
        <v>23/02/2026</v>
      </c>
      <c r="J1862" t="str">
        <f t="shared" si="658"/>
        <v>23/02/2026</v>
      </c>
      <c r="K1862" t="str">
        <f t="shared" si="658"/>
        <v>23/02/2026</v>
      </c>
      <c r="L1862">
        <v>2500</v>
      </c>
      <c r="M1862">
        <v>2500</v>
      </c>
      <c r="N1862">
        <v>119</v>
      </c>
      <c r="O1862" t="str">
        <f>"RECEITAS COM REEMBOLSOS"</f>
        <v>RECEITAS COM REEMBOLSOS</v>
      </c>
      <c r="P1862">
        <v>2500</v>
      </c>
      <c r="S1862" t="str">
        <f>"RECEITAS COM REEMBOLSOS (119)"</f>
        <v>RECEITAS COM REEMBOLSOS (119)</v>
      </c>
      <c r="T1862">
        <v>4400</v>
      </c>
      <c r="U1862">
        <v>0</v>
      </c>
      <c r="V1862" t="s">
        <v>77</v>
      </c>
    </row>
    <row r="1863" spans="1:22">
      <c r="A1863" t="str">
        <f t="shared" ref="A1863:A1869" si="659">("24/02/2026")</f>
        <v>24/02/2026</v>
      </c>
      <c r="B1863" t="str">
        <f>"ENTRADA"</f>
        <v>ENTRADA</v>
      </c>
      <c r="C1863" t="str">
        <f>""</f>
        <v/>
      </c>
      <c r="D1863" t="str">
        <f>""</f>
        <v/>
      </c>
      <c r="F1863" t="str">
        <f>"CXA"</f>
        <v>CXA</v>
      </c>
      <c r="G1863" t="str">
        <f>""</f>
        <v/>
      </c>
      <c r="H1863" t="str">
        <f>"RECEBIMENTO REFERENTE DIVISAO STAND FEIRA"</f>
        <v>RECEBIMENTO REFERENTE DIVISAO STAND FEIRA</v>
      </c>
      <c r="I1863" t="str">
        <f t="shared" ref="I1863:K1866" si="660">("24/02/2026")</f>
        <v>24/02/2026</v>
      </c>
      <c r="J1863" t="str">
        <f t="shared" si="660"/>
        <v>24/02/2026</v>
      </c>
      <c r="K1863" t="str">
        <f t="shared" si="660"/>
        <v>24/02/2026</v>
      </c>
      <c r="L1863">
        <v>3352.5</v>
      </c>
      <c r="M1863">
        <v>3352.5</v>
      </c>
      <c r="N1863">
        <v>119</v>
      </c>
      <c r="O1863" t="str">
        <f>"RECEITAS COM REEMBOLSOS"</f>
        <v>RECEITAS COM REEMBOLSOS</v>
      </c>
      <c r="P1863">
        <v>3352.5</v>
      </c>
      <c r="S1863" t="str">
        <f>"RECEITAS COM REEMBOLSOS (119)"</f>
        <v>RECEITAS COM REEMBOLSOS (119)</v>
      </c>
      <c r="T1863">
        <v>4389</v>
      </c>
      <c r="U1863">
        <v>0</v>
      </c>
      <c r="V1863" t="s">
        <v>77</v>
      </c>
    </row>
    <row r="1864" spans="1:22">
      <c r="A1864" t="str">
        <f t="shared" si="659"/>
        <v>24/02/2026</v>
      </c>
      <c r="B1864" t="str">
        <f>"ENTRADA"</f>
        <v>ENTRADA</v>
      </c>
      <c r="C1864" t="str">
        <f>"TRANSFERENCIA"</f>
        <v>TRANSFERENCIA</v>
      </c>
      <c r="D1864" t="str">
        <f>""</f>
        <v/>
      </c>
      <c r="F1864" t="str">
        <f>"TRF"</f>
        <v>TRF</v>
      </c>
      <c r="G1864" t="str">
        <f>""</f>
        <v/>
      </c>
      <c r="H1864" t="str">
        <f>"TRANSFERENCIA ENTRE CONTAS (131-&gt;102)"</f>
        <v>TRANSFERENCIA ENTRE CONTAS (131-&gt;102)</v>
      </c>
      <c r="I1864" t="str">
        <f t="shared" si="660"/>
        <v>24/02/2026</v>
      </c>
      <c r="J1864" t="str">
        <f t="shared" si="660"/>
        <v>24/02/2026</v>
      </c>
      <c r="K1864" t="str">
        <f t="shared" si="660"/>
        <v>24/02/2026</v>
      </c>
      <c r="N1864">
        <v>102</v>
      </c>
      <c r="O1864" t="str">
        <f>"BANCO CORA"</f>
        <v>BANCO CORA</v>
      </c>
      <c r="P1864">
        <v>2000</v>
      </c>
      <c r="S1864" t="str">
        <f>"BANCO CORA (102)"</f>
        <v>BANCO CORA (102)</v>
      </c>
      <c r="T1864">
        <v>4390</v>
      </c>
      <c r="U1864">
        <v>0</v>
      </c>
      <c r="V1864" t="s">
        <v>22</v>
      </c>
    </row>
    <row r="1865" spans="1:22">
      <c r="A1865" t="str">
        <f t="shared" si="659"/>
        <v>24/02/2026</v>
      </c>
      <c r="B1865" t="str">
        <f>"SAÍDA"</f>
        <v>SAÍDA</v>
      </c>
      <c r="C1865" t="str">
        <f>"TRANSFERENCIA"</f>
        <v>TRANSFERENCIA</v>
      </c>
      <c r="D1865" t="str">
        <f>""</f>
        <v/>
      </c>
      <c r="F1865" t="str">
        <f>"TRF"</f>
        <v>TRF</v>
      </c>
      <c r="G1865" t="str">
        <f>""</f>
        <v/>
      </c>
      <c r="H1865" t="str">
        <f>"TRANSFERENCIA ENTRE CONTAS (131-&gt;102)"</f>
        <v>TRANSFERENCIA ENTRE CONTAS (131-&gt;102)</v>
      </c>
      <c r="I1865" t="str">
        <f t="shared" si="660"/>
        <v>24/02/2026</v>
      </c>
      <c r="J1865" t="str">
        <f t="shared" si="660"/>
        <v>24/02/2026</v>
      </c>
      <c r="K1865" t="str">
        <f t="shared" si="660"/>
        <v>24/02/2026</v>
      </c>
      <c r="N1865">
        <v>131</v>
      </c>
      <c r="O1865" t="str">
        <f>"BANCO SICREDI"</f>
        <v>BANCO SICREDI</v>
      </c>
      <c r="S1865" t="str">
        <f>"BANCO SICREDI (131)"</f>
        <v>BANCO SICREDI (131)</v>
      </c>
      <c r="T1865">
        <v>4390</v>
      </c>
      <c r="U1865">
        <v>0</v>
      </c>
      <c r="V1865" t="s">
        <v>88</v>
      </c>
    </row>
    <row r="1866" spans="1:22">
      <c r="A1866" t="str">
        <f t="shared" si="659"/>
        <v>24/02/2026</v>
      </c>
      <c r="B1866" t="str">
        <f>"SAÍDA"</f>
        <v>SAÍDA</v>
      </c>
      <c r="C1866" t="str">
        <f>"PIX"</f>
        <v>PIX</v>
      </c>
      <c r="D1866" t="str">
        <f>"2402"</f>
        <v>2402</v>
      </c>
      <c r="E1866" t="str">
        <f>"26"</f>
        <v>26</v>
      </c>
      <c r="F1866" t="str">
        <f t="shared" ref="F1866:F1897" si="661">"COM"</f>
        <v>COM</v>
      </c>
      <c r="G1866" t="str">
        <f>"LILIANE DE FATIMA REZENDE JUSTINO (20013)"</f>
        <v>LILIANE DE FATIMA REZENDE JUSTINO (20013)</v>
      </c>
      <c r="H1866" t="str">
        <f>"DISTRIBUIÇÃO DE LUCROS"</f>
        <v>DISTRIBUIÇÃO DE LUCROS</v>
      </c>
      <c r="I1866" t="str">
        <f t="shared" si="660"/>
        <v>24/02/2026</v>
      </c>
      <c r="J1866" t="str">
        <f t="shared" si="660"/>
        <v>24/02/2026</v>
      </c>
      <c r="K1866" t="str">
        <f t="shared" si="660"/>
        <v>24/02/2026</v>
      </c>
      <c r="L1866">
        <v>11666</v>
      </c>
      <c r="M1866">
        <v>11666</v>
      </c>
      <c r="N1866">
        <v>125</v>
      </c>
      <c r="O1866" t="str">
        <f>"DISTRIBUIÇÃO DE LUCRO"</f>
        <v>DISTRIBUIÇÃO DE LUCRO</v>
      </c>
      <c r="P1866">
        <v>11666</v>
      </c>
      <c r="S1866" t="str">
        <f>"BANCO CORA (102)"</f>
        <v>BANCO CORA (102)</v>
      </c>
      <c r="T1866">
        <v>4391</v>
      </c>
      <c r="U1866">
        <v>3891</v>
      </c>
      <c r="V1866" t="s">
        <v>22</v>
      </c>
    </row>
    <row r="1867" spans="1:22">
      <c r="A1867" t="str">
        <f t="shared" si="659"/>
        <v>24/02/2026</v>
      </c>
      <c r="B1867" t="str">
        <f>"SAÍDA"</f>
        <v>SAÍDA</v>
      </c>
      <c r="C1867" t="str">
        <f>"PIX"</f>
        <v>PIX</v>
      </c>
      <c r="D1867" t="str">
        <f>"2402"</f>
        <v>2402</v>
      </c>
      <c r="E1867" t="str">
        <f>"26"</f>
        <v>26</v>
      </c>
      <c r="F1867" t="str">
        <f t="shared" si="661"/>
        <v>COM</v>
      </c>
      <c r="G1867" t="str">
        <f>"LILIANE DE FATIMA REZENDE JUSTINO (20013)"</f>
        <v>LILIANE DE FATIMA REZENDE JUSTINO (20013)</v>
      </c>
      <c r="H1867" t="s">
        <v>127</v>
      </c>
      <c r="I1867" t="str">
        <f>("24/02/2026")</f>
        <v>24/02/2026</v>
      </c>
      <c r="J1867" t="str">
        <f>("24/02/2026")</f>
        <v>24/02/2026</v>
      </c>
      <c r="K1867">
        <v>46077</v>
      </c>
      <c r="N1867">
        <v>125</v>
      </c>
      <c r="O1867" t="s">
        <v>128</v>
      </c>
      <c r="Q1867">
        <v>11666</v>
      </c>
      <c r="R1867" t="str">
        <f>"LILIANE DE FATIMA REZENDE JUSTINO (20013)"</f>
        <v>LILIANE DE FATIMA REZENDE JUSTINO (20013)</v>
      </c>
      <c r="S1867" t="s">
        <v>22</v>
      </c>
      <c r="T1867">
        <v>4391</v>
      </c>
      <c r="U1867">
        <v>3891</v>
      </c>
      <c r="V1867" t="s">
        <v>22</v>
      </c>
    </row>
    <row r="1868" spans="1:22">
      <c r="A1868" t="str">
        <f t="shared" si="659"/>
        <v>24/02/2026</v>
      </c>
      <c r="B1868" t="str">
        <f t="shared" ref="B1868:B1899" si="662">"ENTRADA"</f>
        <v>ENTRADA</v>
      </c>
      <c r="C1868" t="str">
        <f t="shared" ref="C1868:C1899" si="663">"NFSE"</f>
        <v>NFSE</v>
      </c>
      <c r="D1868" t="str">
        <f>"275"</f>
        <v>275</v>
      </c>
      <c r="E1868" t="str">
        <f t="shared" ref="E1868:E1899" si="664">"1"</f>
        <v>1</v>
      </c>
      <c r="F1868" t="str">
        <f t="shared" si="661"/>
        <v>COM</v>
      </c>
      <c r="G1868" t="str">
        <f>"FARMA &amp; FORMA (10296)"</f>
        <v>FARMA &amp; FORMA (10296)</v>
      </c>
      <c r="H1868" t="str">
        <f>"Serv.Prest. 02/02/2026 a 08/02/2026 - RPS: 2197 - NFSe: 275"</f>
        <v>Serv.Prest. 02/02/2026 a 08/02/2026 - RPS: 2197 - NFSe: 275</v>
      </c>
      <c r="I1868" t="str">
        <f>("11/02/2026")</f>
        <v>11/02/2026</v>
      </c>
      <c r="J1868" t="str">
        <f>("09/02/2026")</f>
        <v>09/02/2026</v>
      </c>
      <c r="K1868" t="str">
        <f>("24/02/2026")</f>
        <v>24/02/2026</v>
      </c>
      <c r="L1868">
        <v>272.52999999999997</v>
      </c>
      <c r="M1868">
        <v>272.52999999999997</v>
      </c>
      <c r="N1868">
        <v>303</v>
      </c>
      <c r="O1868" t="str">
        <f>"RECEITAS COM ENTREGAS"</f>
        <v>RECEITAS COM ENTREGAS</v>
      </c>
      <c r="P1868">
        <v>272.52999999999997</v>
      </c>
      <c r="S1868" t="str">
        <f>"RECEITAS COM ENTREGAS (303)"</f>
        <v>RECEITAS COM ENTREGAS (303)</v>
      </c>
      <c r="T1868">
        <v>4392</v>
      </c>
      <c r="U1868">
        <v>3692</v>
      </c>
      <c r="V1868" t="s">
        <v>22</v>
      </c>
    </row>
    <row r="1869" spans="1:22">
      <c r="A1869" t="str">
        <f t="shared" si="659"/>
        <v>24/02/2026</v>
      </c>
      <c r="B1869" t="str">
        <f t="shared" si="662"/>
        <v>ENTRADA</v>
      </c>
      <c r="C1869" t="str">
        <f t="shared" si="663"/>
        <v>NFSE</v>
      </c>
      <c r="D1869" t="str">
        <f>"275"</f>
        <v>275</v>
      </c>
      <c r="E1869" t="str">
        <f t="shared" si="664"/>
        <v>1</v>
      </c>
      <c r="F1869" t="str">
        <f t="shared" si="661"/>
        <v>COM</v>
      </c>
      <c r="G1869" t="str">
        <f>"FARMA &amp; FORMA (10296)"</f>
        <v>FARMA &amp; FORMA (10296)</v>
      </c>
      <c r="H1869" t="s">
        <v>477</v>
      </c>
      <c r="I1869" t="str">
        <f>("11/02/2026")</f>
        <v>11/02/2026</v>
      </c>
      <c r="J1869" t="str">
        <f>("09/02/2026")</f>
        <v>09/02/2026</v>
      </c>
      <c r="K1869">
        <v>46077</v>
      </c>
      <c r="N1869">
        <v>303</v>
      </c>
      <c r="O1869" t="s">
        <v>26</v>
      </c>
      <c r="Q1869">
        <v>272.52999999999997</v>
      </c>
      <c r="R1869" t="str">
        <f>"FARMA &amp; FORMA (10296)"</f>
        <v>FARMA &amp; FORMA (10296)</v>
      </c>
      <c r="S1869" t="s">
        <v>27</v>
      </c>
      <c r="T1869">
        <v>4392</v>
      </c>
      <c r="U1869">
        <v>3692</v>
      </c>
      <c r="V1869" t="s">
        <v>22</v>
      </c>
    </row>
    <row r="1870" spans="1:22">
      <c r="A1870" t="str">
        <f t="shared" ref="A1870:A1901" si="665">("25/02/2026")</f>
        <v>25/02/2026</v>
      </c>
      <c r="B1870" t="str">
        <f t="shared" si="662"/>
        <v>ENTRADA</v>
      </c>
      <c r="C1870" t="str">
        <f t="shared" si="663"/>
        <v>NFSE</v>
      </c>
      <c r="D1870" t="str">
        <f t="shared" ref="D1870:D1880" si="666">"360"</f>
        <v>360</v>
      </c>
      <c r="E1870" t="str">
        <f t="shared" si="664"/>
        <v>1</v>
      </c>
      <c r="F1870" t="str">
        <f t="shared" si="661"/>
        <v>COM</v>
      </c>
      <c r="G1870" t="str">
        <f t="shared" ref="G1870:G1880" si="667">"FARMÁCIA INDIANA LJ 85 (10128)"</f>
        <v>FARMÁCIA INDIANA LJ 85 (10128)</v>
      </c>
      <c r="H1870" t="str">
        <f>"Serv.Prest. 09/02/2026 a 15/02/2026 - RPS: 2282 - NFSe: 360"</f>
        <v>Serv.Prest. 09/02/2026 a 15/02/2026 - RPS: 2282 - NFSe: 360</v>
      </c>
      <c r="I1870" t="str">
        <f t="shared" ref="I1870:I1901" si="668">("25/02/2026")</f>
        <v>25/02/2026</v>
      </c>
      <c r="J1870" t="str">
        <f t="shared" ref="J1870:J1901" si="669">("17/02/2026")</f>
        <v>17/02/2026</v>
      </c>
      <c r="K1870" t="str">
        <f>("25/02/2026")</f>
        <v>25/02/2026</v>
      </c>
      <c r="L1870">
        <v>925.12</v>
      </c>
      <c r="M1870">
        <v>925.12</v>
      </c>
      <c r="N1870">
        <v>303</v>
      </c>
      <c r="O1870" t="str">
        <f>"RECEITAS COM ENTREGAS"</f>
        <v>RECEITAS COM ENTREGAS</v>
      </c>
      <c r="P1870">
        <v>925.12</v>
      </c>
      <c r="S1870" t="str">
        <f>"RECEITAS COM ENTREGAS (303)"</f>
        <v>RECEITAS COM ENTREGAS (303)</v>
      </c>
      <c r="T1870">
        <v>4393</v>
      </c>
      <c r="U1870">
        <v>3811</v>
      </c>
      <c r="V1870" t="s">
        <v>22</v>
      </c>
    </row>
    <row r="1871" spans="1:22">
      <c r="A1871" t="str">
        <f t="shared" si="665"/>
        <v>25/02/2026</v>
      </c>
      <c r="B1871" t="str">
        <f t="shared" si="662"/>
        <v>ENTRADA</v>
      </c>
      <c r="C1871" t="str">
        <f t="shared" si="663"/>
        <v>NFSE</v>
      </c>
      <c r="D1871" t="str">
        <f t="shared" si="666"/>
        <v>360</v>
      </c>
      <c r="E1871" t="str">
        <f t="shared" si="664"/>
        <v>1</v>
      </c>
      <c r="F1871" t="str">
        <f t="shared" si="661"/>
        <v>COM</v>
      </c>
      <c r="G1871" t="str">
        <f t="shared" si="667"/>
        <v>FARMÁCIA INDIANA LJ 85 (10128)</v>
      </c>
      <c r="H1871" t="s">
        <v>478</v>
      </c>
      <c r="I1871" t="str">
        <f t="shared" si="668"/>
        <v>25/02/2026</v>
      </c>
      <c r="J1871" t="str">
        <f t="shared" si="669"/>
        <v>17/02/2026</v>
      </c>
      <c r="K1871">
        <v>46078</v>
      </c>
      <c r="N1871">
        <v>303</v>
      </c>
      <c r="O1871" t="s">
        <v>26</v>
      </c>
      <c r="Q1871">
        <v>107.96</v>
      </c>
      <c r="R1871" t="str">
        <f>"FARMÁCIA INDIANA LJ 119 (10053)"</f>
        <v>FARMÁCIA INDIANA LJ 119 (10053)</v>
      </c>
      <c r="S1871" t="s">
        <v>27</v>
      </c>
      <c r="T1871">
        <v>4393</v>
      </c>
      <c r="U1871">
        <v>3811</v>
      </c>
      <c r="V1871" t="s">
        <v>22</v>
      </c>
    </row>
    <row r="1872" spans="1:22">
      <c r="A1872" t="str">
        <f t="shared" si="665"/>
        <v>25/02/2026</v>
      </c>
      <c r="B1872" t="str">
        <f t="shared" si="662"/>
        <v>ENTRADA</v>
      </c>
      <c r="C1872" t="str">
        <f t="shared" si="663"/>
        <v>NFSE</v>
      </c>
      <c r="D1872" t="str">
        <f t="shared" si="666"/>
        <v>360</v>
      </c>
      <c r="E1872" t="str">
        <f t="shared" si="664"/>
        <v>1</v>
      </c>
      <c r="F1872" t="str">
        <f t="shared" si="661"/>
        <v>COM</v>
      </c>
      <c r="G1872" t="str">
        <f t="shared" si="667"/>
        <v>FARMÁCIA INDIANA LJ 85 (10128)</v>
      </c>
      <c r="H1872" t="s">
        <v>478</v>
      </c>
      <c r="I1872" t="str">
        <f t="shared" si="668"/>
        <v>25/02/2026</v>
      </c>
      <c r="J1872" t="str">
        <f t="shared" si="669"/>
        <v>17/02/2026</v>
      </c>
      <c r="K1872">
        <v>46078</v>
      </c>
      <c r="N1872">
        <v>303</v>
      </c>
      <c r="O1872" t="s">
        <v>26</v>
      </c>
      <c r="Q1872">
        <v>111.2</v>
      </c>
      <c r="R1872" t="str">
        <f>"FARMÁCIA INDIANA LJ 163 (10072)"</f>
        <v>FARMÁCIA INDIANA LJ 163 (10072)</v>
      </c>
      <c r="S1872" t="s">
        <v>27</v>
      </c>
      <c r="T1872">
        <v>4393</v>
      </c>
      <c r="U1872">
        <v>3811</v>
      </c>
      <c r="V1872" t="s">
        <v>22</v>
      </c>
    </row>
    <row r="1873" spans="1:22">
      <c r="A1873" t="str">
        <f t="shared" si="665"/>
        <v>25/02/2026</v>
      </c>
      <c r="B1873" t="str">
        <f t="shared" si="662"/>
        <v>ENTRADA</v>
      </c>
      <c r="C1873" t="str">
        <f t="shared" si="663"/>
        <v>NFSE</v>
      </c>
      <c r="D1873" t="str">
        <f t="shared" si="666"/>
        <v>360</v>
      </c>
      <c r="E1873" t="str">
        <f t="shared" si="664"/>
        <v>1</v>
      </c>
      <c r="F1873" t="str">
        <f t="shared" si="661"/>
        <v>COM</v>
      </c>
      <c r="G1873" t="str">
        <f t="shared" si="667"/>
        <v>FARMÁCIA INDIANA LJ 85 (10128)</v>
      </c>
      <c r="H1873" t="s">
        <v>478</v>
      </c>
      <c r="I1873" t="str">
        <f t="shared" si="668"/>
        <v>25/02/2026</v>
      </c>
      <c r="J1873" t="str">
        <f t="shared" si="669"/>
        <v>17/02/2026</v>
      </c>
      <c r="K1873">
        <v>46078</v>
      </c>
      <c r="N1873">
        <v>303</v>
      </c>
      <c r="O1873" t="s">
        <v>26</v>
      </c>
      <c r="Q1873">
        <v>180.03</v>
      </c>
      <c r="R1873" t="str">
        <f>"FARMÁCIA INDIANA LJ 181 (10078)"</f>
        <v>FARMÁCIA INDIANA LJ 181 (10078)</v>
      </c>
      <c r="S1873" t="s">
        <v>27</v>
      </c>
      <c r="T1873">
        <v>4393</v>
      </c>
      <c r="U1873">
        <v>3811</v>
      </c>
      <c r="V1873" t="s">
        <v>22</v>
      </c>
    </row>
    <row r="1874" spans="1:22">
      <c r="A1874" t="str">
        <f t="shared" si="665"/>
        <v>25/02/2026</v>
      </c>
      <c r="B1874" t="str">
        <f t="shared" si="662"/>
        <v>ENTRADA</v>
      </c>
      <c r="C1874" t="str">
        <f t="shared" si="663"/>
        <v>NFSE</v>
      </c>
      <c r="D1874" t="str">
        <f t="shared" si="666"/>
        <v>360</v>
      </c>
      <c r="E1874" t="str">
        <f t="shared" si="664"/>
        <v>1</v>
      </c>
      <c r="F1874" t="str">
        <f t="shared" si="661"/>
        <v>COM</v>
      </c>
      <c r="G1874" t="str">
        <f t="shared" si="667"/>
        <v>FARMÁCIA INDIANA LJ 85 (10128)</v>
      </c>
      <c r="H1874" t="s">
        <v>478</v>
      </c>
      <c r="I1874" t="str">
        <f t="shared" si="668"/>
        <v>25/02/2026</v>
      </c>
      <c r="J1874" t="str">
        <f t="shared" si="669"/>
        <v>17/02/2026</v>
      </c>
      <c r="K1874">
        <v>46078</v>
      </c>
      <c r="N1874">
        <v>303</v>
      </c>
      <c r="O1874" t="s">
        <v>26</v>
      </c>
      <c r="Q1874">
        <v>107.78</v>
      </c>
      <c r="R1874" t="str">
        <f>"FARMÁCIA INDIANA LJ 221 (10093)"</f>
        <v>FARMÁCIA INDIANA LJ 221 (10093)</v>
      </c>
      <c r="S1874" t="s">
        <v>27</v>
      </c>
      <c r="T1874">
        <v>4393</v>
      </c>
      <c r="U1874">
        <v>3811</v>
      </c>
      <c r="V1874" t="s">
        <v>22</v>
      </c>
    </row>
    <row r="1875" spans="1:22">
      <c r="A1875" t="str">
        <f t="shared" si="665"/>
        <v>25/02/2026</v>
      </c>
      <c r="B1875" t="str">
        <f t="shared" si="662"/>
        <v>ENTRADA</v>
      </c>
      <c r="C1875" t="str">
        <f t="shared" si="663"/>
        <v>NFSE</v>
      </c>
      <c r="D1875" t="str">
        <f t="shared" si="666"/>
        <v>360</v>
      </c>
      <c r="E1875" t="str">
        <f t="shared" si="664"/>
        <v>1</v>
      </c>
      <c r="F1875" t="str">
        <f t="shared" si="661"/>
        <v>COM</v>
      </c>
      <c r="G1875" t="str">
        <f t="shared" si="667"/>
        <v>FARMÁCIA INDIANA LJ 85 (10128)</v>
      </c>
      <c r="H1875" t="s">
        <v>478</v>
      </c>
      <c r="I1875" t="str">
        <f t="shared" si="668"/>
        <v>25/02/2026</v>
      </c>
      <c r="J1875" t="str">
        <f t="shared" si="669"/>
        <v>17/02/2026</v>
      </c>
      <c r="K1875">
        <v>46078</v>
      </c>
      <c r="N1875">
        <v>303</v>
      </c>
      <c r="O1875" t="s">
        <v>26</v>
      </c>
      <c r="Q1875">
        <v>113.79</v>
      </c>
      <c r="R1875" t="str">
        <f>"FARMÁCIA INDIANA LJ 243 (10142)"</f>
        <v>FARMÁCIA INDIANA LJ 243 (10142)</v>
      </c>
      <c r="S1875" t="s">
        <v>27</v>
      </c>
      <c r="T1875">
        <v>4393</v>
      </c>
      <c r="U1875">
        <v>3811</v>
      </c>
      <c r="V1875" t="s">
        <v>22</v>
      </c>
    </row>
    <row r="1876" spans="1:22">
      <c r="A1876" t="str">
        <f t="shared" si="665"/>
        <v>25/02/2026</v>
      </c>
      <c r="B1876" t="str">
        <f t="shared" si="662"/>
        <v>ENTRADA</v>
      </c>
      <c r="C1876" t="str">
        <f t="shared" si="663"/>
        <v>NFSE</v>
      </c>
      <c r="D1876" t="str">
        <f t="shared" si="666"/>
        <v>360</v>
      </c>
      <c r="E1876" t="str">
        <f t="shared" si="664"/>
        <v>1</v>
      </c>
      <c r="F1876" t="str">
        <f t="shared" si="661"/>
        <v>COM</v>
      </c>
      <c r="G1876" t="str">
        <f t="shared" si="667"/>
        <v>FARMÁCIA INDIANA LJ 85 (10128)</v>
      </c>
      <c r="H1876" t="s">
        <v>478</v>
      </c>
      <c r="I1876" t="str">
        <f t="shared" si="668"/>
        <v>25/02/2026</v>
      </c>
      <c r="J1876" t="str">
        <f t="shared" si="669"/>
        <v>17/02/2026</v>
      </c>
      <c r="K1876">
        <v>46078</v>
      </c>
      <c r="N1876">
        <v>303</v>
      </c>
      <c r="O1876" t="s">
        <v>26</v>
      </c>
      <c r="Q1876">
        <v>58.28</v>
      </c>
      <c r="R1876" t="str">
        <f>"FARMÁCIA INDIANA LJ 211 (10168)"</f>
        <v>FARMÁCIA INDIANA LJ 211 (10168)</v>
      </c>
      <c r="S1876" t="s">
        <v>27</v>
      </c>
      <c r="T1876">
        <v>4393</v>
      </c>
      <c r="U1876">
        <v>3811</v>
      </c>
      <c r="V1876" t="s">
        <v>22</v>
      </c>
    </row>
    <row r="1877" spans="1:22">
      <c r="A1877" t="str">
        <f t="shared" si="665"/>
        <v>25/02/2026</v>
      </c>
      <c r="B1877" t="str">
        <f t="shared" si="662"/>
        <v>ENTRADA</v>
      </c>
      <c r="C1877" t="str">
        <f t="shared" si="663"/>
        <v>NFSE</v>
      </c>
      <c r="D1877" t="str">
        <f t="shared" si="666"/>
        <v>360</v>
      </c>
      <c r="E1877" t="str">
        <f t="shared" si="664"/>
        <v>1</v>
      </c>
      <c r="F1877" t="str">
        <f t="shared" si="661"/>
        <v>COM</v>
      </c>
      <c r="G1877" t="str">
        <f t="shared" si="667"/>
        <v>FARMÁCIA INDIANA LJ 85 (10128)</v>
      </c>
      <c r="H1877" t="s">
        <v>478</v>
      </c>
      <c r="I1877" t="str">
        <f t="shared" si="668"/>
        <v>25/02/2026</v>
      </c>
      <c r="J1877" t="str">
        <f t="shared" si="669"/>
        <v>17/02/2026</v>
      </c>
      <c r="K1877">
        <v>46078</v>
      </c>
      <c r="N1877">
        <v>303</v>
      </c>
      <c r="O1877" t="s">
        <v>26</v>
      </c>
      <c r="Q1877">
        <v>56.52</v>
      </c>
      <c r="R1877" t="str">
        <f>"FARMÁCIA INDIANA LJ 236 (10169)"</f>
        <v>FARMÁCIA INDIANA LJ 236 (10169)</v>
      </c>
      <c r="S1877" t="s">
        <v>27</v>
      </c>
      <c r="T1877">
        <v>4393</v>
      </c>
      <c r="U1877">
        <v>3811</v>
      </c>
      <c r="V1877" t="s">
        <v>22</v>
      </c>
    </row>
    <row r="1878" spans="1:22">
      <c r="A1878" t="str">
        <f t="shared" si="665"/>
        <v>25/02/2026</v>
      </c>
      <c r="B1878" t="str">
        <f t="shared" si="662"/>
        <v>ENTRADA</v>
      </c>
      <c r="C1878" t="str">
        <f t="shared" si="663"/>
        <v>NFSE</v>
      </c>
      <c r="D1878" t="str">
        <f t="shared" si="666"/>
        <v>360</v>
      </c>
      <c r="E1878" t="str">
        <f t="shared" si="664"/>
        <v>1</v>
      </c>
      <c r="F1878" t="str">
        <f t="shared" si="661"/>
        <v>COM</v>
      </c>
      <c r="G1878" t="str">
        <f t="shared" si="667"/>
        <v>FARMÁCIA INDIANA LJ 85 (10128)</v>
      </c>
      <c r="H1878" t="s">
        <v>478</v>
      </c>
      <c r="I1878" t="str">
        <f t="shared" si="668"/>
        <v>25/02/2026</v>
      </c>
      <c r="J1878" t="str">
        <f t="shared" si="669"/>
        <v>17/02/2026</v>
      </c>
      <c r="K1878">
        <v>46078</v>
      </c>
      <c r="N1878">
        <v>303</v>
      </c>
      <c r="O1878" t="s">
        <v>26</v>
      </c>
      <c r="Q1878">
        <v>114.81</v>
      </c>
      <c r="R1878" t="str">
        <f>"FARMÁCIA INDIANA LJ 188 (10176)"</f>
        <v>FARMÁCIA INDIANA LJ 188 (10176)</v>
      </c>
      <c r="S1878" t="s">
        <v>27</v>
      </c>
      <c r="T1878">
        <v>4393</v>
      </c>
      <c r="U1878">
        <v>3811</v>
      </c>
      <c r="V1878" t="s">
        <v>22</v>
      </c>
    </row>
    <row r="1879" spans="1:22">
      <c r="A1879" t="str">
        <f t="shared" si="665"/>
        <v>25/02/2026</v>
      </c>
      <c r="B1879" t="str">
        <f t="shared" si="662"/>
        <v>ENTRADA</v>
      </c>
      <c r="C1879" t="str">
        <f t="shared" si="663"/>
        <v>NFSE</v>
      </c>
      <c r="D1879" t="str">
        <f t="shared" si="666"/>
        <v>360</v>
      </c>
      <c r="E1879" t="str">
        <f t="shared" si="664"/>
        <v>1</v>
      </c>
      <c r="F1879" t="str">
        <f t="shared" si="661"/>
        <v>COM</v>
      </c>
      <c r="G1879" t="str">
        <f t="shared" si="667"/>
        <v>FARMÁCIA INDIANA LJ 85 (10128)</v>
      </c>
      <c r="H1879" t="s">
        <v>478</v>
      </c>
      <c r="I1879" t="str">
        <f t="shared" si="668"/>
        <v>25/02/2026</v>
      </c>
      <c r="J1879" t="str">
        <f t="shared" si="669"/>
        <v>17/02/2026</v>
      </c>
      <c r="K1879">
        <v>46078</v>
      </c>
      <c r="N1879">
        <v>303</v>
      </c>
      <c r="O1879" t="s">
        <v>26</v>
      </c>
      <c r="Q1879">
        <v>18.04</v>
      </c>
      <c r="R1879" t="str">
        <f>"FARMÁCIA INDIANA LJ 235 (10190)"</f>
        <v>FARMÁCIA INDIANA LJ 235 (10190)</v>
      </c>
      <c r="S1879" t="s">
        <v>27</v>
      </c>
      <c r="T1879">
        <v>4393</v>
      </c>
      <c r="U1879">
        <v>3811</v>
      </c>
      <c r="V1879" t="s">
        <v>22</v>
      </c>
    </row>
    <row r="1880" spans="1:22">
      <c r="A1880" t="str">
        <f t="shared" si="665"/>
        <v>25/02/2026</v>
      </c>
      <c r="B1880" t="str">
        <f t="shared" si="662"/>
        <v>ENTRADA</v>
      </c>
      <c r="C1880" t="str">
        <f t="shared" si="663"/>
        <v>NFSE</v>
      </c>
      <c r="D1880" t="str">
        <f t="shared" si="666"/>
        <v>360</v>
      </c>
      <c r="E1880" t="str">
        <f t="shared" si="664"/>
        <v>1</v>
      </c>
      <c r="F1880" t="str">
        <f t="shared" si="661"/>
        <v>COM</v>
      </c>
      <c r="G1880" t="str">
        <f t="shared" si="667"/>
        <v>FARMÁCIA INDIANA LJ 85 (10128)</v>
      </c>
      <c r="H1880" t="s">
        <v>478</v>
      </c>
      <c r="I1880" t="str">
        <f t="shared" si="668"/>
        <v>25/02/2026</v>
      </c>
      <c r="J1880" t="str">
        <f t="shared" si="669"/>
        <v>17/02/2026</v>
      </c>
      <c r="K1880">
        <v>46078</v>
      </c>
      <c r="N1880">
        <v>303</v>
      </c>
      <c r="O1880" t="s">
        <v>26</v>
      </c>
      <c r="Q1880">
        <v>56.71</v>
      </c>
      <c r="R1880" t="str">
        <f>"FARMÁCIA INDIANA LJ 292 (10282)"</f>
        <v>FARMÁCIA INDIANA LJ 292 (10282)</v>
      </c>
      <c r="S1880" t="s">
        <v>27</v>
      </c>
      <c r="T1880">
        <v>4393</v>
      </c>
      <c r="U1880">
        <v>3811</v>
      </c>
      <c r="V1880" t="s">
        <v>22</v>
      </c>
    </row>
    <row r="1881" spans="1:22">
      <c r="A1881" t="str">
        <f t="shared" si="665"/>
        <v>25/02/2026</v>
      </c>
      <c r="B1881" t="str">
        <f t="shared" si="662"/>
        <v>ENTRADA</v>
      </c>
      <c r="C1881" t="str">
        <f t="shared" si="663"/>
        <v>NFSE</v>
      </c>
      <c r="D1881" t="str">
        <f t="shared" ref="D1881:D1898" si="670">"361"</f>
        <v>361</v>
      </c>
      <c r="E1881" t="str">
        <f t="shared" si="664"/>
        <v>1</v>
      </c>
      <c r="F1881" t="str">
        <f t="shared" si="661"/>
        <v>COM</v>
      </c>
      <c r="G1881" t="str">
        <f t="shared" ref="G1881:G1898" si="671">"FARMÁCIA INDIANA LJ 30 (10127)"</f>
        <v>FARMÁCIA INDIANA LJ 30 (10127)</v>
      </c>
      <c r="H1881" t="str">
        <f>"Serv.Prest. 09/02/2026 a 15/02/2026 - RPS: 2283 - NFSe: 361"</f>
        <v>Serv.Prest. 09/02/2026 a 15/02/2026 - RPS: 2283 - NFSe: 361</v>
      </c>
      <c r="I1881" t="str">
        <f t="shared" si="668"/>
        <v>25/02/2026</v>
      </c>
      <c r="J1881" t="str">
        <f t="shared" si="669"/>
        <v>17/02/2026</v>
      </c>
      <c r="K1881" t="str">
        <f>("25/02/2026")</f>
        <v>25/02/2026</v>
      </c>
      <c r="L1881">
        <v>3157.21</v>
      </c>
      <c r="M1881">
        <v>3157.21</v>
      </c>
      <c r="N1881">
        <v>303</v>
      </c>
      <c r="O1881" t="str">
        <f>"RECEITAS COM ENTREGAS"</f>
        <v>RECEITAS COM ENTREGAS</v>
      </c>
      <c r="P1881">
        <v>3157.21</v>
      </c>
      <c r="S1881" t="str">
        <f>"RECEITAS COM ENTREGAS (303)"</f>
        <v>RECEITAS COM ENTREGAS (303)</v>
      </c>
      <c r="T1881">
        <v>4394</v>
      </c>
      <c r="U1881">
        <v>3812</v>
      </c>
      <c r="V1881" t="s">
        <v>22</v>
      </c>
    </row>
    <row r="1882" spans="1:22">
      <c r="A1882" t="str">
        <f t="shared" si="665"/>
        <v>25/02/2026</v>
      </c>
      <c r="B1882" t="str">
        <f t="shared" si="662"/>
        <v>ENTRADA</v>
      </c>
      <c r="C1882" t="str">
        <f t="shared" si="663"/>
        <v>NFSE</v>
      </c>
      <c r="D1882" t="str">
        <f t="shared" si="670"/>
        <v>361</v>
      </c>
      <c r="E1882" t="str">
        <f t="shared" si="664"/>
        <v>1</v>
      </c>
      <c r="F1882" t="str">
        <f t="shared" si="661"/>
        <v>COM</v>
      </c>
      <c r="G1882" t="str">
        <f t="shared" si="671"/>
        <v>FARMÁCIA INDIANA LJ 30 (10127)</v>
      </c>
      <c r="H1882" t="s">
        <v>479</v>
      </c>
      <c r="I1882" t="str">
        <f t="shared" si="668"/>
        <v>25/02/2026</v>
      </c>
      <c r="J1882" t="str">
        <f t="shared" si="669"/>
        <v>17/02/2026</v>
      </c>
      <c r="K1882">
        <v>46078</v>
      </c>
      <c r="N1882">
        <v>303</v>
      </c>
      <c r="O1882" t="s">
        <v>26</v>
      </c>
      <c r="Q1882">
        <v>343.51</v>
      </c>
      <c r="R1882" t="str">
        <f>"FARMÁCIA INDIANA LJ 34 (10014)"</f>
        <v>FARMÁCIA INDIANA LJ 34 (10014)</v>
      </c>
      <c r="S1882" t="s">
        <v>27</v>
      </c>
      <c r="T1882">
        <v>4394</v>
      </c>
      <c r="U1882">
        <v>3812</v>
      </c>
      <c r="V1882" t="s">
        <v>22</v>
      </c>
    </row>
    <row r="1883" spans="1:22">
      <c r="A1883" t="str">
        <f t="shared" si="665"/>
        <v>25/02/2026</v>
      </c>
      <c r="B1883" t="str">
        <f t="shared" si="662"/>
        <v>ENTRADA</v>
      </c>
      <c r="C1883" t="str">
        <f t="shared" si="663"/>
        <v>NFSE</v>
      </c>
      <c r="D1883" t="str">
        <f t="shared" si="670"/>
        <v>361</v>
      </c>
      <c r="E1883" t="str">
        <f t="shared" si="664"/>
        <v>1</v>
      </c>
      <c r="F1883" t="str">
        <f t="shared" si="661"/>
        <v>COM</v>
      </c>
      <c r="G1883" t="str">
        <f t="shared" si="671"/>
        <v>FARMÁCIA INDIANA LJ 30 (10127)</v>
      </c>
      <c r="H1883" t="s">
        <v>479</v>
      </c>
      <c r="I1883" t="str">
        <f t="shared" si="668"/>
        <v>25/02/2026</v>
      </c>
      <c r="J1883" t="str">
        <f t="shared" si="669"/>
        <v>17/02/2026</v>
      </c>
      <c r="K1883">
        <v>46078</v>
      </c>
      <c r="N1883">
        <v>303</v>
      </c>
      <c r="O1883" t="s">
        <v>26</v>
      </c>
      <c r="Q1883">
        <v>167.96</v>
      </c>
      <c r="R1883" t="str">
        <f>"FARMÁCIA INDIANA LJ 35 (10015)"</f>
        <v>FARMÁCIA INDIANA LJ 35 (10015)</v>
      </c>
      <c r="S1883" t="s">
        <v>27</v>
      </c>
      <c r="T1883">
        <v>4394</v>
      </c>
      <c r="U1883">
        <v>3812</v>
      </c>
      <c r="V1883" t="s">
        <v>22</v>
      </c>
    </row>
    <row r="1884" spans="1:22">
      <c r="A1884" t="str">
        <f t="shared" si="665"/>
        <v>25/02/2026</v>
      </c>
      <c r="B1884" t="str">
        <f t="shared" si="662"/>
        <v>ENTRADA</v>
      </c>
      <c r="C1884" t="str">
        <f t="shared" si="663"/>
        <v>NFSE</v>
      </c>
      <c r="D1884" t="str">
        <f t="shared" si="670"/>
        <v>361</v>
      </c>
      <c r="E1884" t="str">
        <f t="shared" si="664"/>
        <v>1</v>
      </c>
      <c r="F1884" t="str">
        <f t="shared" si="661"/>
        <v>COM</v>
      </c>
      <c r="G1884" t="str">
        <f t="shared" si="671"/>
        <v>FARMÁCIA INDIANA LJ 30 (10127)</v>
      </c>
      <c r="H1884" t="s">
        <v>479</v>
      </c>
      <c r="I1884" t="str">
        <f t="shared" si="668"/>
        <v>25/02/2026</v>
      </c>
      <c r="J1884" t="str">
        <f t="shared" si="669"/>
        <v>17/02/2026</v>
      </c>
      <c r="K1884">
        <v>46078</v>
      </c>
      <c r="N1884">
        <v>303</v>
      </c>
      <c r="O1884" t="s">
        <v>26</v>
      </c>
      <c r="Q1884">
        <v>251.63</v>
      </c>
      <c r="R1884" t="str">
        <f>"FARMÁCIA INDIANA LJ 48 (10018)"</f>
        <v>FARMÁCIA INDIANA LJ 48 (10018)</v>
      </c>
      <c r="S1884" t="s">
        <v>27</v>
      </c>
      <c r="T1884">
        <v>4394</v>
      </c>
      <c r="U1884">
        <v>3812</v>
      </c>
      <c r="V1884" t="s">
        <v>22</v>
      </c>
    </row>
    <row r="1885" spans="1:22">
      <c r="A1885" t="str">
        <f t="shared" si="665"/>
        <v>25/02/2026</v>
      </c>
      <c r="B1885" t="str">
        <f t="shared" si="662"/>
        <v>ENTRADA</v>
      </c>
      <c r="C1885" t="str">
        <f t="shared" si="663"/>
        <v>NFSE</v>
      </c>
      <c r="D1885" t="str">
        <f t="shared" si="670"/>
        <v>361</v>
      </c>
      <c r="E1885" t="str">
        <f t="shared" si="664"/>
        <v>1</v>
      </c>
      <c r="F1885" t="str">
        <f t="shared" si="661"/>
        <v>COM</v>
      </c>
      <c r="G1885" t="str">
        <f t="shared" si="671"/>
        <v>FARMÁCIA INDIANA LJ 30 (10127)</v>
      </c>
      <c r="H1885" t="s">
        <v>479</v>
      </c>
      <c r="I1885" t="str">
        <f t="shared" si="668"/>
        <v>25/02/2026</v>
      </c>
      <c r="J1885" t="str">
        <f t="shared" si="669"/>
        <v>17/02/2026</v>
      </c>
      <c r="K1885">
        <v>46078</v>
      </c>
      <c r="N1885">
        <v>303</v>
      </c>
      <c r="O1885" t="s">
        <v>26</v>
      </c>
      <c r="Q1885">
        <v>348.87</v>
      </c>
      <c r="R1885" t="str">
        <f>"FARMÁCIA INDIANA LJ 65 (10030)"</f>
        <v>FARMÁCIA INDIANA LJ 65 (10030)</v>
      </c>
      <c r="S1885" t="s">
        <v>27</v>
      </c>
      <c r="T1885">
        <v>4394</v>
      </c>
      <c r="U1885">
        <v>3812</v>
      </c>
      <c r="V1885" t="s">
        <v>22</v>
      </c>
    </row>
    <row r="1886" spans="1:22">
      <c r="A1886" t="str">
        <f t="shared" si="665"/>
        <v>25/02/2026</v>
      </c>
      <c r="B1886" t="str">
        <f t="shared" si="662"/>
        <v>ENTRADA</v>
      </c>
      <c r="C1886" t="str">
        <f t="shared" si="663"/>
        <v>NFSE</v>
      </c>
      <c r="D1886" t="str">
        <f t="shared" si="670"/>
        <v>361</v>
      </c>
      <c r="E1886" t="str">
        <f t="shared" si="664"/>
        <v>1</v>
      </c>
      <c r="F1886" t="str">
        <f t="shared" si="661"/>
        <v>COM</v>
      </c>
      <c r="G1886" t="str">
        <f t="shared" si="671"/>
        <v>FARMÁCIA INDIANA LJ 30 (10127)</v>
      </c>
      <c r="H1886" t="s">
        <v>479</v>
      </c>
      <c r="I1886" t="str">
        <f t="shared" si="668"/>
        <v>25/02/2026</v>
      </c>
      <c r="J1886" t="str">
        <f t="shared" si="669"/>
        <v>17/02/2026</v>
      </c>
      <c r="K1886">
        <v>46078</v>
      </c>
      <c r="N1886">
        <v>303</v>
      </c>
      <c r="O1886" t="s">
        <v>26</v>
      </c>
      <c r="Q1886">
        <v>85.56</v>
      </c>
      <c r="R1886" t="str">
        <f>"FARMÁCIA INDIANA LJ 77 (10034)"</f>
        <v>FARMÁCIA INDIANA LJ 77 (10034)</v>
      </c>
      <c r="S1886" t="s">
        <v>27</v>
      </c>
      <c r="T1886">
        <v>4394</v>
      </c>
      <c r="U1886">
        <v>3812</v>
      </c>
      <c r="V1886" t="s">
        <v>22</v>
      </c>
    </row>
    <row r="1887" spans="1:22">
      <c r="A1887" t="str">
        <f t="shared" si="665"/>
        <v>25/02/2026</v>
      </c>
      <c r="B1887" t="str">
        <f t="shared" si="662"/>
        <v>ENTRADA</v>
      </c>
      <c r="C1887" t="str">
        <f t="shared" si="663"/>
        <v>NFSE</v>
      </c>
      <c r="D1887" t="str">
        <f t="shared" si="670"/>
        <v>361</v>
      </c>
      <c r="E1887" t="str">
        <f t="shared" si="664"/>
        <v>1</v>
      </c>
      <c r="F1887" t="str">
        <f t="shared" si="661"/>
        <v>COM</v>
      </c>
      <c r="G1887" t="str">
        <f t="shared" si="671"/>
        <v>FARMÁCIA INDIANA LJ 30 (10127)</v>
      </c>
      <c r="H1887" t="s">
        <v>479</v>
      </c>
      <c r="I1887" t="str">
        <f t="shared" si="668"/>
        <v>25/02/2026</v>
      </c>
      <c r="J1887" t="str">
        <f t="shared" si="669"/>
        <v>17/02/2026</v>
      </c>
      <c r="K1887">
        <v>46078</v>
      </c>
      <c r="N1887">
        <v>303</v>
      </c>
      <c r="O1887" t="s">
        <v>26</v>
      </c>
      <c r="Q1887">
        <v>575.24</v>
      </c>
      <c r="R1887" t="str">
        <f>"FARMÁCIA INDIANA LJ 91 (10037)"</f>
        <v>FARMÁCIA INDIANA LJ 91 (10037)</v>
      </c>
      <c r="S1887" t="s">
        <v>27</v>
      </c>
      <c r="T1887">
        <v>4394</v>
      </c>
      <c r="U1887">
        <v>3812</v>
      </c>
      <c r="V1887" t="s">
        <v>22</v>
      </c>
    </row>
    <row r="1888" spans="1:22">
      <c r="A1888" t="str">
        <f t="shared" si="665"/>
        <v>25/02/2026</v>
      </c>
      <c r="B1888" t="str">
        <f t="shared" si="662"/>
        <v>ENTRADA</v>
      </c>
      <c r="C1888" t="str">
        <f t="shared" si="663"/>
        <v>NFSE</v>
      </c>
      <c r="D1888" t="str">
        <f t="shared" si="670"/>
        <v>361</v>
      </c>
      <c r="E1888" t="str">
        <f t="shared" si="664"/>
        <v>1</v>
      </c>
      <c r="F1888" t="str">
        <f t="shared" si="661"/>
        <v>COM</v>
      </c>
      <c r="G1888" t="str">
        <f t="shared" si="671"/>
        <v>FARMÁCIA INDIANA LJ 30 (10127)</v>
      </c>
      <c r="H1888" t="s">
        <v>479</v>
      </c>
      <c r="I1888" t="str">
        <f t="shared" si="668"/>
        <v>25/02/2026</v>
      </c>
      <c r="J1888" t="str">
        <f t="shared" si="669"/>
        <v>17/02/2026</v>
      </c>
      <c r="K1888">
        <v>46078</v>
      </c>
      <c r="N1888">
        <v>303</v>
      </c>
      <c r="O1888" t="s">
        <v>26</v>
      </c>
      <c r="Q1888">
        <v>202.06</v>
      </c>
      <c r="R1888" t="str">
        <f>"FARMÁCIA INDIANA LJ 95 (10039)"</f>
        <v>FARMÁCIA INDIANA LJ 95 (10039)</v>
      </c>
      <c r="S1888" t="s">
        <v>27</v>
      </c>
      <c r="T1888">
        <v>4394</v>
      </c>
      <c r="U1888">
        <v>3812</v>
      </c>
      <c r="V1888" t="s">
        <v>22</v>
      </c>
    </row>
    <row r="1889" spans="1:22">
      <c r="A1889" t="str">
        <f t="shared" si="665"/>
        <v>25/02/2026</v>
      </c>
      <c r="B1889" t="str">
        <f t="shared" si="662"/>
        <v>ENTRADA</v>
      </c>
      <c r="C1889" t="str">
        <f t="shared" si="663"/>
        <v>NFSE</v>
      </c>
      <c r="D1889" t="str">
        <f t="shared" si="670"/>
        <v>361</v>
      </c>
      <c r="E1889" t="str">
        <f t="shared" si="664"/>
        <v>1</v>
      </c>
      <c r="F1889" t="str">
        <f t="shared" si="661"/>
        <v>COM</v>
      </c>
      <c r="G1889" t="str">
        <f t="shared" si="671"/>
        <v>FARMÁCIA INDIANA LJ 30 (10127)</v>
      </c>
      <c r="H1889" t="s">
        <v>479</v>
      </c>
      <c r="I1889" t="str">
        <f t="shared" si="668"/>
        <v>25/02/2026</v>
      </c>
      <c r="J1889" t="str">
        <f t="shared" si="669"/>
        <v>17/02/2026</v>
      </c>
      <c r="K1889">
        <v>46078</v>
      </c>
      <c r="N1889">
        <v>303</v>
      </c>
      <c r="O1889" t="s">
        <v>26</v>
      </c>
      <c r="Q1889">
        <v>141.44</v>
      </c>
      <c r="R1889" t="str">
        <f>"FARMÁCIA INDIANA LJ 145 (10068)"</f>
        <v>FARMÁCIA INDIANA LJ 145 (10068)</v>
      </c>
      <c r="S1889" t="s">
        <v>27</v>
      </c>
      <c r="T1889">
        <v>4394</v>
      </c>
      <c r="U1889">
        <v>3812</v>
      </c>
      <c r="V1889" t="s">
        <v>22</v>
      </c>
    </row>
    <row r="1890" spans="1:22">
      <c r="A1890" t="str">
        <f t="shared" si="665"/>
        <v>25/02/2026</v>
      </c>
      <c r="B1890" t="str">
        <f t="shared" si="662"/>
        <v>ENTRADA</v>
      </c>
      <c r="C1890" t="str">
        <f t="shared" si="663"/>
        <v>NFSE</v>
      </c>
      <c r="D1890" t="str">
        <f t="shared" si="670"/>
        <v>361</v>
      </c>
      <c r="E1890" t="str">
        <f t="shared" si="664"/>
        <v>1</v>
      </c>
      <c r="F1890" t="str">
        <f t="shared" si="661"/>
        <v>COM</v>
      </c>
      <c r="G1890" t="str">
        <f t="shared" si="671"/>
        <v>FARMÁCIA INDIANA LJ 30 (10127)</v>
      </c>
      <c r="H1890" t="s">
        <v>479</v>
      </c>
      <c r="I1890" t="str">
        <f t="shared" si="668"/>
        <v>25/02/2026</v>
      </c>
      <c r="J1890" t="str">
        <f t="shared" si="669"/>
        <v>17/02/2026</v>
      </c>
      <c r="K1890">
        <v>46078</v>
      </c>
      <c r="N1890">
        <v>303</v>
      </c>
      <c r="O1890" t="s">
        <v>26</v>
      </c>
      <c r="Q1890">
        <v>114.61</v>
      </c>
      <c r="R1890" t="str">
        <f>"FARMÁCIA INDIANA LJ 169 (10073)"</f>
        <v>FARMÁCIA INDIANA LJ 169 (10073)</v>
      </c>
      <c r="S1890" t="s">
        <v>27</v>
      </c>
      <c r="T1890">
        <v>4394</v>
      </c>
      <c r="U1890">
        <v>3812</v>
      </c>
      <c r="V1890" t="s">
        <v>22</v>
      </c>
    </row>
    <row r="1891" spans="1:22">
      <c r="A1891" t="str">
        <f t="shared" si="665"/>
        <v>25/02/2026</v>
      </c>
      <c r="B1891" t="str">
        <f t="shared" si="662"/>
        <v>ENTRADA</v>
      </c>
      <c r="C1891" t="str">
        <f t="shared" si="663"/>
        <v>NFSE</v>
      </c>
      <c r="D1891" t="str">
        <f t="shared" si="670"/>
        <v>361</v>
      </c>
      <c r="E1891" t="str">
        <f t="shared" si="664"/>
        <v>1</v>
      </c>
      <c r="F1891" t="str">
        <f t="shared" si="661"/>
        <v>COM</v>
      </c>
      <c r="G1891" t="str">
        <f t="shared" si="671"/>
        <v>FARMÁCIA INDIANA LJ 30 (10127)</v>
      </c>
      <c r="H1891" t="s">
        <v>479</v>
      </c>
      <c r="I1891" t="str">
        <f t="shared" si="668"/>
        <v>25/02/2026</v>
      </c>
      <c r="J1891" t="str">
        <f t="shared" si="669"/>
        <v>17/02/2026</v>
      </c>
      <c r="K1891">
        <v>46078</v>
      </c>
      <c r="N1891">
        <v>303</v>
      </c>
      <c r="O1891" t="s">
        <v>26</v>
      </c>
      <c r="Q1891">
        <v>174.28</v>
      </c>
      <c r="R1891" t="str">
        <f>"FARMÁCIA INDIANA LJ 173 (10075)"</f>
        <v>FARMÁCIA INDIANA LJ 173 (10075)</v>
      </c>
      <c r="S1891" t="s">
        <v>27</v>
      </c>
      <c r="T1891">
        <v>4394</v>
      </c>
      <c r="U1891">
        <v>3812</v>
      </c>
      <c r="V1891" t="s">
        <v>22</v>
      </c>
    </row>
    <row r="1892" spans="1:22">
      <c r="A1892" t="str">
        <f t="shared" si="665"/>
        <v>25/02/2026</v>
      </c>
      <c r="B1892" t="str">
        <f t="shared" si="662"/>
        <v>ENTRADA</v>
      </c>
      <c r="C1892" t="str">
        <f t="shared" si="663"/>
        <v>NFSE</v>
      </c>
      <c r="D1892" t="str">
        <f t="shared" si="670"/>
        <v>361</v>
      </c>
      <c r="E1892" t="str">
        <f t="shared" si="664"/>
        <v>1</v>
      </c>
      <c r="F1892" t="str">
        <f t="shared" si="661"/>
        <v>COM</v>
      </c>
      <c r="G1892" t="str">
        <f t="shared" si="671"/>
        <v>FARMÁCIA INDIANA LJ 30 (10127)</v>
      </c>
      <c r="H1892" t="s">
        <v>479</v>
      </c>
      <c r="I1892" t="str">
        <f t="shared" si="668"/>
        <v>25/02/2026</v>
      </c>
      <c r="J1892" t="str">
        <f t="shared" si="669"/>
        <v>17/02/2026</v>
      </c>
      <c r="K1892">
        <v>46078</v>
      </c>
      <c r="N1892">
        <v>303</v>
      </c>
      <c r="O1892" t="s">
        <v>26</v>
      </c>
      <c r="Q1892">
        <v>100.08</v>
      </c>
      <c r="R1892" t="str">
        <f>"FARMÁCIA INDIANA LJ 213 (10090)"</f>
        <v>FARMÁCIA INDIANA LJ 213 (10090)</v>
      </c>
      <c r="S1892" t="s">
        <v>27</v>
      </c>
      <c r="T1892">
        <v>4394</v>
      </c>
      <c r="U1892">
        <v>3812</v>
      </c>
      <c r="V1892" t="s">
        <v>22</v>
      </c>
    </row>
    <row r="1893" spans="1:22">
      <c r="A1893" t="str">
        <f t="shared" si="665"/>
        <v>25/02/2026</v>
      </c>
      <c r="B1893" t="str">
        <f t="shared" si="662"/>
        <v>ENTRADA</v>
      </c>
      <c r="C1893" t="str">
        <f t="shared" si="663"/>
        <v>NFSE</v>
      </c>
      <c r="D1893" t="str">
        <f t="shared" si="670"/>
        <v>361</v>
      </c>
      <c r="E1893" t="str">
        <f t="shared" si="664"/>
        <v>1</v>
      </c>
      <c r="F1893" t="str">
        <f t="shared" si="661"/>
        <v>COM</v>
      </c>
      <c r="G1893" t="str">
        <f t="shared" si="671"/>
        <v>FARMÁCIA INDIANA LJ 30 (10127)</v>
      </c>
      <c r="H1893" t="s">
        <v>479</v>
      </c>
      <c r="I1893" t="str">
        <f t="shared" si="668"/>
        <v>25/02/2026</v>
      </c>
      <c r="J1893" t="str">
        <f t="shared" si="669"/>
        <v>17/02/2026</v>
      </c>
      <c r="K1893">
        <v>46078</v>
      </c>
      <c r="N1893">
        <v>303</v>
      </c>
      <c r="O1893" t="s">
        <v>26</v>
      </c>
      <c r="Q1893">
        <v>135.76</v>
      </c>
      <c r="R1893" t="str">
        <f>"FARMÁCIA INDIANA LJ 200 (10155)"</f>
        <v>FARMÁCIA INDIANA LJ 200 (10155)</v>
      </c>
      <c r="S1893" t="s">
        <v>27</v>
      </c>
      <c r="T1893">
        <v>4394</v>
      </c>
      <c r="U1893">
        <v>3812</v>
      </c>
      <c r="V1893" t="s">
        <v>22</v>
      </c>
    </row>
    <row r="1894" spans="1:22">
      <c r="A1894" t="str">
        <f t="shared" si="665"/>
        <v>25/02/2026</v>
      </c>
      <c r="B1894" t="str">
        <f t="shared" si="662"/>
        <v>ENTRADA</v>
      </c>
      <c r="C1894" t="str">
        <f t="shared" si="663"/>
        <v>NFSE</v>
      </c>
      <c r="D1894" t="str">
        <f t="shared" si="670"/>
        <v>361</v>
      </c>
      <c r="E1894" t="str">
        <f t="shared" si="664"/>
        <v>1</v>
      </c>
      <c r="F1894" t="str">
        <f t="shared" si="661"/>
        <v>COM</v>
      </c>
      <c r="G1894" t="str">
        <f t="shared" si="671"/>
        <v>FARMÁCIA INDIANA LJ 30 (10127)</v>
      </c>
      <c r="H1894" t="s">
        <v>479</v>
      </c>
      <c r="I1894" t="str">
        <f t="shared" si="668"/>
        <v>25/02/2026</v>
      </c>
      <c r="J1894" t="str">
        <f t="shared" si="669"/>
        <v>17/02/2026</v>
      </c>
      <c r="K1894">
        <v>46078</v>
      </c>
      <c r="N1894">
        <v>303</v>
      </c>
      <c r="O1894" t="s">
        <v>26</v>
      </c>
      <c r="Q1894">
        <v>123.76</v>
      </c>
      <c r="R1894" t="str">
        <f>"FARMÁCIA INDIANA LJ 33 (10187)"</f>
        <v>FARMÁCIA INDIANA LJ 33 (10187)</v>
      </c>
      <c r="S1894" t="s">
        <v>27</v>
      </c>
      <c r="T1894">
        <v>4394</v>
      </c>
      <c r="U1894">
        <v>3812</v>
      </c>
      <c r="V1894" t="s">
        <v>22</v>
      </c>
    </row>
    <row r="1895" spans="1:22">
      <c r="A1895" t="str">
        <f t="shared" si="665"/>
        <v>25/02/2026</v>
      </c>
      <c r="B1895" t="str">
        <f t="shared" si="662"/>
        <v>ENTRADA</v>
      </c>
      <c r="C1895" t="str">
        <f t="shared" si="663"/>
        <v>NFSE</v>
      </c>
      <c r="D1895" t="str">
        <f t="shared" si="670"/>
        <v>361</v>
      </c>
      <c r="E1895" t="str">
        <f t="shared" si="664"/>
        <v>1</v>
      </c>
      <c r="F1895" t="str">
        <f t="shared" si="661"/>
        <v>COM</v>
      </c>
      <c r="G1895" t="str">
        <f t="shared" si="671"/>
        <v>FARMÁCIA INDIANA LJ 30 (10127)</v>
      </c>
      <c r="H1895" t="s">
        <v>479</v>
      </c>
      <c r="I1895" t="str">
        <f t="shared" si="668"/>
        <v>25/02/2026</v>
      </c>
      <c r="J1895" t="str">
        <f t="shared" si="669"/>
        <v>17/02/2026</v>
      </c>
      <c r="K1895">
        <v>46078</v>
      </c>
      <c r="N1895">
        <v>303</v>
      </c>
      <c r="O1895" t="s">
        <v>26</v>
      </c>
      <c r="Q1895">
        <v>99.77</v>
      </c>
      <c r="R1895" t="str">
        <f>"FARMÁCIA INDIANA LJ 283 (10268)"</f>
        <v>FARMÁCIA INDIANA LJ 283 (10268)</v>
      </c>
      <c r="S1895" t="s">
        <v>27</v>
      </c>
      <c r="T1895">
        <v>4394</v>
      </c>
      <c r="U1895">
        <v>3812</v>
      </c>
      <c r="V1895" t="s">
        <v>22</v>
      </c>
    </row>
    <row r="1896" spans="1:22">
      <c r="A1896" t="str">
        <f t="shared" si="665"/>
        <v>25/02/2026</v>
      </c>
      <c r="B1896" t="str">
        <f t="shared" si="662"/>
        <v>ENTRADA</v>
      </c>
      <c r="C1896" t="str">
        <f t="shared" si="663"/>
        <v>NFSE</v>
      </c>
      <c r="D1896" t="str">
        <f t="shared" si="670"/>
        <v>361</v>
      </c>
      <c r="E1896" t="str">
        <f t="shared" si="664"/>
        <v>1</v>
      </c>
      <c r="F1896" t="str">
        <f t="shared" si="661"/>
        <v>COM</v>
      </c>
      <c r="G1896" t="str">
        <f t="shared" si="671"/>
        <v>FARMÁCIA INDIANA LJ 30 (10127)</v>
      </c>
      <c r="H1896" t="s">
        <v>479</v>
      </c>
      <c r="I1896" t="str">
        <f t="shared" si="668"/>
        <v>25/02/2026</v>
      </c>
      <c r="J1896" t="str">
        <f t="shared" si="669"/>
        <v>17/02/2026</v>
      </c>
      <c r="K1896">
        <v>46078</v>
      </c>
      <c r="N1896">
        <v>303</v>
      </c>
      <c r="O1896" t="s">
        <v>26</v>
      </c>
      <c r="Q1896">
        <v>47.04</v>
      </c>
      <c r="R1896" t="str">
        <f>"FARMÁCIA INDIANA LJ 155 (10273)"</f>
        <v>FARMÁCIA INDIANA LJ 155 (10273)</v>
      </c>
      <c r="S1896" t="s">
        <v>27</v>
      </c>
      <c r="T1896">
        <v>4394</v>
      </c>
      <c r="U1896">
        <v>3812</v>
      </c>
      <c r="V1896" t="s">
        <v>22</v>
      </c>
    </row>
    <row r="1897" spans="1:22">
      <c r="A1897" t="str">
        <f t="shared" si="665"/>
        <v>25/02/2026</v>
      </c>
      <c r="B1897" t="str">
        <f t="shared" si="662"/>
        <v>ENTRADA</v>
      </c>
      <c r="C1897" t="str">
        <f t="shared" si="663"/>
        <v>NFSE</v>
      </c>
      <c r="D1897" t="str">
        <f t="shared" si="670"/>
        <v>361</v>
      </c>
      <c r="E1897" t="str">
        <f t="shared" si="664"/>
        <v>1</v>
      </c>
      <c r="F1897" t="str">
        <f t="shared" si="661"/>
        <v>COM</v>
      </c>
      <c r="G1897" t="str">
        <f t="shared" si="671"/>
        <v>FARMÁCIA INDIANA LJ 30 (10127)</v>
      </c>
      <c r="H1897" t="s">
        <v>479</v>
      </c>
      <c r="I1897" t="str">
        <f t="shared" si="668"/>
        <v>25/02/2026</v>
      </c>
      <c r="J1897" t="str">
        <f t="shared" si="669"/>
        <v>17/02/2026</v>
      </c>
      <c r="K1897">
        <v>46078</v>
      </c>
      <c r="N1897">
        <v>303</v>
      </c>
      <c r="O1897" t="s">
        <v>26</v>
      </c>
      <c r="Q1897">
        <v>113.98</v>
      </c>
      <c r="R1897" t="str">
        <f>"FARMÁCIA INDIANA LJ 158 (10275)"</f>
        <v>FARMÁCIA INDIANA LJ 158 (10275)</v>
      </c>
      <c r="S1897" t="s">
        <v>27</v>
      </c>
      <c r="T1897">
        <v>4394</v>
      </c>
      <c r="U1897">
        <v>3812</v>
      </c>
      <c r="V1897" t="s">
        <v>22</v>
      </c>
    </row>
    <row r="1898" spans="1:22">
      <c r="A1898" t="str">
        <f t="shared" si="665"/>
        <v>25/02/2026</v>
      </c>
      <c r="B1898" t="str">
        <f t="shared" si="662"/>
        <v>ENTRADA</v>
      </c>
      <c r="C1898" t="str">
        <f t="shared" si="663"/>
        <v>NFSE</v>
      </c>
      <c r="D1898" t="str">
        <f t="shared" si="670"/>
        <v>361</v>
      </c>
      <c r="E1898" t="str">
        <f t="shared" si="664"/>
        <v>1</v>
      </c>
      <c r="F1898" t="str">
        <f t="shared" ref="F1898:F1929" si="672">"COM"</f>
        <v>COM</v>
      </c>
      <c r="G1898" t="str">
        <f t="shared" si="671"/>
        <v>FARMÁCIA INDIANA LJ 30 (10127)</v>
      </c>
      <c r="H1898" t="s">
        <v>479</v>
      </c>
      <c r="I1898" t="str">
        <f t="shared" si="668"/>
        <v>25/02/2026</v>
      </c>
      <c r="J1898" t="str">
        <f t="shared" si="669"/>
        <v>17/02/2026</v>
      </c>
      <c r="K1898">
        <v>46078</v>
      </c>
      <c r="N1898">
        <v>303</v>
      </c>
      <c r="O1898" t="s">
        <v>26</v>
      </c>
      <c r="Q1898">
        <v>131.66</v>
      </c>
      <c r="R1898" t="str">
        <f>"FARMÁCIA INDIANA LJ 92 (10281)"</f>
        <v>FARMÁCIA INDIANA LJ 92 (10281)</v>
      </c>
      <c r="S1898" t="s">
        <v>27</v>
      </c>
      <c r="T1898">
        <v>4394</v>
      </c>
      <c r="U1898">
        <v>3812</v>
      </c>
      <c r="V1898" t="s">
        <v>22</v>
      </c>
    </row>
    <row r="1899" spans="1:22">
      <c r="A1899" t="str">
        <f t="shared" si="665"/>
        <v>25/02/2026</v>
      </c>
      <c r="B1899" t="str">
        <f t="shared" si="662"/>
        <v>ENTRADA</v>
      </c>
      <c r="C1899" t="str">
        <f t="shared" si="663"/>
        <v>NFSE</v>
      </c>
      <c r="D1899" t="str">
        <f t="shared" ref="D1899:D1930" si="673">"364"</f>
        <v>364</v>
      </c>
      <c r="E1899" t="str">
        <f t="shared" si="664"/>
        <v>1</v>
      </c>
      <c r="F1899" t="str">
        <f t="shared" si="672"/>
        <v>COM</v>
      </c>
      <c r="G1899" t="str">
        <f t="shared" ref="G1899:G1930" si="674">"FARMÁCIA INDIANA LJ 1 (10126)"</f>
        <v>FARMÁCIA INDIANA LJ 1 (10126)</v>
      </c>
      <c r="H1899" t="str">
        <f>"Serv.Prest. 09/02/2026 a 15/02/2026 - RPS: 2286 - NFSe: 364"</f>
        <v>Serv.Prest. 09/02/2026 a 15/02/2026 - RPS: 2286 - NFSe: 364</v>
      </c>
      <c r="I1899" t="str">
        <f t="shared" si="668"/>
        <v>25/02/2026</v>
      </c>
      <c r="J1899" t="str">
        <f t="shared" si="669"/>
        <v>17/02/2026</v>
      </c>
      <c r="K1899" t="str">
        <f>("25/02/2026")</f>
        <v>25/02/2026</v>
      </c>
      <c r="L1899">
        <v>13395.38</v>
      </c>
      <c r="M1899">
        <v>13395.38</v>
      </c>
      <c r="N1899">
        <v>303</v>
      </c>
      <c r="O1899" t="str">
        <f>"RECEITAS COM ENTREGAS"</f>
        <v>RECEITAS COM ENTREGAS</v>
      </c>
      <c r="P1899">
        <v>13395.38</v>
      </c>
      <c r="S1899" t="str">
        <f>"RECEITAS COM ENTREGAS (303)"</f>
        <v>RECEITAS COM ENTREGAS (303)</v>
      </c>
      <c r="T1899">
        <v>4395</v>
      </c>
      <c r="U1899">
        <v>3815</v>
      </c>
      <c r="V1899" t="s">
        <v>22</v>
      </c>
    </row>
    <row r="1900" spans="1:22">
      <c r="A1900" t="str">
        <f t="shared" si="665"/>
        <v>25/02/2026</v>
      </c>
      <c r="B1900" t="str">
        <f t="shared" ref="B1900:B1931" si="675">"ENTRADA"</f>
        <v>ENTRADA</v>
      </c>
      <c r="C1900" t="str">
        <f t="shared" ref="C1900:C1931" si="676">"NFSE"</f>
        <v>NFSE</v>
      </c>
      <c r="D1900" t="str">
        <f t="shared" si="673"/>
        <v>364</v>
      </c>
      <c r="E1900" t="str">
        <f t="shared" ref="E1900:E1931" si="677">"1"</f>
        <v>1</v>
      </c>
      <c r="F1900" t="str">
        <f t="shared" si="672"/>
        <v>COM</v>
      </c>
      <c r="G1900" t="str">
        <f t="shared" si="674"/>
        <v>FARMÁCIA INDIANA LJ 1 (10126)</v>
      </c>
      <c r="H1900" t="s">
        <v>480</v>
      </c>
      <c r="I1900" t="str">
        <f t="shared" si="668"/>
        <v>25/02/2026</v>
      </c>
      <c r="J1900" t="str">
        <f t="shared" si="669"/>
        <v>17/02/2026</v>
      </c>
      <c r="K1900">
        <v>46078</v>
      </c>
      <c r="N1900">
        <v>303</v>
      </c>
      <c r="O1900" t="s">
        <v>26</v>
      </c>
      <c r="Q1900">
        <v>1991.87</v>
      </c>
      <c r="R1900" t="str">
        <f>"FARMÁCIA INDIANA LJ 06 (10006)"</f>
        <v>FARMÁCIA INDIANA LJ 06 (10006)</v>
      </c>
      <c r="S1900" t="s">
        <v>27</v>
      </c>
      <c r="T1900">
        <v>4395</v>
      </c>
      <c r="U1900">
        <v>3815</v>
      </c>
      <c r="V1900" t="s">
        <v>22</v>
      </c>
    </row>
    <row r="1901" spans="1:22">
      <c r="A1901" t="str">
        <f t="shared" si="665"/>
        <v>25/02/2026</v>
      </c>
      <c r="B1901" t="str">
        <f t="shared" si="675"/>
        <v>ENTRADA</v>
      </c>
      <c r="C1901" t="str">
        <f t="shared" si="676"/>
        <v>NFSE</v>
      </c>
      <c r="D1901" t="str">
        <f t="shared" si="673"/>
        <v>364</v>
      </c>
      <c r="E1901" t="str">
        <f t="shared" si="677"/>
        <v>1</v>
      </c>
      <c r="F1901" t="str">
        <f t="shared" si="672"/>
        <v>COM</v>
      </c>
      <c r="G1901" t="str">
        <f t="shared" si="674"/>
        <v>FARMÁCIA INDIANA LJ 1 (10126)</v>
      </c>
      <c r="H1901" t="s">
        <v>480</v>
      </c>
      <c r="I1901" t="str">
        <f t="shared" si="668"/>
        <v>25/02/2026</v>
      </c>
      <c r="J1901" t="str">
        <f t="shared" si="669"/>
        <v>17/02/2026</v>
      </c>
      <c r="K1901">
        <v>46078</v>
      </c>
      <c r="N1901">
        <v>303</v>
      </c>
      <c r="O1901" t="s">
        <v>26</v>
      </c>
      <c r="Q1901">
        <v>1109.1400000000001</v>
      </c>
      <c r="R1901" t="str">
        <f>"FARMÁCIA INDIANA LJ 07 (10007)"</f>
        <v>FARMÁCIA INDIANA LJ 07 (10007)</v>
      </c>
      <c r="S1901" t="s">
        <v>27</v>
      </c>
      <c r="T1901">
        <v>4395</v>
      </c>
      <c r="U1901">
        <v>3815</v>
      </c>
      <c r="V1901" t="s">
        <v>22</v>
      </c>
    </row>
    <row r="1902" spans="1:22">
      <c r="A1902" t="str">
        <f t="shared" ref="A1902:A1933" si="678">("25/02/2026")</f>
        <v>25/02/2026</v>
      </c>
      <c r="B1902" t="str">
        <f t="shared" si="675"/>
        <v>ENTRADA</v>
      </c>
      <c r="C1902" t="str">
        <f t="shared" si="676"/>
        <v>NFSE</v>
      </c>
      <c r="D1902" t="str">
        <f t="shared" si="673"/>
        <v>364</v>
      </c>
      <c r="E1902" t="str">
        <f t="shared" si="677"/>
        <v>1</v>
      </c>
      <c r="F1902" t="str">
        <f t="shared" si="672"/>
        <v>COM</v>
      </c>
      <c r="G1902" t="str">
        <f t="shared" si="674"/>
        <v>FARMÁCIA INDIANA LJ 1 (10126)</v>
      </c>
      <c r="H1902" t="s">
        <v>480</v>
      </c>
      <c r="I1902" t="str">
        <f t="shared" ref="I1902:I1933" si="679">("25/02/2026")</f>
        <v>25/02/2026</v>
      </c>
      <c r="J1902" t="str">
        <f t="shared" ref="J1902:J1933" si="680">("17/02/2026")</f>
        <v>17/02/2026</v>
      </c>
      <c r="K1902">
        <v>46078</v>
      </c>
      <c r="N1902">
        <v>303</v>
      </c>
      <c r="O1902" t="s">
        <v>26</v>
      </c>
      <c r="Q1902">
        <v>1166.74</v>
      </c>
      <c r="R1902" t="str">
        <f>"FARMÁCIA INDIANA LJ 11 (10008)"</f>
        <v>FARMÁCIA INDIANA LJ 11 (10008)</v>
      </c>
      <c r="S1902" t="s">
        <v>27</v>
      </c>
      <c r="T1902">
        <v>4395</v>
      </c>
      <c r="U1902">
        <v>3815</v>
      </c>
      <c r="V1902" t="s">
        <v>22</v>
      </c>
    </row>
    <row r="1903" spans="1:22">
      <c r="A1903" t="str">
        <f t="shared" si="678"/>
        <v>25/02/2026</v>
      </c>
      <c r="B1903" t="str">
        <f t="shared" si="675"/>
        <v>ENTRADA</v>
      </c>
      <c r="C1903" t="str">
        <f t="shared" si="676"/>
        <v>NFSE</v>
      </c>
      <c r="D1903" t="str">
        <f t="shared" si="673"/>
        <v>364</v>
      </c>
      <c r="E1903" t="str">
        <f t="shared" si="677"/>
        <v>1</v>
      </c>
      <c r="F1903" t="str">
        <f t="shared" si="672"/>
        <v>COM</v>
      </c>
      <c r="G1903" t="str">
        <f t="shared" si="674"/>
        <v>FARMÁCIA INDIANA LJ 1 (10126)</v>
      </c>
      <c r="H1903" t="s">
        <v>480</v>
      </c>
      <c r="I1903" t="str">
        <f t="shared" si="679"/>
        <v>25/02/2026</v>
      </c>
      <c r="J1903" t="str">
        <f t="shared" si="680"/>
        <v>17/02/2026</v>
      </c>
      <c r="K1903">
        <v>46078</v>
      </c>
      <c r="N1903">
        <v>303</v>
      </c>
      <c r="O1903" t="s">
        <v>26</v>
      </c>
      <c r="Q1903">
        <v>365.69</v>
      </c>
      <c r="R1903" t="str">
        <f>"FARMÁCIA INDIANA LJ 14 (10009)"</f>
        <v>FARMÁCIA INDIANA LJ 14 (10009)</v>
      </c>
      <c r="S1903" t="s">
        <v>27</v>
      </c>
      <c r="T1903">
        <v>4395</v>
      </c>
      <c r="U1903">
        <v>3815</v>
      </c>
      <c r="V1903" t="s">
        <v>22</v>
      </c>
    </row>
    <row r="1904" spans="1:22">
      <c r="A1904" t="str">
        <f t="shared" si="678"/>
        <v>25/02/2026</v>
      </c>
      <c r="B1904" t="str">
        <f t="shared" si="675"/>
        <v>ENTRADA</v>
      </c>
      <c r="C1904" t="str">
        <f t="shared" si="676"/>
        <v>NFSE</v>
      </c>
      <c r="D1904" t="str">
        <f t="shared" si="673"/>
        <v>364</v>
      </c>
      <c r="E1904" t="str">
        <f t="shared" si="677"/>
        <v>1</v>
      </c>
      <c r="F1904" t="str">
        <f t="shared" si="672"/>
        <v>COM</v>
      </c>
      <c r="G1904" t="str">
        <f t="shared" si="674"/>
        <v>FARMÁCIA INDIANA LJ 1 (10126)</v>
      </c>
      <c r="H1904" t="s">
        <v>480</v>
      </c>
      <c r="I1904" t="str">
        <f t="shared" si="679"/>
        <v>25/02/2026</v>
      </c>
      <c r="J1904" t="str">
        <f t="shared" si="680"/>
        <v>17/02/2026</v>
      </c>
      <c r="K1904">
        <v>46078</v>
      </c>
      <c r="N1904">
        <v>303</v>
      </c>
      <c r="O1904" t="s">
        <v>26</v>
      </c>
      <c r="Q1904">
        <v>352.3</v>
      </c>
      <c r="R1904" t="str">
        <f>"FARMÁCIA INDIANA LJ 18 (10011)"</f>
        <v>FARMÁCIA INDIANA LJ 18 (10011)</v>
      </c>
      <c r="S1904" t="s">
        <v>27</v>
      </c>
      <c r="T1904">
        <v>4395</v>
      </c>
      <c r="U1904">
        <v>3815</v>
      </c>
      <c r="V1904" t="s">
        <v>22</v>
      </c>
    </row>
    <row r="1905" spans="1:22">
      <c r="A1905" t="str">
        <f t="shared" si="678"/>
        <v>25/02/2026</v>
      </c>
      <c r="B1905" t="str">
        <f t="shared" si="675"/>
        <v>ENTRADA</v>
      </c>
      <c r="C1905" t="str">
        <f t="shared" si="676"/>
        <v>NFSE</v>
      </c>
      <c r="D1905" t="str">
        <f t="shared" si="673"/>
        <v>364</v>
      </c>
      <c r="E1905" t="str">
        <f t="shared" si="677"/>
        <v>1</v>
      </c>
      <c r="F1905" t="str">
        <f t="shared" si="672"/>
        <v>COM</v>
      </c>
      <c r="G1905" t="str">
        <f t="shared" si="674"/>
        <v>FARMÁCIA INDIANA LJ 1 (10126)</v>
      </c>
      <c r="H1905" t="s">
        <v>480</v>
      </c>
      <c r="I1905" t="str">
        <f t="shared" si="679"/>
        <v>25/02/2026</v>
      </c>
      <c r="J1905" t="str">
        <f t="shared" si="680"/>
        <v>17/02/2026</v>
      </c>
      <c r="K1905">
        <v>46078</v>
      </c>
      <c r="N1905">
        <v>303</v>
      </c>
      <c r="O1905" t="s">
        <v>26</v>
      </c>
      <c r="Q1905">
        <v>364.35</v>
      </c>
      <c r="R1905" t="str">
        <f>"FARMÁCIA INDIANA LJ 19 (10012)"</f>
        <v>FARMÁCIA INDIANA LJ 19 (10012)</v>
      </c>
      <c r="S1905" t="s">
        <v>27</v>
      </c>
      <c r="T1905">
        <v>4395</v>
      </c>
      <c r="U1905">
        <v>3815</v>
      </c>
      <c r="V1905" t="s">
        <v>22</v>
      </c>
    </row>
    <row r="1906" spans="1:22">
      <c r="A1906" t="str">
        <f t="shared" si="678"/>
        <v>25/02/2026</v>
      </c>
      <c r="B1906" t="str">
        <f t="shared" si="675"/>
        <v>ENTRADA</v>
      </c>
      <c r="C1906" t="str">
        <f t="shared" si="676"/>
        <v>NFSE</v>
      </c>
      <c r="D1906" t="str">
        <f t="shared" si="673"/>
        <v>364</v>
      </c>
      <c r="E1906" t="str">
        <f t="shared" si="677"/>
        <v>1</v>
      </c>
      <c r="F1906" t="str">
        <f t="shared" si="672"/>
        <v>COM</v>
      </c>
      <c r="G1906" t="str">
        <f t="shared" si="674"/>
        <v>FARMÁCIA INDIANA LJ 1 (10126)</v>
      </c>
      <c r="H1906" t="s">
        <v>480</v>
      </c>
      <c r="I1906" t="str">
        <f t="shared" si="679"/>
        <v>25/02/2026</v>
      </c>
      <c r="J1906" t="str">
        <f t="shared" si="680"/>
        <v>17/02/2026</v>
      </c>
      <c r="K1906">
        <v>46078</v>
      </c>
      <c r="N1906">
        <v>303</v>
      </c>
      <c r="O1906" t="s">
        <v>26</v>
      </c>
      <c r="Q1906">
        <v>633.6</v>
      </c>
      <c r="R1906" t="str">
        <f>"FARMÁCIA INDIANA LJ 40 (10016)"</f>
        <v>FARMÁCIA INDIANA LJ 40 (10016)</v>
      </c>
      <c r="S1906" t="s">
        <v>27</v>
      </c>
      <c r="T1906">
        <v>4395</v>
      </c>
      <c r="U1906">
        <v>3815</v>
      </c>
      <c r="V1906" t="s">
        <v>22</v>
      </c>
    </row>
    <row r="1907" spans="1:22">
      <c r="A1907" t="str">
        <f t="shared" si="678"/>
        <v>25/02/2026</v>
      </c>
      <c r="B1907" t="str">
        <f t="shared" si="675"/>
        <v>ENTRADA</v>
      </c>
      <c r="C1907" t="str">
        <f t="shared" si="676"/>
        <v>NFSE</v>
      </c>
      <c r="D1907" t="str">
        <f t="shared" si="673"/>
        <v>364</v>
      </c>
      <c r="E1907" t="str">
        <f t="shared" si="677"/>
        <v>1</v>
      </c>
      <c r="F1907" t="str">
        <f t="shared" si="672"/>
        <v>COM</v>
      </c>
      <c r="G1907" t="str">
        <f t="shared" si="674"/>
        <v>FARMÁCIA INDIANA LJ 1 (10126)</v>
      </c>
      <c r="H1907" t="s">
        <v>480</v>
      </c>
      <c r="I1907" t="str">
        <f t="shared" si="679"/>
        <v>25/02/2026</v>
      </c>
      <c r="J1907" t="str">
        <f t="shared" si="680"/>
        <v>17/02/2026</v>
      </c>
      <c r="K1907">
        <v>46078</v>
      </c>
      <c r="N1907">
        <v>303</v>
      </c>
      <c r="O1907" t="s">
        <v>26</v>
      </c>
      <c r="Q1907">
        <v>259.87</v>
      </c>
      <c r="R1907" t="str">
        <f>"FARMÁCIA INDIANA LJ 59 (10026)"</f>
        <v>FARMÁCIA INDIANA LJ 59 (10026)</v>
      </c>
      <c r="S1907" t="s">
        <v>27</v>
      </c>
      <c r="T1907">
        <v>4395</v>
      </c>
      <c r="U1907">
        <v>3815</v>
      </c>
      <c r="V1907" t="s">
        <v>22</v>
      </c>
    </row>
    <row r="1908" spans="1:22">
      <c r="A1908" t="str">
        <f t="shared" si="678"/>
        <v>25/02/2026</v>
      </c>
      <c r="B1908" t="str">
        <f t="shared" si="675"/>
        <v>ENTRADA</v>
      </c>
      <c r="C1908" t="str">
        <f t="shared" si="676"/>
        <v>NFSE</v>
      </c>
      <c r="D1908" t="str">
        <f t="shared" si="673"/>
        <v>364</v>
      </c>
      <c r="E1908" t="str">
        <f t="shared" si="677"/>
        <v>1</v>
      </c>
      <c r="F1908" t="str">
        <f t="shared" si="672"/>
        <v>COM</v>
      </c>
      <c r="G1908" t="str">
        <f t="shared" si="674"/>
        <v>FARMÁCIA INDIANA LJ 1 (10126)</v>
      </c>
      <c r="H1908" t="s">
        <v>480</v>
      </c>
      <c r="I1908" t="str">
        <f t="shared" si="679"/>
        <v>25/02/2026</v>
      </c>
      <c r="J1908" t="str">
        <f t="shared" si="680"/>
        <v>17/02/2026</v>
      </c>
      <c r="K1908">
        <v>46078</v>
      </c>
      <c r="N1908">
        <v>303</v>
      </c>
      <c r="O1908" t="s">
        <v>26</v>
      </c>
      <c r="Q1908">
        <v>488.93</v>
      </c>
      <c r="R1908" t="str">
        <f>"FARMÁCIA INDIANA LJ 61 (10027)"</f>
        <v>FARMÁCIA INDIANA LJ 61 (10027)</v>
      </c>
      <c r="S1908" t="s">
        <v>27</v>
      </c>
      <c r="T1908">
        <v>4395</v>
      </c>
      <c r="U1908">
        <v>3815</v>
      </c>
      <c r="V1908" t="s">
        <v>22</v>
      </c>
    </row>
    <row r="1909" spans="1:22">
      <c r="A1909" t="str">
        <f t="shared" si="678"/>
        <v>25/02/2026</v>
      </c>
      <c r="B1909" t="str">
        <f t="shared" si="675"/>
        <v>ENTRADA</v>
      </c>
      <c r="C1909" t="str">
        <f t="shared" si="676"/>
        <v>NFSE</v>
      </c>
      <c r="D1909" t="str">
        <f t="shared" si="673"/>
        <v>364</v>
      </c>
      <c r="E1909" t="str">
        <f t="shared" si="677"/>
        <v>1</v>
      </c>
      <c r="F1909" t="str">
        <f t="shared" si="672"/>
        <v>COM</v>
      </c>
      <c r="G1909" t="str">
        <f t="shared" si="674"/>
        <v>FARMÁCIA INDIANA LJ 1 (10126)</v>
      </c>
      <c r="H1909" t="s">
        <v>480</v>
      </c>
      <c r="I1909" t="str">
        <f t="shared" si="679"/>
        <v>25/02/2026</v>
      </c>
      <c r="J1909" t="str">
        <f t="shared" si="680"/>
        <v>17/02/2026</v>
      </c>
      <c r="K1909">
        <v>46078</v>
      </c>
      <c r="N1909">
        <v>303</v>
      </c>
      <c r="O1909" t="s">
        <v>26</v>
      </c>
      <c r="Q1909">
        <v>217.01</v>
      </c>
      <c r="R1909" t="str">
        <f>"FARMÁCIA INDIANA LJ 62 (10028)"</f>
        <v>FARMÁCIA INDIANA LJ 62 (10028)</v>
      </c>
      <c r="S1909" t="s">
        <v>27</v>
      </c>
      <c r="T1909">
        <v>4395</v>
      </c>
      <c r="U1909">
        <v>3815</v>
      </c>
      <c r="V1909" t="s">
        <v>22</v>
      </c>
    </row>
    <row r="1910" spans="1:22">
      <c r="A1910" t="str">
        <f t="shared" si="678"/>
        <v>25/02/2026</v>
      </c>
      <c r="B1910" t="str">
        <f t="shared" si="675"/>
        <v>ENTRADA</v>
      </c>
      <c r="C1910" t="str">
        <f t="shared" si="676"/>
        <v>NFSE</v>
      </c>
      <c r="D1910" t="str">
        <f t="shared" si="673"/>
        <v>364</v>
      </c>
      <c r="E1910" t="str">
        <f t="shared" si="677"/>
        <v>1</v>
      </c>
      <c r="F1910" t="str">
        <f t="shared" si="672"/>
        <v>COM</v>
      </c>
      <c r="G1910" t="str">
        <f t="shared" si="674"/>
        <v>FARMÁCIA INDIANA LJ 1 (10126)</v>
      </c>
      <c r="H1910" t="s">
        <v>480</v>
      </c>
      <c r="I1910" t="str">
        <f t="shared" si="679"/>
        <v>25/02/2026</v>
      </c>
      <c r="J1910" t="str">
        <f t="shared" si="680"/>
        <v>17/02/2026</v>
      </c>
      <c r="K1910">
        <v>46078</v>
      </c>
      <c r="N1910">
        <v>303</v>
      </c>
      <c r="O1910" t="s">
        <v>26</v>
      </c>
      <c r="Q1910">
        <v>85.73</v>
      </c>
      <c r="R1910" t="str">
        <f>"FARMÁCIA INDIANA LJ 64 (10029)"</f>
        <v>FARMÁCIA INDIANA LJ 64 (10029)</v>
      </c>
      <c r="S1910" t="s">
        <v>27</v>
      </c>
      <c r="T1910">
        <v>4395</v>
      </c>
      <c r="U1910">
        <v>3815</v>
      </c>
      <c r="V1910" t="s">
        <v>22</v>
      </c>
    </row>
    <row r="1911" spans="1:22">
      <c r="A1911" t="str">
        <f t="shared" si="678"/>
        <v>25/02/2026</v>
      </c>
      <c r="B1911" t="str">
        <f t="shared" si="675"/>
        <v>ENTRADA</v>
      </c>
      <c r="C1911" t="str">
        <f t="shared" si="676"/>
        <v>NFSE</v>
      </c>
      <c r="D1911" t="str">
        <f t="shared" si="673"/>
        <v>364</v>
      </c>
      <c r="E1911" t="str">
        <f t="shared" si="677"/>
        <v>1</v>
      </c>
      <c r="F1911" t="str">
        <f t="shared" si="672"/>
        <v>COM</v>
      </c>
      <c r="G1911" t="str">
        <f t="shared" si="674"/>
        <v>FARMÁCIA INDIANA LJ 1 (10126)</v>
      </c>
      <c r="H1911" t="s">
        <v>480</v>
      </c>
      <c r="I1911" t="str">
        <f t="shared" si="679"/>
        <v>25/02/2026</v>
      </c>
      <c r="J1911" t="str">
        <f t="shared" si="680"/>
        <v>17/02/2026</v>
      </c>
      <c r="K1911">
        <v>46078</v>
      </c>
      <c r="N1911">
        <v>303</v>
      </c>
      <c r="O1911" t="s">
        <v>26</v>
      </c>
      <c r="Q1911">
        <v>66.98</v>
      </c>
      <c r="R1911" t="str">
        <f>"FARMÁCIA INDIANA LJ 97 (10040)"</f>
        <v>FARMÁCIA INDIANA LJ 97 (10040)</v>
      </c>
      <c r="S1911" t="s">
        <v>27</v>
      </c>
      <c r="T1911">
        <v>4395</v>
      </c>
      <c r="U1911">
        <v>3815</v>
      </c>
      <c r="V1911" t="s">
        <v>22</v>
      </c>
    </row>
    <row r="1912" spans="1:22">
      <c r="A1912" t="str">
        <f t="shared" si="678"/>
        <v>25/02/2026</v>
      </c>
      <c r="B1912" t="str">
        <f t="shared" si="675"/>
        <v>ENTRADA</v>
      </c>
      <c r="C1912" t="str">
        <f t="shared" si="676"/>
        <v>NFSE</v>
      </c>
      <c r="D1912" t="str">
        <f t="shared" si="673"/>
        <v>364</v>
      </c>
      <c r="E1912" t="str">
        <f t="shared" si="677"/>
        <v>1</v>
      </c>
      <c r="F1912" t="str">
        <f t="shared" si="672"/>
        <v>COM</v>
      </c>
      <c r="G1912" t="str">
        <f t="shared" si="674"/>
        <v>FARMÁCIA INDIANA LJ 1 (10126)</v>
      </c>
      <c r="H1912" t="s">
        <v>480</v>
      </c>
      <c r="I1912" t="str">
        <f t="shared" si="679"/>
        <v>25/02/2026</v>
      </c>
      <c r="J1912" t="str">
        <f t="shared" si="680"/>
        <v>17/02/2026</v>
      </c>
      <c r="K1912">
        <v>46078</v>
      </c>
      <c r="N1912">
        <v>303</v>
      </c>
      <c r="O1912" t="s">
        <v>26</v>
      </c>
      <c r="Q1912">
        <v>199.59</v>
      </c>
      <c r="R1912" t="str">
        <f>"FARMÁCIA INDIANA LJ 100 (10042)"</f>
        <v>FARMÁCIA INDIANA LJ 100 (10042)</v>
      </c>
      <c r="S1912" t="s">
        <v>27</v>
      </c>
      <c r="T1912">
        <v>4395</v>
      </c>
      <c r="U1912">
        <v>3815</v>
      </c>
      <c r="V1912" t="s">
        <v>22</v>
      </c>
    </row>
    <row r="1913" spans="1:22">
      <c r="A1913" t="str">
        <f t="shared" si="678"/>
        <v>25/02/2026</v>
      </c>
      <c r="B1913" t="str">
        <f t="shared" si="675"/>
        <v>ENTRADA</v>
      </c>
      <c r="C1913" t="str">
        <f t="shared" si="676"/>
        <v>NFSE</v>
      </c>
      <c r="D1913" t="str">
        <f t="shared" si="673"/>
        <v>364</v>
      </c>
      <c r="E1913" t="str">
        <f t="shared" si="677"/>
        <v>1</v>
      </c>
      <c r="F1913" t="str">
        <f t="shared" si="672"/>
        <v>COM</v>
      </c>
      <c r="G1913" t="str">
        <f t="shared" si="674"/>
        <v>FARMÁCIA INDIANA LJ 1 (10126)</v>
      </c>
      <c r="H1913" t="s">
        <v>480</v>
      </c>
      <c r="I1913" t="str">
        <f t="shared" si="679"/>
        <v>25/02/2026</v>
      </c>
      <c r="J1913" t="str">
        <f t="shared" si="680"/>
        <v>17/02/2026</v>
      </c>
      <c r="K1913">
        <v>46078</v>
      </c>
      <c r="N1913">
        <v>303</v>
      </c>
      <c r="O1913" t="s">
        <v>26</v>
      </c>
      <c r="Q1913">
        <v>726.03</v>
      </c>
      <c r="R1913" t="str">
        <f>"FARMÁCIA INDIANA LJ 101 (10043)"</f>
        <v>FARMÁCIA INDIANA LJ 101 (10043)</v>
      </c>
      <c r="S1913" t="s">
        <v>27</v>
      </c>
      <c r="T1913">
        <v>4395</v>
      </c>
      <c r="U1913">
        <v>3815</v>
      </c>
      <c r="V1913" t="s">
        <v>22</v>
      </c>
    </row>
    <row r="1914" spans="1:22">
      <c r="A1914" t="str">
        <f t="shared" si="678"/>
        <v>25/02/2026</v>
      </c>
      <c r="B1914" t="str">
        <f t="shared" si="675"/>
        <v>ENTRADA</v>
      </c>
      <c r="C1914" t="str">
        <f t="sha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"672"/>
        <v>COM</v>
      </c>
      <c r="G1914" t="str">
        <f t="shared" si="674"/>
        <v>FARMÁCIA INDIANA LJ 1 (10126)</v>
      </c>
      <c r="H1914" t="s">
        <v>480</v>
      </c>
      <c r="I1914" t="str">
        <f t="shared" si="679"/>
        <v>25/02/2026</v>
      </c>
      <c r="J1914" t="str">
        <f t="shared" si="680"/>
        <v>17/02/2026</v>
      </c>
      <c r="K1914">
        <v>46078</v>
      </c>
      <c r="N1914">
        <v>303</v>
      </c>
      <c r="O1914" t="s">
        <v>26</v>
      </c>
      <c r="Q1914">
        <v>44.2</v>
      </c>
      <c r="R1914" t="str">
        <f>"FARMÁCIA INDIANA LJ 103 (10044)"</f>
        <v>FARMÁCIA INDIANA LJ 103 (10044)</v>
      </c>
      <c r="S1914" t="s">
        <v>27</v>
      </c>
      <c r="T1914">
        <v>4395</v>
      </c>
      <c r="U1914">
        <v>3815</v>
      </c>
      <c r="V1914" t="s">
        <v>22</v>
      </c>
    </row>
    <row r="1915" spans="1:22">
      <c r="A1915" t="str">
        <f t="shared" si="678"/>
        <v>25/02/2026</v>
      </c>
      <c r="B1915" t="str">
        <f t="shared" si="675"/>
        <v>ENTRADA</v>
      </c>
      <c r="C1915" t="str">
        <f t="shared" si="676"/>
        <v>NFSE</v>
      </c>
      <c r="D1915" t="str">
        <f t="shared" si="673"/>
        <v>364</v>
      </c>
      <c r="E1915" t="str">
        <f t="shared" si="677"/>
        <v>1</v>
      </c>
      <c r="F1915" t="str">
        <f t="shared" si="672"/>
        <v>COM</v>
      </c>
      <c r="G1915" t="str">
        <f t="shared" si="674"/>
        <v>FARMÁCIA INDIANA LJ 1 (10126)</v>
      </c>
      <c r="H1915" t="s">
        <v>480</v>
      </c>
      <c r="I1915" t="str">
        <f t="shared" si="679"/>
        <v>25/02/2026</v>
      </c>
      <c r="J1915" t="str">
        <f t="shared" si="680"/>
        <v>17/02/2026</v>
      </c>
      <c r="K1915">
        <v>46078</v>
      </c>
      <c r="N1915">
        <v>303</v>
      </c>
      <c r="O1915" t="s">
        <v>26</v>
      </c>
      <c r="Q1915">
        <v>253.17</v>
      </c>
      <c r="R1915" t="str">
        <f>"FARMÁCIA INDIANA LJ 109 (10047)"</f>
        <v>FARMÁCIA INDIANA LJ 109 (10047)</v>
      </c>
      <c r="S1915" t="s">
        <v>27</v>
      </c>
      <c r="T1915">
        <v>4395</v>
      </c>
      <c r="U1915">
        <v>3815</v>
      </c>
      <c r="V1915" t="s">
        <v>22</v>
      </c>
    </row>
    <row r="1916" spans="1:22">
      <c r="A1916" t="str">
        <f t="shared" si="678"/>
        <v>25/02/2026</v>
      </c>
      <c r="B1916" t="str">
        <f t="shared" si="675"/>
        <v>ENTRADA</v>
      </c>
      <c r="C1916" t="str">
        <f t="shared" si="676"/>
        <v>NFSE</v>
      </c>
      <c r="D1916" t="str">
        <f t="shared" si="673"/>
        <v>364</v>
      </c>
      <c r="E1916" t="str">
        <f t="shared" si="677"/>
        <v>1</v>
      </c>
      <c r="F1916" t="str">
        <f t="shared" si="672"/>
        <v>COM</v>
      </c>
      <c r="G1916" t="str">
        <f t="shared" si="674"/>
        <v>FARMÁCIA INDIANA LJ 1 (10126)</v>
      </c>
      <c r="H1916" t="s">
        <v>480</v>
      </c>
      <c r="I1916" t="str">
        <f t="shared" si="679"/>
        <v>25/02/2026</v>
      </c>
      <c r="J1916" t="str">
        <f t="shared" si="680"/>
        <v>17/02/2026</v>
      </c>
      <c r="K1916">
        <v>46078</v>
      </c>
      <c r="N1916">
        <v>303</v>
      </c>
      <c r="O1916" t="s">
        <v>26</v>
      </c>
      <c r="Q1916">
        <v>364.35</v>
      </c>
      <c r="R1916" t="str">
        <f>"FARMÁCIA INDIANA LJ 110 (10048)"</f>
        <v>FARMÁCIA INDIANA LJ 110 (10048)</v>
      </c>
      <c r="S1916" t="s">
        <v>27</v>
      </c>
      <c r="T1916">
        <v>4395</v>
      </c>
      <c r="U1916">
        <v>3815</v>
      </c>
      <c r="V1916" t="s">
        <v>22</v>
      </c>
    </row>
    <row r="1917" spans="1:22">
      <c r="A1917" t="str">
        <f t="shared" si="678"/>
        <v>25/02/2026</v>
      </c>
      <c r="B1917" t="str">
        <f t="shared" si="675"/>
        <v>ENTRADA</v>
      </c>
      <c r="C1917" t="str">
        <f t="shared" si="676"/>
        <v>NFSE</v>
      </c>
      <c r="D1917" t="str">
        <f t="shared" si="673"/>
        <v>364</v>
      </c>
      <c r="E1917" t="str">
        <f t="shared" si="677"/>
        <v>1</v>
      </c>
      <c r="F1917" t="str">
        <f t="shared" si="672"/>
        <v>COM</v>
      </c>
      <c r="G1917" t="str">
        <f t="shared" si="674"/>
        <v>FARMÁCIA INDIANA LJ 1 (10126)</v>
      </c>
      <c r="H1917" t="s">
        <v>480</v>
      </c>
      <c r="I1917" t="str">
        <f t="shared" si="679"/>
        <v>25/02/2026</v>
      </c>
      <c r="J1917" t="str">
        <f t="shared" si="680"/>
        <v>17/02/2026</v>
      </c>
      <c r="K1917">
        <v>46078</v>
      </c>
      <c r="N1917">
        <v>303</v>
      </c>
      <c r="O1917" t="s">
        <v>26</v>
      </c>
      <c r="Q1917">
        <v>65.64</v>
      </c>
      <c r="R1917" t="str">
        <f>"FARMÁCIA INDIANA LJ 111 (10049)"</f>
        <v>FARMÁCIA INDIANA LJ 111 (10049)</v>
      </c>
      <c r="S1917" t="s">
        <v>27</v>
      </c>
      <c r="T1917">
        <v>4395</v>
      </c>
      <c r="U1917">
        <v>3815</v>
      </c>
      <c r="V1917" t="s">
        <v>22</v>
      </c>
    </row>
    <row r="1918" spans="1:22">
      <c r="A1918" t="str">
        <f t="shared" si="678"/>
        <v>25/02/2026</v>
      </c>
      <c r="B1918" t="str">
        <f t="shared" si="675"/>
        <v>ENTRADA</v>
      </c>
      <c r="C1918" t="str">
        <f t="shared" si="676"/>
        <v>NFSE</v>
      </c>
      <c r="D1918" t="str">
        <f t="shared" si="673"/>
        <v>364</v>
      </c>
      <c r="E1918" t="str">
        <f t="shared" si="677"/>
        <v>1</v>
      </c>
      <c r="F1918" t="str">
        <f t="shared" si="672"/>
        <v>COM</v>
      </c>
      <c r="G1918" t="str">
        <f t="shared" si="674"/>
        <v>FARMÁCIA INDIANA LJ 1 (10126)</v>
      </c>
      <c r="H1918" t="s">
        <v>480</v>
      </c>
      <c r="I1918" t="str">
        <f t="shared" si="679"/>
        <v>25/02/2026</v>
      </c>
      <c r="J1918" t="str">
        <f t="shared" si="680"/>
        <v>17/02/2026</v>
      </c>
      <c r="K1918">
        <v>46078</v>
      </c>
      <c r="N1918">
        <v>303</v>
      </c>
      <c r="O1918" t="s">
        <v>26</v>
      </c>
      <c r="Q1918">
        <v>100.47</v>
      </c>
      <c r="R1918" t="str">
        <f>"FARMÁCIA INDIANA LJ 112 (10050)"</f>
        <v>FARMÁCIA INDIANA LJ 112 (10050)</v>
      </c>
      <c r="S1918" t="s">
        <v>27</v>
      </c>
      <c r="T1918">
        <v>4395</v>
      </c>
      <c r="U1918">
        <v>3815</v>
      </c>
      <c r="V1918" t="s">
        <v>22</v>
      </c>
    </row>
    <row r="1919" spans="1:22">
      <c r="A1919" t="str">
        <f t="shared" si="678"/>
        <v>25/02/2026</v>
      </c>
      <c r="B1919" t="str">
        <f t="shared" si="675"/>
        <v>ENTRADA</v>
      </c>
      <c r="C1919" t="str">
        <f t="shared" si="676"/>
        <v>NFSE</v>
      </c>
      <c r="D1919" t="str">
        <f t="shared" si="673"/>
        <v>364</v>
      </c>
      <c r="E1919" t="str">
        <f t="shared" si="677"/>
        <v>1</v>
      </c>
      <c r="F1919" t="str">
        <f t="shared" si="672"/>
        <v>COM</v>
      </c>
      <c r="G1919" t="str">
        <f t="shared" si="674"/>
        <v>FARMÁCIA INDIANA LJ 1 (10126)</v>
      </c>
      <c r="H1919" t="s">
        <v>480</v>
      </c>
      <c r="I1919" t="str">
        <f t="shared" si="679"/>
        <v>25/02/2026</v>
      </c>
      <c r="J1919" t="str">
        <f t="shared" si="680"/>
        <v>17/02/2026</v>
      </c>
      <c r="K1919">
        <v>46078</v>
      </c>
      <c r="N1919">
        <v>303</v>
      </c>
      <c r="O1919" t="s">
        <v>26</v>
      </c>
      <c r="Q1919">
        <v>129.94</v>
      </c>
      <c r="R1919" t="str">
        <f>"FARMÁCIA INDIANA LJ 116 (10051)"</f>
        <v>FARMÁCIA INDIANA LJ 116 (10051)</v>
      </c>
      <c r="S1919" t="s">
        <v>27</v>
      </c>
      <c r="T1919">
        <v>4395</v>
      </c>
      <c r="U1919">
        <v>3815</v>
      </c>
      <c r="V1919" t="s">
        <v>22</v>
      </c>
    </row>
    <row r="1920" spans="1:22">
      <c r="A1920" t="str">
        <f t="shared" si="678"/>
        <v>25/02/2026</v>
      </c>
      <c r="B1920" t="str">
        <f t="shared" si="675"/>
        <v>ENTRADA</v>
      </c>
      <c r="C1920" t="str">
        <f t="shared" si="676"/>
        <v>NFSE</v>
      </c>
      <c r="D1920" t="str">
        <f t="shared" si="673"/>
        <v>364</v>
      </c>
      <c r="E1920" t="str">
        <f t="shared" si="677"/>
        <v>1</v>
      </c>
      <c r="F1920" t="str">
        <f t="shared" si="672"/>
        <v>COM</v>
      </c>
      <c r="G1920" t="str">
        <f t="shared" si="674"/>
        <v>FARMÁCIA INDIANA LJ 1 (10126)</v>
      </c>
      <c r="H1920" t="s">
        <v>480</v>
      </c>
      <c r="I1920" t="str">
        <f t="shared" si="679"/>
        <v>25/02/2026</v>
      </c>
      <c r="J1920" t="str">
        <f t="shared" si="680"/>
        <v>17/02/2026</v>
      </c>
      <c r="K1920">
        <v>46078</v>
      </c>
      <c r="N1920">
        <v>303</v>
      </c>
      <c r="O1920" t="s">
        <v>26</v>
      </c>
      <c r="Q1920">
        <v>89.75</v>
      </c>
      <c r="R1920" t="str">
        <f>"FARMÁCIA INDIANA LJ 118 (10052)"</f>
        <v>FARMÁCIA INDIANA LJ 118 (10052)</v>
      </c>
      <c r="S1920" t="s">
        <v>27</v>
      </c>
      <c r="T1920">
        <v>4395</v>
      </c>
      <c r="U1920">
        <v>3815</v>
      </c>
      <c r="V1920" t="s">
        <v>22</v>
      </c>
    </row>
    <row r="1921" spans="1:22">
      <c r="A1921" t="str">
        <f t="shared" si="678"/>
        <v>25/02/2026</v>
      </c>
      <c r="B1921" t="str">
        <f t="shared" si="675"/>
        <v>ENTRADA</v>
      </c>
      <c r="C1921" t="str">
        <f t="shared" si="676"/>
        <v>NFSE</v>
      </c>
      <c r="D1921" t="str">
        <f t="shared" si="673"/>
        <v>364</v>
      </c>
      <c r="E1921" t="str">
        <f t="shared" si="677"/>
        <v>1</v>
      </c>
      <c r="F1921" t="str">
        <f t="shared" si="672"/>
        <v>COM</v>
      </c>
      <c r="G1921" t="str">
        <f t="shared" si="674"/>
        <v>FARMÁCIA INDIANA LJ 1 (10126)</v>
      </c>
      <c r="H1921" t="s">
        <v>480</v>
      </c>
      <c r="I1921" t="str">
        <f t="shared" si="679"/>
        <v>25/02/2026</v>
      </c>
      <c r="J1921" t="str">
        <f t="shared" si="680"/>
        <v>17/02/2026</v>
      </c>
      <c r="K1921">
        <v>46078</v>
      </c>
      <c r="N1921">
        <v>303</v>
      </c>
      <c r="O1921" t="s">
        <v>26</v>
      </c>
      <c r="Q1921">
        <v>100.47</v>
      </c>
      <c r="R1921" t="str">
        <f>"FARMÁCIA INDIANA LJ 121 (10054)"</f>
        <v>FARMÁCIA INDIANA LJ 121 (10054)</v>
      </c>
      <c r="S1921" t="s">
        <v>27</v>
      </c>
      <c r="T1921">
        <v>4395</v>
      </c>
      <c r="U1921">
        <v>3815</v>
      </c>
      <c r="V1921" t="s">
        <v>22</v>
      </c>
    </row>
    <row r="1922" spans="1:22">
      <c r="A1922" t="str">
        <f t="shared" si="678"/>
        <v>25/02/2026</v>
      </c>
      <c r="B1922" t="str">
        <f t="shared" si="675"/>
        <v>ENTRADA</v>
      </c>
      <c r="C1922" t="str">
        <f t="shared" si="676"/>
        <v>NFSE</v>
      </c>
      <c r="D1922" t="str">
        <f t="shared" si="673"/>
        <v>364</v>
      </c>
      <c r="E1922" t="str">
        <f t="shared" si="677"/>
        <v>1</v>
      </c>
      <c r="F1922" t="str">
        <f t="shared" si="672"/>
        <v>COM</v>
      </c>
      <c r="G1922" t="str">
        <f t="shared" si="674"/>
        <v>FARMÁCIA INDIANA LJ 1 (10126)</v>
      </c>
      <c r="H1922" t="s">
        <v>480</v>
      </c>
      <c r="I1922" t="str">
        <f t="shared" si="679"/>
        <v>25/02/2026</v>
      </c>
      <c r="J1922" t="str">
        <f t="shared" si="680"/>
        <v>17/02/2026</v>
      </c>
      <c r="K1922">
        <v>46078</v>
      </c>
      <c r="N1922">
        <v>303</v>
      </c>
      <c r="O1922" t="s">
        <v>26</v>
      </c>
      <c r="Q1922">
        <v>100.47</v>
      </c>
      <c r="R1922" t="str">
        <f>"FARMÁCIA INDIANA LJ 128 (10057)"</f>
        <v>FARMÁCIA INDIANA LJ 128 (10057)</v>
      </c>
      <c r="S1922" t="s">
        <v>27</v>
      </c>
      <c r="T1922">
        <v>4395</v>
      </c>
      <c r="U1922">
        <v>3815</v>
      </c>
      <c r="V1922" t="s">
        <v>22</v>
      </c>
    </row>
    <row r="1923" spans="1:22">
      <c r="A1923" t="str">
        <f t="shared" si="678"/>
        <v>25/02/2026</v>
      </c>
      <c r="B1923" t="str">
        <f t="shared" si="675"/>
        <v>ENTRADA</v>
      </c>
      <c r="C1923" t="str">
        <f t="shared" si="676"/>
        <v>NFSE</v>
      </c>
      <c r="D1923" t="str">
        <f t="shared" si="673"/>
        <v>364</v>
      </c>
      <c r="E1923" t="str">
        <f t="shared" si="677"/>
        <v>1</v>
      </c>
      <c r="F1923" t="str">
        <f t="shared" si="672"/>
        <v>COM</v>
      </c>
      <c r="G1923" t="str">
        <f t="shared" si="674"/>
        <v>FARMÁCIA INDIANA LJ 1 (10126)</v>
      </c>
      <c r="H1923" t="s">
        <v>480</v>
      </c>
      <c r="I1923" t="str">
        <f t="shared" si="679"/>
        <v>25/02/2026</v>
      </c>
      <c r="J1923" t="str">
        <f t="shared" si="680"/>
        <v>17/02/2026</v>
      </c>
      <c r="K1923">
        <v>46078</v>
      </c>
      <c r="N1923">
        <v>303</v>
      </c>
      <c r="O1923" t="s">
        <v>26</v>
      </c>
      <c r="Q1923">
        <v>17.41</v>
      </c>
      <c r="R1923" t="str">
        <f>"FARMÁCIA INDIANA LJ 140 (10064)"</f>
        <v>FARMÁCIA INDIANA LJ 140 (10064)</v>
      </c>
      <c r="S1923" t="s">
        <v>27</v>
      </c>
      <c r="T1923">
        <v>4395</v>
      </c>
      <c r="U1923">
        <v>3815</v>
      </c>
      <c r="V1923" t="s">
        <v>22</v>
      </c>
    </row>
    <row r="1924" spans="1:22">
      <c r="A1924" t="str">
        <f t="shared" si="678"/>
        <v>25/02/2026</v>
      </c>
      <c r="B1924" t="str">
        <f t="shared" si="675"/>
        <v>ENTRADA</v>
      </c>
      <c r="C1924" t="str">
        <f t="shared" si="676"/>
        <v>NFSE</v>
      </c>
      <c r="D1924" t="str">
        <f t="shared" si="673"/>
        <v>364</v>
      </c>
      <c r="E1924" t="str">
        <f t="shared" si="677"/>
        <v>1</v>
      </c>
      <c r="F1924" t="str">
        <f t="shared" si="672"/>
        <v>COM</v>
      </c>
      <c r="G1924" t="str">
        <f t="shared" si="674"/>
        <v>FARMÁCIA INDIANA LJ 1 (10126)</v>
      </c>
      <c r="H1924" t="s">
        <v>480</v>
      </c>
      <c r="I1924" t="str">
        <f t="shared" si="679"/>
        <v>25/02/2026</v>
      </c>
      <c r="J1924" t="str">
        <f t="shared" si="680"/>
        <v>17/02/2026</v>
      </c>
      <c r="K1924">
        <v>46078</v>
      </c>
      <c r="N1924">
        <v>303</v>
      </c>
      <c r="O1924" t="s">
        <v>26</v>
      </c>
      <c r="Q1924">
        <v>13.4</v>
      </c>
      <c r="R1924" t="str">
        <f>"FARMÁCIA INDIANA LJ 141 (10065)"</f>
        <v>FARMÁCIA INDIANA LJ 141 (10065)</v>
      </c>
      <c r="S1924" t="s">
        <v>27</v>
      </c>
      <c r="T1924">
        <v>4395</v>
      </c>
      <c r="U1924">
        <v>3815</v>
      </c>
      <c r="V1924" t="s">
        <v>22</v>
      </c>
    </row>
    <row r="1925" spans="1:22">
      <c r="A1925" t="str">
        <f t="shared" si="678"/>
        <v>25/02/2026</v>
      </c>
      <c r="B1925" t="str">
        <f t="shared" si="675"/>
        <v>ENTRADA</v>
      </c>
      <c r="C1925" t="str">
        <f t="shared" si="676"/>
        <v>NFSE</v>
      </c>
      <c r="D1925" t="str">
        <f t="shared" si="673"/>
        <v>364</v>
      </c>
      <c r="E1925" t="str">
        <f t="shared" si="677"/>
        <v>1</v>
      </c>
      <c r="F1925" t="str">
        <f t="shared" si="672"/>
        <v>COM</v>
      </c>
      <c r="G1925" t="str">
        <f t="shared" si="674"/>
        <v>FARMÁCIA INDIANA LJ 1 (10126)</v>
      </c>
      <c r="H1925" t="s">
        <v>480</v>
      </c>
      <c r="I1925" t="str">
        <f t="shared" si="679"/>
        <v>25/02/2026</v>
      </c>
      <c r="J1925" t="str">
        <f t="shared" si="680"/>
        <v>17/02/2026</v>
      </c>
      <c r="K1925">
        <v>46078</v>
      </c>
      <c r="N1925">
        <v>303</v>
      </c>
      <c r="O1925" t="s">
        <v>26</v>
      </c>
      <c r="Q1925">
        <v>730.05</v>
      </c>
      <c r="R1925" t="str">
        <f>"FARMÁCIA INDIANA LJ 142 (10066)"</f>
        <v>FARMÁCIA INDIANA LJ 142 (10066)</v>
      </c>
      <c r="S1925" t="s">
        <v>27</v>
      </c>
      <c r="T1925">
        <v>4395</v>
      </c>
      <c r="U1925">
        <v>3815</v>
      </c>
      <c r="V1925" t="s">
        <v>22</v>
      </c>
    </row>
    <row r="1926" spans="1:22">
      <c r="A1926" t="str">
        <f t="shared" si="678"/>
        <v>25/02/2026</v>
      </c>
      <c r="B1926" t="str">
        <f t="shared" si="675"/>
        <v>ENTRADA</v>
      </c>
      <c r="C1926" t="str">
        <f t="shared" si="676"/>
        <v>NFSE</v>
      </c>
      <c r="D1926" t="str">
        <f t="shared" si="673"/>
        <v>364</v>
      </c>
      <c r="E1926" t="str">
        <f t="shared" si="677"/>
        <v>1</v>
      </c>
      <c r="F1926" t="str">
        <f t="shared" si="672"/>
        <v>COM</v>
      </c>
      <c r="G1926" t="str">
        <f t="shared" si="674"/>
        <v>FARMÁCIA INDIANA LJ 1 (10126)</v>
      </c>
      <c r="H1926" t="s">
        <v>480</v>
      </c>
      <c r="I1926" t="str">
        <f t="shared" si="679"/>
        <v>25/02/2026</v>
      </c>
      <c r="J1926" t="str">
        <f t="shared" si="680"/>
        <v>17/02/2026</v>
      </c>
      <c r="K1926">
        <v>46078</v>
      </c>
      <c r="N1926">
        <v>303</v>
      </c>
      <c r="O1926" t="s">
        <v>26</v>
      </c>
      <c r="Q1926">
        <v>66.98</v>
      </c>
      <c r="R1926" t="str">
        <f>"FARMÁCIA INDIANA LJ 143 (10067)"</f>
        <v>FARMÁCIA INDIANA LJ 143 (10067)</v>
      </c>
      <c r="S1926" t="s">
        <v>27</v>
      </c>
      <c r="T1926">
        <v>4395</v>
      </c>
      <c r="U1926">
        <v>3815</v>
      </c>
      <c r="V1926" t="s">
        <v>22</v>
      </c>
    </row>
    <row r="1927" spans="1:22">
      <c r="A1927" t="str">
        <f t="shared" si="678"/>
        <v>25/02/2026</v>
      </c>
      <c r="B1927" t="str">
        <f t="shared" si="675"/>
        <v>ENTRADA</v>
      </c>
      <c r="C1927" t="str">
        <f t="shared" si="676"/>
        <v>NFSE</v>
      </c>
      <c r="D1927" t="str">
        <f t="shared" si="673"/>
        <v>364</v>
      </c>
      <c r="E1927" t="str">
        <f t="shared" si="677"/>
        <v>1</v>
      </c>
      <c r="F1927" t="str">
        <f t="shared" si="672"/>
        <v>COM</v>
      </c>
      <c r="G1927" t="str">
        <f t="shared" si="674"/>
        <v>FARMÁCIA INDIANA LJ 1 (10126)</v>
      </c>
      <c r="H1927" t="s">
        <v>480</v>
      </c>
      <c r="I1927" t="str">
        <f t="shared" si="679"/>
        <v>25/02/2026</v>
      </c>
      <c r="J1927" t="str">
        <f t="shared" si="680"/>
        <v>17/02/2026</v>
      </c>
      <c r="K1927">
        <v>46078</v>
      </c>
      <c r="N1927">
        <v>303</v>
      </c>
      <c r="O1927" t="s">
        <v>26</v>
      </c>
      <c r="Q1927">
        <v>389.81</v>
      </c>
      <c r="R1927" t="str">
        <f>"FARMÁCIA INDIANA LJ 152 (10069)"</f>
        <v>FARMÁCIA INDIANA LJ 152 (10069)</v>
      </c>
      <c r="S1927" t="s">
        <v>27</v>
      </c>
      <c r="T1927">
        <v>4395</v>
      </c>
      <c r="U1927">
        <v>3815</v>
      </c>
      <c r="V1927" t="s">
        <v>22</v>
      </c>
    </row>
    <row r="1928" spans="1:22">
      <c r="A1928" t="str">
        <f t="shared" si="678"/>
        <v>25/02/2026</v>
      </c>
      <c r="B1928" t="str">
        <f t="shared" si="675"/>
        <v>ENTRADA</v>
      </c>
      <c r="C1928" t="str">
        <f t="shared" si="676"/>
        <v>NFSE</v>
      </c>
      <c r="D1928" t="str">
        <f t="shared" si="673"/>
        <v>364</v>
      </c>
      <c r="E1928" t="str">
        <f t="shared" si="677"/>
        <v>1</v>
      </c>
      <c r="F1928" t="str">
        <f t="shared" si="672"/>
        <v>COM</v>
      </c>
      <c r="G1928" t="str">
        <f t="shared" si="674"/>
        <v>FARMÁCIA INDIANA LJ 1 (10126)</v>
      </c>
      <c r="H1928" t="s">
        <v>480</v>
      </c>
      <c r="I1928" t="str">
        <f t="shared" si="679"/>
        <v>25/02/2026</v>
      </c>
      <c r="J1928" t="str">
        <f t="shared" si="680"/>
        <v>17/02/2026</v>
      </c>
      <c r="K1928">
        <v>46078</v>
      </c>
      <c r="N1928">
        <v>303</v>
      </c>
      <c r="O1928" t="s">
        <v>26</v>
      </c>
      <c r="Q1928">
        <v>25.45</v>
      </c>
      <c r="R1928" t="str">
        <f>"FARMÁCIA INDIANA LJ 154 (10070)"</f>
        <v>FARMÁCIA INDIANA LJ 154 (10070)</v>
      </c>
      <c r="S1928" t="s">
        <v>27</v>
      </c>
      <c r="T1928">
        <v>4395</v>
      </c>
      <c r="U1928">
        <v>3815</v>
      </c>
      <c r="V1928" t="s">
        <v>22</v>
      </c>
    </row>
    <row r="1929" spans="1:22">
      <c r="A1929" t="str">
        <f t="shared" si="678"/>
        <v>25/02/2026</v>
      </c>
      <c r="B1929" t="str">
        <f t="shared" si="675"/>
        <v>ENTRADA</v>
      </c>
      <c r="C1929" t="str">
        <f t="shared" si="676"/>
        <v>NFSE</v>
      </c>
      <c r="D1929" t="str">
        <f t="shared" si="673"/>
        <v>364</v>
      </c>
      <c r="E1929" t="str">
        <f t="shared" si="677"/>
        <v>1</v>
      </c>
      <c r="F1929" t="str">
        <f t="shared" si="672"/>
        <v>COM</v>
      </c>
      <c r="G1929" t="str">
        <f t="shared" si="674"/>
        <v>FARMÁCIA INDIANA LJ 1 (10126)</v>
      </c>
      <c r="H1929" t="s">
        <v>480</v>
      </c>
      <c r="I1929" t="str">
        <f t="shared" si="679"/>
        <v>25/02/2026</v>
      </c>
      <c r="J1929" t="str">
        <f t="shared" si="680"/>
        <v>17/02/2026</v>
      </c>
      <c r="K1929">
        <v>46078</v>
      </c>
      <c r="N1929">
        <v>303</v>
      </c>
      <c r="O1929" t="s">
        <v>26</v>
      </c>
      <c r="Q1929">
        <v>214.33</v>
      </c>
      <c r="R1929" t="str">
        <f>"FARMÁCIA INDIANA LJ 171 (10074)"</f>
        <v>FARMÁCIA INDIANA LJ 171 (10074)</v>
      </c>
      <c r="S1929" t="s">
        <v>27</v>
      </c>
      <c r="T1929">
        <v>4395</v>
      </c>
      <c r="U1929">
        <v>3815</v>
      </c>
      <c r="V1929" t="s">
        <v>22</v>
      </c>
    </row>
    <row r="1930" spans="1:22">
      <c r="A1930" t="str">
        <f t="shared" si="678"/>
        <v>25/02/2026</v>
      </c>
      <c r="B1930" t="str">
        <f t="shared" si="675"/>
        <v>ENTRADA</v>
      </c>
      <c r="C1930" t="str">
        <f t="shared" si="676"/>
        <v>NFSE</v>
      </c>
      <c r="D1930" t="str">
        <f t="shared" si="673"/>
        <v>364</v>
      </c>
      <c r="E1930" t="str">
        <f t="shared" si="677"/>
        <v>1</v>
      </c>
      <c r="F1930" t="str">
        <f t="shared" ref="F1930:F1961" si="681">"COM"</f>
        <v>COM</v>
      </c>
      <c r="G1930" t="str">
        <f t="shared" si="674"/>
        <v>FARMÁCIA INDIANA LJ 1 (10126)</v>
      </c>
      <c r="H1930" t="s">
        <v>480</v>
      </c>
      <c r="I1930" t="str">
        <f t="shared" si="679"/>
        <v>25/02/2026</v>
      </c>
      <c r="J1930" t="str">
        <f t="shared" si="680"/>
        <v>17/02/2026</v>
      </c>
      <c r="K1930">
        <v>46078</v>
      </c>
      <c r="N1930">
        <v>303</v>
      </c>
      <c r="O1930" t="s">
        <v>26</v>
      </c>
      <c r="Q1930">
        <v>81.709999999999994</v>
      </c>
      <c r="R1930" t="str">
        <f>"FARMÁCIA INDIANA LJ 175 (10076)"</f>
        <v>FARMÁCIA INDIANA LJ 175 (10076)</v>
      </c>
      <c r="S1930" t="s">
        <v>27</v>
      </c>
      <c r="T1930">
        <v>4395</v>
      </c>
      <c r="U1930">
        <v>3815</v>
      </c>
      <c r="V1930" t="s">
        <v>22</v>
      </c>
    </row>
    <row r="1931" spans="1:22">
      <c r="A1931" t="str">
        <f t="shared" si="678"/>
        <v>25/02/2026</v>
      </c>
      <c r="B1931" t="str">
        <f t="shared" si="675"/>
        <v>ENTRADA</v>
      </c>
      <c r="C1931" t="str">
        <f t="shared" si="676"/>
        <v>NFSE</v>
      </c>
      <c r="D1931" t="str">
        <f t="shared" ref="D1931:D1948" si="682">"364"</f>
        <v>364</v>
      </c>
      <c r="E1931" t="str">
        <f t="shared" si="677"/>
        <v>1</v>
      </c>
      <c r="F1931" t="str">
        <f t="shared" si="681"/>
        <v>COM</v>
      </c>
      <c r="G1931" t="str">
        <f t="shared" ref="G1931:G1948" si="683">"FARMÁCIA INDIANA LJ 1 (10126)"</f>
        <v>FARMÁCIA INDIANA LJ 1 (10126)</v>
      </c>
      <c r="H1931" t="s">
        <v>480</v>
      </c>
      <c r="I1931" t="str">
        <f t="shared" si="679"/>
        <v>25/02/2026</v>
      </c>
      <c r="J1931" t="str">
        <f t="shared" si="680"/>
        <v>17/02/2026</v>
      </c>
      <c r="K1931">
        <v>46078</v>
      </c>
      <c r="N1931">
        <v>303</v>
      </c>
      <c r="O1931" t="s">
        <v>26</v>
      </c>
      <c r="Q1931">
        <v>128.6</v>
      </c>
      <c r="R1931" t="str">
        <f>"FARMÁCIA INDIANA LJ 178 (10077)"</f>
        <v>FARMÁCIA INDIANA LJ 178 (10077)</v>
      </c>
      <c r="S1931" t="s">
        <v>27</v>
      </c>
      <c r="T1931">
        <v>4395</v>
      </c>
      <c r="U1931">
        <v>3815</v>
      </c>
      <c r="V1931" t="s">
        <v>22</v>
      </c>
    </row>
    <row r="1932" spans="1:22">
      <c r="A1932" t="str">
        <f t="shared" si="678"/>
        <v>25/02/2026</v>
      </c>
      <c r="B1932" t="str">
        <f t="shared" ref="B1932:B1948" si="684">"ENTRADA"</f>
        <v>ENTRADA</v>
      </c>
      <c r="C1932" t="str">
        <f t="shared" ref="C1932:C1948" si="685">"NFSE"</f>
        <v>NFSE</v>
      </c>
      <c r="D1932" t="str">
        <f t="shared" si="682"/>
        <v>364</v>
      </c>
      <c r="E1932" t="str">
        <f t="shared" ref="E1932:E1948" si="686">"1"</f>
        <v>1</v>
      </c>
      <c r="F1932" t="str">
        <f t="shared" si="681"/>
        <v>COM</v>
      </c>
      <c r="G1932" t="str">
        <f t="shared" si="683"/>
        <v>FARMÁCIA INDIANA LJ 1 (10126)</v>
      </c>
      <c r="H1932" t="s">
        <v>480</v>
      </c>
      <c r="I1932" t="str">
        <f t="shared" si="679"/>
        <v>25/02/2026</v>
      </c>
      <c r="J1932" t="str">
        <f t="shared" si="680"/>
        <v>17/02/2026</v>
      </c>
      <c r="K1932">
        <v>46078</v>
      </c>
      <c r="N1932">
        <v>303</v>
      </c>
      <c r="O1932" t="s">
        <v>26</v>
      </c>
      <c r="Q1932">
        <v>49.56</v>
      </c>
      <c r="R1932" t="str">
        <f>"FARMÁCIA INDIANA LJ 182 (10079)"</f>
        <v>FARMÁCIA INDIANA LJ 182 (10079)</v>
      </c>
      <c r="S1932" t="s">
        <v>27</v>
      </c>
      <c r="T1932">
        <v>4395</v>
      </c>
      <c r="U1932">
        <v>3815</v>
      </c>
      <c r="V1932" t="s">
        <v>22</v>
      </c>
    </row>
    <row r="1933" spans="1:22">
      <c r="A1933" t="str">
        <f t="shared" si="678"/>
        <v>25/02/2026</v>
      </c>
      <c r="B1933" t="str">
        <f t="shared" si="684"/>
        <v>ENTRADA</v>
      </c>
      <c r="C1933" t="str">
        <f t="shared" si="685"/>
        <v>NFSE</v>
      </c>
      <c r="D1933" t="str">
        <f t="shared" si="682"/>
        <v>364</v>
      </c>
      <c r="E1933" t="str">
        <f t="shared" si="686"/>
        <v>1</v>
      </c>
      <c r="F1933" t="str">
        <f t="shared" si="681"/>
        <v>COM</v>
      </c>
      <c r="G1933" t="str">
        <f t="shared" si="683"/>
        <v>FARMÁCIA INDIANA LJ 1 (10126)</v>
      </c>
      <c r="H1933" t="s">
        <v>480</v>
      </c>
      <c r="I1933" t="str">
        <f t="shared" si="679"/>
        <v>25/02/2026</v>
      </c>
      <c r="J1933" t="str">
        <f t="shared" si="680"/>
        <v>17/02/2026</v>
      </c>
      <c r="K1933">
        <v>46078</v>
      </c>
      <c r="N1933">
        <v>303</v>
      </c>
      <c r="O1933" t="s">
        <v>26</v>
      </c>
      <c r="Q1933">
        <v>40.19</v>
      </c>
      <c r="R1933" t="str">
        <f>"FARMÁCIA INDIANA LJ 184 (10080)"</f>
        <v>FARMÁCIA INDIANA LJ 184 (10080)</v>
      </c>
      <c r="S1933" t="s">
        <v>27</v>
      </c>
      <c r="T1933">
        <v>4395</v>
      </c>
      <c r="U1933">
        <v>3815</v>
      </c>
      <c r="V1933" t="s">
        <v>22</v>
      </c>
    </row>
    <row r="1934" spans="1:22">
      <c r="A1934" t="str">
        <f t="shared" ref="A1934:A1962" si="687">("25/02/2026")</f>
        <v>25/02/2026</v>
      </c>
      <c r="B1934" t="str">
        <f t="shared" si="684"/>
        <v>ENTRADA</v>
      </c>
      <c r="C1934" t="str">
        <f t="shared" si="685"/>
        <v>NFSE</v>
      </c>
      <c r="D1934" t="str">
        <f t="shared" si="682"/>
        <v>364</v>
      </c>
      <c r="E1934" t="str">
        <f t="shared" si="686"/>
        <v>1</v>
      </c>
      <c r="F1934" t="str">
        <f t="shared" si="681"/>
        <v>COM</v>
      </c>
      <c r="G1934" t="str">
        <f t="shared" si="683"/>
        <v>FARMÁCIA INDIANA LJ 1 (10126)</v>
      </c>
      <c r="H1934" t="s">
        <v>480</v>
      </c>
      <c r="I1934" t="str">
        <f t="shared" ref="I1934:I1952" si="688">("25/02/2026")</f>
        <v>25/02/2026</v>
      </c>
      <c r="J1934" t="str">
        <f t="shared" ref="J1934:J1948" si="689">("17/02/2026")</f>
        <v>17/02/2026</v>
      </c>
      <c r="K1934">
        <v>46078</v>
      </c>
      <c r="N1934">
        <v>303</v>
      </c>
      <c r="O1934" t="s">
        <v>26</v>
      </c>
      <c r="Q1934">
        <v>49.56</v>
      </c>
      <c r="R1934" t="str">
        <f>"FARMÁCIA INDIANA LJ 186 (10081)"</f>
        <v>FARMÁCIA INDIANA LJ 186 (10081)</v>
      </c>
      <c r="S1934" t="s">
        <v>27</v>
      </c>
      <c r="T1934">
        <v>4395</v>
      </c>
      <c r="U1934">
        <v>3815</v>
      </c>
      <c r="V1934" t="s">
        <v>22</v>
      </c>
    </row>
    <row r="1935" spans="1:22">
      <c r="A1935" t="str">
        <f t="shared" si="687"/>
        <v>25/02/2026</v>
      </c>
      <c r="B1935" t="str">
        <f t="shared" si="684"/>
        <v>ENTRADA</v>
      </c>
      <c r="C1935" t="str">
        <f t="shared" si="685"/>
        <v>NFSE</v>
      </c>
      <c r="D1935" t="str">
        <f t="shared" si="682"/>
        <v>364</v>
      </c>
      <c r="E1935" t="str">
        <f t="shared" si="686"/>
        <v>1</v>
      </c>
      <c r="F1935" t="str">
        <f t="shared" si="681"/>
        <v>COM</v>
      </c>
      <c r="G1935" t="str">
        <f t="shared" si="683"/>
        <v>FARMÁCIA INDIANA LJ 1 (10126)</v>
      </c>
      <c r="H1935" t="s">
        <v>480</v>
      </c>
      <c r="I1935" t="str">
        <f t="shared" si="688"/>
        <v>25/02/2026</v>
      </c>
      <c r="J1935" t="str">
        <f t="shared" si="689"/>
        <v>17/02/2026</v>
      </c>
      <c r="K1935">
        <v>46078</v>
      </c>
      <c r="N1935">
        <v>303</v>
      </c>
      <c r="O1935" t="s">
        <v>26</v>
      </c>
      <c r="Q1935">
        <v>89.75</v>
      </c>
      <c r="R1935" t="str">
        <f>"FARMÁCIA INDIANA LJ 192 (10082)"</f>
        <v>FARMÁCIA INDIANA LJ 192 (10082)</v>
      </c>
      <c r="S1935" t="s">
        <v>27</v>
      </c>
      <c r="T1935">
        <v>4395</v>
      </c>
      <c r="U1935">
        <v>3815</v>
      </c>
      <c r="V1935" t="s">
        <v>22</v>
      </c>
    </row>
    <row r="1936" spans="1:22">
      <c r="A1936" t="str">
        <f t="shared" si="687"/>
        <v>25/02/2026</v>
      </c>
      <c r="B1936" t="str">
        <f t="shared" si="684"/>
        <v>ENTRADA</v>
      </c>
      <c r="C1936" t="str">
        <f t="shared" si="685"/>
        <v>NFSE</v>
      </c>
      <c r="D1936" t="str">
        <f t="shared" si="682"/>
        <v>364</v>
      </c>
      <c r="E1936" t="str">
        <f t="shared" si="686"/>
        <v>1</v>
      </c>
      <c r="F1936" t="str">
        <f t="shared" si="681"/>
        <v>COM</v>
      </c>
      <c r="G1936" t="str">
        <f t="shared" si="683"/>
        <v>FARMÁCIA INDIANA LJ 1 (10126)</v>
      </c>
      <c r="H1936" t="s">
        <v>480</v>
      </c>
      <c r="I1936" t="str">
        <f t="shared" si="688"/>
        <v>25/02/2026</v>
      </c>
      <c r="J1936" t="str">
        <f t="shared" si="689"/>
        <v>17/02/2026</v>
      </c>
      <c r="K1936">
        <v>46078</v>
      </c>
      <c r="N1936">
        <v>303</v>
      </c>
      <c r="O1936" t="s">
        <v>26</v>
      </c>
      <c r="Q1936">
        <v>40.19</v>
      </c>
      <c r="R1936" t="str">
        <f>"FARMÁCIA INDIANA LJ 195 (10083)"</f>
        <v>FARMÁCIA INDIANA LJ 195 (10083)</v>
      </c>
      <c r="S1936" t="s">
        <v>27</v>
      </c>
      <c r="T1936">
        <v>4395</v>
      </c>
      <c r="U1936">
        <v>3815</v>
      </c>
      <c r="V1936" t="s">
        <v>22</v>
      </c>
    </row>
    <row r="1937" spans="1:22">
      <c r="A1937" t="str">
        <f t="shared" si="687"/>
        <v>25/02/2026</v>
      </c>
      <c r="B1937" t="str">
        <f t="shared" si="684"/>
        <v>ENTRADA</v>
      </c>
      <c r="C1937" t="str">
        <f t="shared" si="685"/>
        <v>NFSE</v>
      </c>
      <c r="D1937" t="str">
        <f t="shared" si="682"/>
        <v>364</v>
      </c>
      <c r="E1937" t="str">
        <f t="shared" si="686"/>
        <v>1</v>
      </c>
      <c r="F1937" t="str">
        <f t="shared" si="681"/>
        <v>COM</v>
      </c>
      <c r="G1937" t="str">
        <f t="shared" si="683"/>
        <v>FARMÁCIA INDIANA LJ 1 (10126)</v>
      </c>
      <c r="H1937" t="s">
        <v>480</v>
      </c>
      <c r="I1937" t="str">
        <f t="shared" si="688"/>
        <v>25/02/2026</v>
      </c>
      <c r="J1937" t="str">
        <f t="shared" si="689"/>
        <v>17/02/2026</v>
      </c>
      <c r="K1937">
        <v>46078</v>
      </c>
      <c r="N1937">
        <v>303</v>
      </c>
      <c r="O1937" t="s">
        <v>26</v>
      </c>
      <c r="Q1937">
        <v>99.13</v>
      </c>
      <c r="R1937" t="str">
        <f>"FARMÁCIA INDIANA LJ 202 (10085)"</f>
        <v>FARMÁCIA INDIANA LJ 202 (10085)</v>
      </c>
      <c r="S1937" t="s">
        <v>27</v>
      </c>
      <c r="T1937">
        <v>4395</v>
      </c>
      <c r="U1937">
        <v>3815</v>
      </c>
      <c r="V1937" t="s">
        <v>22</v>
      </c>
    </row>
    <row r="1938" spans="1:22">
      <c r="A1938" t="str">
        <f t="shared" si="687"/>
        <v>25/02/2026</v>
      </c>
      <c r="B1938" t="str">
        <f t="shared" si="684"/>
        <v>ENTRADA</v>
      </c>
      <c r="C1938" t="str">
        <f t="shared" si="685"/>
        <v>NFSE</v>
      </c>
      <c r="D1938" t="str">
        <f t="shared" si="682"/>
        <v>364</v>
      </c>
      <c r="E1938" t="str">
        <f t="shared" si="686"/>
        <v>1</v>
      </c>
      <c r="F1938" t="str">
        <f t="shared" si="681"/>
        <v>COM</v>
      </c>
      <c r="G1938" t="str">
        <f t="shared" si="683"/>
        <v>FARMÁCIA INDIANA LJ 1 (10126)</v>
      </c>
      <c r="H1938" t="s">
        <v>480</v>
      </c>
      <c r="I1938" t="str">
        <f t="shared" si="688"/>
        <v>25/02/2026</v>
      </c>
      <c r="J1938" t="str">
        <f t="shared" si="689"/>
        <v>17/02/2026</v>
      </c>
      <c r="K1938">
        <v>46078</v>
      </c>
      <c r="N1938">
        <v>303</v>
      </c>
      <c r="O1938" t="s">
        <v>26</v>
      </c>
      <c r="Q1938">
        <v>80.37</v>
      </c>
      <c r="R1938" t="str">
        <f>"FARMÁCIA INDIANA LJ 204 (10087)"</f>
        <v>FARMÁCIA INDIANA LJ 204 (10087)</v>
      </c>
      <c r="S1938" t="s">
        <v>27</v>
      </c>
      <c r="T1938">
        <v>4395</v>
      </c>
      <c r="U1938">
        <v>3815</v>
      </c>
      <c r="V1938" t="s">
        <v>22</v>
      </c>
    </row>
    <row r="1939" spans="1:22">
      <c r="A1939" t="str">
        <f t="shared" si="687"/>
        <v>25/02/2026</v>
      </c>
      <c r="B1939" t="str">
        <f t="shared" si="684"/>
        <v>ENTRADA</v>
      </c>
      <c r="C1939" t="str">
        <f t="shared" si="685"/>
        <v>NFSE</v>
      </c>
      <c r="D1939" t="str">
        <f t="shared" si="682"/>
        <v>364</v>
      </c>
      <c r="E1939" t="str">
        <f t="shared" si="686"/>
        <v>1</v>
      </c>
      <c r="F1939" t="str">
        <f t="shared" si="681"/>
        <v>COM</v>
      </c>
      <c r="G1939" t="str">
        <f t="shared" si="683"/>
        <v>FARMÁCIA INDIANA LJ 1 (10126)</v>
      </c>
      <c r="H1939" t="s">
        <v>480</v>
      </c>
      <c r="I1939" t="str">
        <f t="shared" si="688"/>
        <v>25/02/2026</v>
      </c>
      <c r="J1939" t="str">
        <f t="shared" si="689"/>
        <v>17/02/2026</v>
      </c>
      <c r="K1939">
        <v>46078</v>
      </c>
      <c r="N1939">
        <v>303</v>
      </c>
      <c r="O1939" t="s">
        <v>26</v>
      </c>
      <c r="Q1939">
        <v>147.35</v>
      </c>
      <c r="R1939" t="str">
        <f>"FARMÁCIA INDIANA LJ 207 (10088)"</f>
        <v>FARMÁCIA INDIANA LJ 207 (10088)</v>
      </c>
      <c r="S1939" t="s">
        <v>27</v>
      </c>
      <c r="T1939">
        <v>4395</v>
      </c>
      <c r="U1939">
        <v>3815</v>
      </c>
      <c r="V1939" t="s">
        <v>22</v>
      </c>
    </row>
    <row r="1940" spans="1:22">
      <c r="A1940" t="str">
        <f t="shared" si="687"/>
        <v>25/02/2026</v>
      </c>
      <c r="B1940" t="str">
        <f t="shared" si="684"/>
        <v>ENTRADA</v>
      </c>
      <c r="C1940" t="str">
        <f t="shared" si="685"/>
        <v>NFSE</v>
      </c>
      <c r="D1940" t="str">
        <f t="shared" si="682"/>
        <v>364</v>
      </c>
      <c r="E1940" t="str">
        <f t="shared" si="686"/>
        <v>1</v>
      </c>
      <c r="F1940" t="str">
        <f t="shared" si="681"/>
        <v>COM</v>
      </c>
      <c r="G1940" t="str">
        <f t="shared" si="683"/>
        <v>FARMÁCIA INDIANA LJ 1 (10126)</v>
      </c>
      <c r="H1940" t="s">
        <v>480</v>
      </c>
      <c r="I1940" t="str">
        <f t="shared" si="688"/>
        <v>25/02/2026</v>
      </c>
      <c r="J1940" t="str">
        <f t="shared" si="689"/>
        <v>17/02/2026</v>
      </c>
      <c r="K1940">
        <v>46078</v>
      </c>
      <c r="N1940">
        <v>303</v>
      </c>
      <c r="O1940" t="s">
        <v>26</v>
      </c>
      <c r="Q1940">
        <v>125.92</v>
      </c>
      <c r="R1940" t="str">
        <f>"FARMÁCIA INDIANA LJ 209 (10089)"</f>
        <v>FARMÁCIA INDIANA LJ 209 (10089)</v>
      </c>
      <c r="S1940" t="s">
        <v>27</v>
      </c>
      <c r="T1940">
        <v>4395</v>
      </c>
      <c r="U1940">
        <v>3815</v>
      </c>
      <c r="V1940" t="s">
        <v>22</v>
      </c>
    </row>
    <row r="1941" spans="1:22">
      <c r="A1941" t="str">
        <f t="shared" si="687"/>
        <v>25/02/2026</v>
      </c>
      <c r="B1941" t="str">
        <f t="shared" si="684"/>
        <v>ENTRADA</v>
      </c>
      <c r="C1941" t="str">
        <f t="shared" si="685"/>
        <v>NFSE</v>
      </c>
      <c r="D1941" t="str">
        <f t="shared" si="682"/>
        <v>364</v>
      </c>
      <c r="E1941" t="str">
        <f t="shared" si="686"/>
        <v>1</v>
      </c>
      <c r="F1941" t="str">
        <f t="shared" si="681"/>
        <v>COM</v>
      </c>
      <c r="G1941" t="str">
        <f t="shared" si="683"/>
        <v>FARMÁCIA INDIANA LJ 1 (10126)</v>
      </c>
      <c r="H1941" t="s">
        <v>480</v>
      </c>
      <c r="I1941" t="str">
        <f t="shared" si="688"/>
        <v>25/02/2026</v>
      </c>
      <c r="J1941" t="str">
        <f t="shared" si="689"/>
        <v>17/02/2026</v>
      </c>
      <c r="K1941">
        <v>46078</v>
      </c>
      <c r="N1941">
        <v>303</v>
      </c>
      <c r="O1941" t="s">
        <v>26</v>
      </c>
      <c r="Q1941">
        <v>225.04</v>
      </c>
      <c r="R1941" t="str">
        <f>"FARMÁCIA INDIANA LJ 219 (10091)"</f>
        <v>FARMÁCIA INDIANA LJ 219 (10091)</v>
      </c>
      <c r="S1941" t="s">
        <v>27</v>
      </c>
      <c r="T1941">
        <v>4395</v>
      </c>
      <c r="U1941">
        <v>3815</v>
      </c>
      <c r="V1941" t="s">
        <v>22</v>
      </c>
    </row>
    <row r="1942" spans="1:22">
      <c r="A1942" t="str">
        <f t="shared" si="687"/>
        <v>25/02/2026</v>
      </c>
      <c r="B1942" t="str">
        <f t="shared" si="684"/>
        <v>ENTRADA</v>
      </c>
      <c r="C1942" t="str">
        <f t="shared" si="685"/>
        <v>NFSE</v>
      </c>
      <c r="D1942" t="str">
        <f t="shared" si="682"/>
        <v>364</v>
      </c>
      <c r="E1942" t="str">
        <f t="shared" si="686"/>
        <v>1</v>
      </c>
      <c r="F1942" t="str">
        <f t="shared" si="681"/>
        <v>COM</v>
      </c>
      <c r="G1942" t="str">
        <f t="shared" si="683"/>
        <v>FARMÁCIA INDIANA LJ 1 (10126)</v>
      </c>
      <c r="H1942" t="s">
        <v>480</v>
      </c>
      <c r="I1942" t="str">
        <f t="shared" si="688"/>
        <v>25/02/2026</v>
      </c>
      <c r="J1942" t="str">
        <f t="shared" si="689"/>
        <v>17/02/2026</v>
      </c>
      <c r="K1942">
        <v>46078</v>
      </c>
      <c r="N1942">
        <v>303</v>
      </c>
      <c r="O1942" t="s">
        <v>26</v>
      </c>
      <c r="Q1942">
        <v>338.9</v>
      </c>
      <c r="R1942" t="str">
        <f>"FARMÁCIA INDIANA LJ 220 (10092)"</f>
        <v>FARMÁCIA INDIANA LJ 220 (10092)</v>
      </c>
      <c r="S1942" t="s">
        <v>27</v>
      </c>
      <c r="T1942">
        <v>4395</v>
      </c>
      <c r="U1942">
        <v>3815</v>
      </c>
      <c r="V1942" t="s">
        <v>22</v>
      </c>
    </row>
    <row r="1943" spans="1:22">
      <c r="A1943" t="str">
        <f t="shared" si="687"/>
        <v>25/02/2026</v>
      </c>
      <c r="B1943" t="str">
        <f t="shared" si="684"/>
        <v>ENTRADA</v>
      </c>
      <c r="C1943" t="str">
        <f t="shared" si="685"/>
        <v>NFSE</v>
      </c>
      <c r="D1943" t="str">
        <f t="shared" si="682"/>
        <v>364</v>
      </c>
      <c r="E1943" t="str">
        <f t="shared" si="686"/>
        <v>1</v>
      </c>
      <c r="F1943" t="str">
        <f t="shared" si="681"/>
        <v>COM</v>
      </c>
      <c r="G1943" t="str">
        <f t="shared" si="683"/>
        <v>FARMÁCIA INDIANA LJ 1 (10126)</v>
      </c>
      <c r="H1943" t="s">
        <v>480</v>
      </c>
      <c r="I1943" t="str">
        <f t="shared" si="688"/>
        <v>25/02/2026</v>
      </c>
      <c r="J1943" t="str">
        <f t="shared" si="689"/>
        <v>17/02/2026</v>
      </c>
      <c r="K1943">
        <v>46078</v>
      </c>
      <c r="N1943">
        <v>303</v>
      </c>
      <c r="O1943" t="s">
        <v>26</v>
      </c>
      <c r="Q1943">
        <v>115.2</v>
      </c>
      <c r="R1943" t="str">
        <f>"FARMÁCIA INDIANA LJ 185 (10141)"</f>
        <v>FARMÁCIA INDIANA LJ 185 (10141)</v>
      </c>
      <c r="S1943" t="s">
        <v>27</v>
      </c>
      <c r="T1943">
        <v>4395</v>
      </c>
      <c r="U1943">
        <v>3815</v>
      </c>
      <c r="V1943" t="s">
        <v>22</v>
      </c>
    </row>
    <row r="1944" spans="1:22">
      <c r="A1944" t="str">
        <f t="shared" si="687"/>
        <v>25/02/2026</v>
      </c>
      <c r="B1944" t="str">
        <f t="shared" si="684"/>
        <v>ENTRADA</v>
      </c>
      <c r="C1944" t="str">
        <f t="shared" si="685"/>
        <v>NFSE</v>
      </c>
      <c r="D1944" t="str">
        <f t="shared" si="682"/>
        <v>364</v>
      </c>
      <c r="E1944" t="str">
        <f t="shared" si="686"/>
        <v>1</v>
      </c>
      <c r="F1944" t="str">
        <f t="shared" si="681"/>
        <v>COM</v>
      </c>
      <c r="G1944" t="str">
        <f t="shared" si="683"/>
        <v>FARMÁCIA INDIANA LJ 1 (10126)</v>
      </c>
      <c r="H1944" t="s">
        <v>480</v>
      </c>
      <c r="I1944" t="str">
        <f t="shared" si="688"/>
        <v>25/02/2026</v>
      </c>
      <c r="J1944" t="str">
        <f t="shared" si="689"/>
        <v>17/02/2026</v>
      </c>
      <c r="K1944">
        <v>46078</v>
      </c>
      <c r="N1944">
        <v>303</v>
      </c>
      <c r="O1944" t="s">
        <v>26</v>
      </c>
      <c r="Q1944">
        <v>107.16</v>
      </c>
      <c r="R1944" t="str">
        <f>"FARMÁCIA INDIANA LJ 205 (10150)"</f>
        <v>FARMÁCIA INDIANA LJ 205 (10150)</v>
      </c>
      <c r="S1944" t="s">
        <v>27</v>
      </c>
      <c r="T1944">
        <v>4395</v>
      </c>
      <c r="U1944">
        <v>3815</v>
      </c>
      <c r="V1944" t="s">
        <v>22</v>
      </c>
    </row>
    <row r="1945" spans="1:22">
      <c r="A1945" t="str">
        <f t="shared" si="687"/>
        <v>25/02/2026</v>
      </c>
      <c r="B1945" t="str">
        <f t="shared" si="684"/>
        <v>ENTRADA</v>
      </c>
      <c r="C1945" t="str">
        <f t="shared" si="685"/>
        <v>NFSE</v>
      </c>
      <c r="D1945" t="str">
        <f t="shared" si="682"/>
        <v>364</v>
      </c>
      <c r="E1945" t="str">
        <f t="shared" si="686"/>
        <v>1</v>
      </c>
      <c r="F1945" t="str">
        <f t="shared" si="681"/>
        <v>COM</v>
      </c>
      <c r="G1945" t="str">
        <f t="shared" si="683"/>
        <v>FARMÁCIA INDIANA LJ 1 (10126)</v>
      </c>
      <c r="H1945" t="s">
        <v>480</v>
      </c>
      <c r="I1945" t="str">
        <f t="shared" si="688"/>
        <v>25/02/2026</v>
      </c>
      <c r="J1945" t="str">
        <f t="shared" si="689"/>
        <v>17/02/2026</v>
      </c>
      <c r="K1945">
        <v>46078</v>
      </c>
      <c r="N1945">
        <v>303</v>
      </c>
      <c r="O1945" t="s">
        <v>26</v>
      </c>
      <c r="Q1945">
        <v>570.64</v>
      </c>
      <c r="R1945" t="str">
        <f>"FARMÁCIA INDIANA LJ 172 (10161)"</f>
        <v>FARMÁCIA INDIANA LJ 172 (10161)</v>
      </c>
      <c r="S1945" t="s">
        <v>27</v>
      </c>
      <c r="T1945">
        <v>4395</v>
      </c>
      <c r="U1945">
        <v>3815</v>
      </c>
      <c r="V1945" t="s">
        <v>22</v>
      </c>
    </row>
    <row r="1946" spans="1:22">
      <c r="A1946" t="str">
        <f t="shared" si="687"/>
        <v>25/02/2026</v>
      </c>
      <c r="B1946" t="str">
        <f t="shared" si="684"/>
        <v>ENTRADA</v>
      </c>
      <c r="C1946" t="str">
        <f t="shared" si="685"/>
        <v>NFSE</v>
      </c>
      <c r="D1946" t="str">
        <f t="shared" si="682"/>
        <v>364</v>
      </c>
      <c r="E1946" t="str">
        <f t="shared" si="686"/>
        <v>1</v>
      </c>
      <c r="F1946" t="str">
        <f t="shared" si="681"/>
        <v>COM</v>
      </c>
      <c r="G1946" t="str">
        <f t="shared" si="683"/>
        <v>FARMÁCIA INDIANA LJ 1 (10126)</v>
      </c>
      <c r="H1946" t="s">
        <v>480</v>
      </c>
      <c r="I1946" t="str">
        <f t="shared" si="688"/>
        <v>25/02/2026</v>
      </c>
      <c r="J1946" t="str">
        <f t="shared" si="689"/>
        <v>17/02/2026</v>
      </c>
      <c r="K1946">
        <v>46078</v>
      </c>
      <c r="N1946">
        <v>303</v>
      </c>
      <c r="O1946" t="s">
        <v>26</v>
      </c>
      <c r="Q1946">
        <v>80.37</v>
      </c>
      <c r="R1946" t="str">
        <f>"FARMÁCIA INDIANA LJ 266 (10186)"</f>
        <v>FARMÁCIA INDIANA LJ 266 (10186)</v>
      </c>
      <c r="S1946" t="s">
        <v>27</v>
      </c>
      <c r="T1946">
        <v>4395</v>
      </c>
      <c r="U1946">
        <v>3815</v>
      </c>
      <c r="V1946" t="s">
        <v>22</v>
      </c>
    </row>
    <row r="1947" spans="1:22">
      <c r="A1947" t="str">
        <f t="shared" si="687"/>
        <v>25/02/2026</v>
      </c>
      <c r="B1947" t="str">
        <f t="shared" si="684"/>
        <v>ENTRADA</v>
      </c>
      <c r="C1947" t="str">
        <f t="shared" si="685"/>
        <v>NFSE</v>
      </c>
      <c r="D1947" t="str">
        <f t="shared" si="682"/>
        <v>364</v>
      </c>
      <c r="E1947" t="str">
        <f t="shared" si="686"/>
        <v>1</v>
      </c>
      <c r="F1947" t="str">
        <f t="shared" si="681"/>
        <v>COM</v>
      </c>
      <c r="G1947" t="str">
        <f t="shared" si="683"/>
        <v>FARMÁCIA INDIANA LJ 1 (10126)</v>
      </c>
      <c r="H1947" t="s">
        <v>480</v>
      </c>
      <c r="I1947" t="str">
        <f t="shared" si="688"/>
        <v>25/02/2026</v>
      </c>
      <c r="J1947" t="str">
        <f t="shared" si="689"/>
        <v>17/02/2026</v>
      </c>
      <c r="K1947">
        <v>46078</v>
      </c>
      <c r="N1947">
        <v>303</v>
      </c>
      <c r="O1947" t="s">
        <v>26</v>
      </c>
      <c r="Q1947">
        <v>120.56</v>
      </c>
      <c r="R1947" t="str">
        <f>"FARMÁCIA INDIANA LJ 134 (10271)"</f>
        <v>FARMÁCIA INDIANA LJ 134 (10271)</v>
      </c>
      <c r="S1947" t="s">
        <v>27</v>
      </c>
      <c r="T1947">
        <v>4395</v>
      </c>
      <c r="U1947">
        <v>3815</v>
      </c>
      <c r="V1947" t="s">
        <v>22</v>
      </c>
    </row>
    <row r="1948" spans="1:22">
      <c r="A1948" t="str">
        <f t="shared" si="687"/>
        <v>25/02/2026</v>
      </c>
      <c r="B1948" t="str">
        <f t="shared" si="684"/>
        <v>ENTRADA</v>
      </c>
      <c r="C1948" t="str">
        <f t="shared" si="685"/>
        <v>NFSE</v>
      </c>
      <c r="D1948" t="str">
        <f t="shared" si="682"/>
        <v>364</v>
      </c>
      <c r="E1948" t="str">
        <f t="shared" si="686"/>
        <v>1</v>
      </c>
      <c r="F1948" t="str">
        <f t="shared" si="681"/>
        <v>COM</v>
      </c>
      <c r="G1948" t="str">
        <f t="shared" si="683"/>
        <v>FARMÁCIA INDIANA LJ 1 (10126)</v>
      </c>
      <c r="H1948" t="s">
        <v>480</v>
      </c>
      <c r="I1948" t="str">
        <f t="shared" si="688"/>
        <v>25/02/2026</v>
      </c>
      <c r="J1948" t="str">
        <f t="shared" si="689"/>
        <v>17/02/2026</v>
      </c>
      <c r="K1948">
        <v>46078</v>
      </c>
      <c r="N1948">
        <v>303</v>
      </c>
      <c r="O1948" t="s">
        <v>26</v>
      </c>
      <c r="Q1948">
        <v>171.46</v>
      </c>
      <c r="R1948" t="str">
        <f>"FARMÁCIA INDIANA LJ 284 (10280)"</f>
        <v>FARMÁCIA INDIANA LJ 284 (10280)</v>
      </c>
      <c r="S1948" t="s">
        <v>27</v>
      </c>
      <c r="T1948">
        <v>4395</v>
      </c>
      <c r="U1948">
        <v>3815</v>
      </c>
      <c r="V1948" t="s">
        <v>22</v>
      </c>
    </row>
    <row r="1949" spans="1:22">
      <c r="A1949" t="str">
        <f t="shared" si="687"/>
        <v>25/02/2026</v>
      </c>
      <c r="B1949" t="str">
        <f>"SAÍDA"</f>
        <v>SAÍDA</v>
      </c>
      <c r="C1949" t="str">
        <f>"BOLETO"</f>
        <v>BOLETO</v>
      </c>
      <c r="D1949" t="str">
        <f>"22399"</f>
        <v>22399</v>
      </c>
      <c r="E1949" t="str">
        <f>"5"</f>
        <v>5</v>
      </c>
      <c r="F1949" t="str">
        <f t="shared" si="681"/>
        <v>COM</v>
      </c>
      <c r="G1949" t="str">
        <f>"ABRADILAN ASSOCIACAO BRASILEIRA DE DISTRIBUICAO E LOGIS (20121)"</f>
        <v>ABRADILAN ASSOCIACAO BRASILEIRA DE DISTRIBUICAO E LOGIS (20121)</v>
      </c>
      <c r="H1949" t="str">
        <f>"COTA PATROCINIO - EXPOSITOR FARMACIA DO FUTURO"</f>
        <v>COTA PATROCINIO - EXPOSITOR FARMACIA DO FUTURO</v>
      </c>
      <c r="I1949" t="str">
        <f t="shared" si="688"/>
        <v>25/02/2026</v>
      </c>
      <c r="J1949" t="str">
        <f>("16/10/2025")</f>
        <v>16/10/2025</v>
      </c>
      <c r="K1949" t="str">
        <f>("25/02/2026")</f>
        <v>25/02/2026</v>
      </c>
      <c r="L1949">
        <v>4000</v>
      </c>
      <c r="M1949">
        <v>4000</v>
      </c>
      <c r="N1949">
        <v>127</v>
      </c>
      <c r="O1949" t="str">
        <f>"PUBLICIDADE E PROPAGANDAS"</f>
        <v>PUBLICIDADE E PROPAGANDAS</v>
      </c>
      <c r="P1949">
        <v>4000</v>
      </c>
      <c r="S1949" t="str">
        <f>"BANCO CORA (102)"</f>
        <v>BANCO CORA (102)</v>
      </c>
      <c r="T1949">
        <v>4396</v>
      </c>
      <c r="U1949">
        <v>2399</v>
      </c>
      <c r="V1949" t="s">
        <v>22</v>
      </c>
    </row>
    <row r="1950" spans="1:22">
      <c r="A1950" t="str">
        <f t="shared" si="687"/>
        <v>25/02/2026</v>
      </c>
      <c r="B1950" t="str">
        <f>"SAÍDA"</f>
        <v>SAÍDA</v>
      </c>
      <c r="C1950" t="str">
        <f>"BOLETO"</f>
        <v>BOLETO</v>
      </c>
      <c r="D1950" t="str">
        <f>"22399"</f>
        <v>22399</v>
      </c>
      <c r="E1950" t="str">
        <f>"5"</f>
        <v>5</v>
      </c>
      <c r="F1950" t="str">
        <f t="shared" si="681"/>
        <v>COM</v>
      </c>
      <c r="G1950" t="str">
        <f>"ABRADILAN ASSOCIACAO BRASILEIRA DE DISTRIBUICAO E LOGIS (20121)"</f>
        <v>ABRADILAN ASSOCIACAO BRASILEIRA DE DISTRIBUICAO E LOGIS (20121)</v>
      </c>
      <c r="H1950" t="s">
        <v>267</v>
      </c>
      <c r="I1950" t="str">
        <f t="shared" si="688"/>
        <v>25/02/2026</v>
      </c>
      <c r="J1950" t="str">
        <f>("16/10/2025")</f>
        <v>16/10/2025</v>
      </c>
      <c r="K1950">
        <v>46078</v>
      </c>
      <c r="N1950">
        <v>127</v>
      </c>
      <c r="O1950" t="s">
        <v>84</v>
      </c>
      <c r="Q1950">
        <v>4000</v>
      </c>
      <c r="R1950" t="str">
        <f>"ABRADILAN ASSOCIACAO BRASILEIRA DE DISTRIBUICAO E LOGIS (20121)"</f>
        <v>ABRADILAN ASSOCIACAO BRASILEIRA DE DISTRIBUICAO E LOGIS (20121)</v>
      </c>
      <c r="S1950" t="s">
        <v>22</v>
      </c>
      <c r="T1950">
        <v>4396</v>
      </c>
      <c r="U1950">
        <v>2399</v>
      </c>
      <c r="V1950" t="s">
        <v>22</v>
      </c>
    </row>
    <row r="1951" spans="1:22">
      <c r="A1951" t="str">
        <f t="shared" si="687"/>
        <v>25/02/2026</v>
      </c>
      <c r="B1951" t="str">
        <f>"SAÍDA"</f>
        <v>SAÍDA</v>
      </c>
      <c r="C1951" t="str">
        <f>"PIX"</f>
        <v>PIX</v>
      </c>
      <c r="D1951" t="str">
        <f>"19022026"</f>
        <v>19022026</v>
      </c>
      <c r="E1951" t="str">
        <f>""</f>
        <v/>
      </c>
      <c r="F1951" t="str">
        <f t="shared" si="681"/>
        <v>COM</v>
      </c>
      <c r="G1951" t="str">
        <f>"LPB COMUNICACAO VISUAL E SOLUCOES GRAFICAS LTDA (20141)"</f>
        <v>LPB COMUNICACAO VISUAL E SOLUCOES GRAFICAS LTDA (20141)</v>
      </c>
      <c r="H1951" t="str">
        <f>"BANNER CHAVE PIX: CNPJ: 47.141.511/0001-97"</f>
        <v>BANNER CHAVE PIX: CNPJ: 47.141.511/0001-97</v>
      </c>
      <c r="I1951" t="str">
        <f t="shared" si="688"/>
        <v>25/02/2026</v>
      </c>
      <c r="J1951" t="str">
        <f>("19/02/2026")</f>
        <v>19/02/2026</v>
      </c>
      <c r="K1951" t="str">
        <f>("25/02/2026")</f>
        <v>25/02/2026</v>
      </c>
      <c r="L1951">
        <v>1389.9</v>
      </c>
      <c r="M1951">
        <v>1389.9</v>
      </c>
      <c r="N1951">
        <v>127</v>
      </c>
      <c r="O1951" t="str">
        <f>"PUBLICIDADE E PROPAGANDAS"</f>
        <v>PUBLICIDADE E PROPAGANDAS</v>
      </c>
      <c r="P1951">
        <v>1389.9</v>
      </c>
      <c r="S1951" t="str">
        <f>"BANCO CORA (102)"</f>
        <v>BANCO CORA (102)</v>
      </c>
      <c r="T1951">
        <v>4397</v>
      </c>
      <c r="U1951">
        <v>3839</v>
      </c>
      <c r="V1951" t="s">
        <v>22</v>
      </c>
    </row>
    <row r="1952" spans="1:22">
      <c r="A1952" t="str">
        <f t="shared" si="687"/>
        <v>25/02/2026</v>
      </c>
      <c r="B1952" t="str">
        <f>"SAÍDA"</f>
        <v>SAÍDA</v>
      </c>
      <c r="C1952" t="str">
        <f>"PIX"</f>
        <v>PIX</v>
      </c>
      <c r="D1952" t="str">
        <f>"19022026"</f>
        <v>19022026</v>
      </c>
      <c r="E1952" t="str">
        <f>""</f>
        <v/>
      </c>
      <c r="F1952" t="str">
        <f t="shared" si="681"/>
        <v>COM</v>
      </c>
      <c r="G1952" t="str">
        <f>"LPB COMUNICACAO VISUAL E SOLUCOES GRAFICAS LTDA (20141)"</f>
        <v>LPB COMUNICACAO VISUAL E SOLUCOES GRAFICAS LTDA (20141)</v>
      </c>
      <c r="H1952" t="s">
        <v>481</v>
      </c>
      <c r="I1952" t="str">
        <f t="shared" si="688"/>
        <v>25/02/2026</v>
      </c>
      <c r="J1952" t="str">
        <f>("19/02/2026")</f>
        <v>19/02/2026</v>
      </c>
      <c r="K1952">
        <v>46078</v>
      </c>
      <c r="N1952">
        <v>127</v>
      </c>
      <c r="O1952" t="s">
        <v>84</v>
      </c>
      <c r="Q1952">
        <v>1389.9</v>
      </c>
      <c r="R1952" t="str">
        <f>"LPB COMUNICACAO VISUAL E SOLUCOES GRAFICAS LTDA (20141)"</f>
        <v>LPB COMUNICACAO VISUAL E SOLUCOES GRAFICAS LTDA (20141)</v>
      </c>
      <c r="S1952" t="s">
        <v>22</v>
      </c>
      <c r="T1952">
        <v>4397</v>
      </c>
      <c r="U1952">
        <v>3839</v>
      </c>
      <c r="V1952" t="s">
        <v>22</v>
      </c>
    </row>
    <row r="1953" spans="1:22">
      <c r="A1953" t="str">
        <f t="shared" si="687"/>
        <v>25/02/2026</v>
      </c>
      <c r="B1953" t="str">
        <f t="shared" ref="B1953:B1968" si="690">"ENTRADA"</f>
        <v>ENTRADA</v>
      </c>
      <c r="C1953" t="str">
        <f t="shared" ref="C1953:C1968" si="691">"NFSE"</f>
        <v>NFSE</v>
      </c>
      <c r="D1953" t="str">
        <f>"3263"</f>
        <v>3263</v>
      </c>
      <c r="E1953" t="str">
        <f t="shared" ref="E1953:E1968" si="692">"1"</f>
        <v>1</v>
      </c>
      <c r="F1953" t="str">
        <f t="shared" si="681"/>
        <v>COM</v>
      </c>
      <c r="G1953" t="str">
        <f t="shared" ref="G1953:G1960" si="693">"DROGARIA VAZ (10179)"</f>
        <v>DROGARIA VAZ (10179)</v>
      </c>
      <c r="H1953" t="str">
        <f>"Serv.Prest. 14/07/2025 a 20/07/2025 - RPS: 1030 - NFSe: 3263"</f>
        <v>Serv.Prest. 14/07/2025 a 20/07/2025 - RPS: 1030 - NFSe: 3263</v>
      </c>
      <c r="I1953" t="str">
        <f t="shared" ref="I1953:I1960" si="694">("31/01/2026")</f>
        <v>31/01/2026</v>
      </c>
      <c r="J1953" t="str">
        <f>("21/07/2025")</f>
        <v>21/07/2025</v>
      </c>
      <c r="K1953" t="str">
        <f>("25/02/2026")</f>
        <v>25/02/2026</v>
      </c>
      <c r="L1953">
        <v>95.96</v>
      </c>
      <c r="M1953">
        <v>95.96</v>
      </c>
      <c r="N1953">
        <v>303</v>
      </c>
      <c r="O1953" t="str">
        <f>"RECEITAS COM ENTREGAS"</f>
        <v>RECEITAS COM ENTREGAS</v>
      </c>
      <c r="P1953">
        <v>95.96</v>
      </c>
      <c r="S1953" t="str">
        <f>"RECEITAS COM ENTREGAS (303)"</f>
        <v>RECEITAS COM ENTREGAS (303)</v>
      </c>
      <c r="T1953">
        <v>4398</v>
      </c>
      <c r="U1953">
        <v>1629</v>
      </c>
      <c r="V1953" t="s">
        <v>22</v>
      </c>
    </row>
    <row r="1954" spans="1:22">
      <c r="A1954" t="str">
        <f t="shared" si="687"/>
        <v>25/02/2026</v>
      </c>
      <c r="B1954" t="str">
        <f t="shared" si="690"/>
        <v>ENTRADA</v>
      </c>
      <c r="C1954" t="str">
        <f t="shared" si="691"/>
        <v>NFSE</v>
      </c>
      <c r="D1954" t="str">
        <f>"3263"</f>
        <v>3263</v>
      </c>
      <c r="E1954" t="str">
        <f t="shared" si="692"/>
        <v>1</v>
      </c>
      <c r="F1954" t="str">
        <f t="shared" si="681"/>
        <v>COM</v>
      </c>
      <c r="G1954" t="str">
        <f t="shared" si="693"/>
        <v>DROGARIA VAZ (10179)</v>
      </c>
      <c r="H1954" t="s">
        <v>136</v>
      </c>
      <c r="I1954" t="str">
        <f t="shared" si="694"/>
        <v>31/01/2026</v>
      </c>
      <c r="J1954" t="str">
        <f>("21/07/2025")</f>
        <v>21/07/2025</v>
      </c>
      <c r="K1954">
        <v>46078</v>
      </c>
      <c r="N1954">
        <v>303</v>
      </c>
      <c r="O1954" t="s">
        <v>26</v>
      </c>
      <c r="Q1954">
        <v>95.96</v>
      </c>
      <c r="R1954" t="str">
        <f>"DROGARIA VAZ (10179)"</f>
        <v>DROGARIA VAZ (10179)</v>
      </c>
      <c r="S1954" t="s">
        <v>27</v>
      </c>
      <c r="T1954">
        <v>4398</v>
      </c>
      <c r="U1954">
        <v>1629</v>
      </c>
      <c r="V1954" t="s">
        <v>22</v>
      </c>
    </row>
    <row r="1955" spans="1:22">
      <c r="A1955" t="str">
        <f t="shared" si="687"/>
        <v>25/02/2026</v>
      </c>
      <c r="B1955" t="str">
        <f t="shared" si="690"/>
        <v>ENTRADA</v>
      </c>
      <c r="C1955" t="str">
        <f t="shared" si="691"/>
        <v>NFSE</v>
      </c>
      <c r="D1955" t="str">
        <f>"3291"</f>
        <v>3291</v>
      </c>
      <c r="E1955" t="str">
        <f t="shared" si="692"/>
        <v>1</v>
      </c>
      <c r="F1955" t="str">
        <f t="shared" si="681"/>
        <v>COM</v>
      </c>
      <c r="G1955" t="str">
        <f t="shared" si="693"/>
        <v>DROGARIA VAZ (10179)</v>
      </c>
      <c r="H1955" t="str">
        <f>"Serv.Prest. 21/07/2025 a 27/07/2025 - RPS: 1058 - NFSe: 3291"</f>
        <v>Serv.Prest. 21/07/2025 a 27/07/2025 - RPS: 1058 - NFSe: 3291</v>
      </c>
      <c r="I1955" t="str">
        <f t="shared" si="694"/>
        <v>31/01/2026</v>
      </c>
      <c r="J1955" t="str">
        <f>("28/07/2025")</f>
        <v>28/07/2025</v>
      </c>
      <c r="K1955" t="str">
        <f>("25/02/2026")</f>
        <v>25/02/2026</v>
      </c>
      <c r="L1955">
        <v>250.78</v>
      </c>
      <c r="M1955">
        <v>270.77999999999997</v>
      </c>
      <c r="N1955">
        <v>303</v>
      </c>
      <c r="O1955" t="str">
        <f>"RECEITAS COM ENTREGAS"</f>
        <v>RECEITAS COM ENTREGAS</v>
      </c>
      <c r="S1955" t="str">
        <f>"RECEITAS COM ENTREGAS (303)"</f>
        <v>RECEITAS COM ENTREGAS (303)</v>
      </c>
      <c r="T1955">
        <v>4398</v>
      </c>
      <c r="U1955">
        <v>1745</v>
      </c>
      <c r="V1955" t="s">
        <v>22</v>
      </c>
    </row>
    <row r="1956" spans="1:22">
      <c r="A1956" t="str">
        <f t="shared" si="687"/>
        <v>25/02/2026</v>
      </c>
      <c r="B1956" t="str">
        <f t="shared" si="690"/>
        <v>ENTRADA</v>
      </c>
      <c r="C1956" t="str">
        <f t="shared" si="691"/>
        <v>NFSE</v>
      </c>
      <c r="D1956" t="str">
        <f>"3291"</f>
        <v>3291</v>
      </c>
      <c r="E1956" t="str">
        <f t="shared" si="692"/>
        <v>1</v>
      </c>
      <c r="F1956" t="str">
        <f t="shared" si="681"/>
        <v>COM</v>
      </c>
      <c r="G1956" t="str">
        <f t="shared" si="693"/>
        <v>DROGARIA VAZ (10179)</v>
      </c>
      <c r="H1956" t="s">
        <v>482</v>
      </c>
      <c r="I1956" t="str">
        <f t="shared" si="694"/>
        <v>31/01/2026</v>
      </c>
      <c r="J1956" t="str">
        <f>("28/07/2025")</f>
        <v>28/07/2025</v>
      </c>
      <c r="K1956">
        <v>46078</v>
      </c>
      <c r="N1956">
        <v>303</v>
      </c>
      <c r="O1956" t="s">
        <v>26</v>
      </c>
      <c r="Q1956">
        <v>270.77999999999997</v>
      </c>
      <c r="R1956" t="str">
        <f>"DROGARIA VAZ (10179)"</f>
        <v>DROGARIA VAZ (10179)</v>
      </c>
      <c r="S1956" t="s">
        <v>27</v>
      </c>
      <c r="T1956">
        <v>4398</v>
      </c>
      <c r="U1956">
        <v>1745</v>
      </c>
      <c r="V1956" t="s">
        <v>22</v>
      </c>
    </row>
    <row r="1957" spans="1:22">
      <c r="A1957" t="str">
        <f t="shared" si="687"/>
        <v>25/02/2026</v>
      </c>
      <c r="B1957" t="str">
        <f t="shared" si="690"/>
        <v>ENTRADA</v>
      </c>
      <c r="C1957" t="str">
        <f t="shared" si="691"/>
        <v>NFSE</v>
      </c>
      <c r="D1957" t="str">
        <f>"3321"</f>
        <v>3321</v>
      </c>
      <c r="E1957" t="str">
        <f t="shared" si="692"/>
        <v>1</v>
      </c>
      <c r="F1957" t="str">
        <f t="shared" si="681"/>
        <v>COM</v>
      </c>
      <c r="G1957" t="str">
        <f t="shared" si="693"/>
        <v>DROGARIA VAZ (10179)</v>
      </c>
      <c r="H1957" t="str">
        <f>"Serv.Prest. 28/07/2025 a 03/08/2025 - RPS: 1087 - NFSe: 3321"</f>
        <v>Serv.Prest. 28/07/2025 a 03/08/2025 - RPS: 1087 - NFSe: 3321</v>
      </c>
      <c r="I1957" t="str">
        <f t="shared" si="694"/>
        <v>31/01/2026</v>
      </c>
      <c r="J1957" t="str">
        <f>("04/08/2025")</f>
        <v>04/08/2025</v>
      </c>
      <c r="K1957" t="str">
        <f>("25/02/2026")</f>
        <v>25/02/2026</v>
      </c>
      <c r="L1957">
        <v>179.13</v>
      </c>
      <c r="M1957">
        <v>179.13</v>
      </c>
      <c r="N1957">
        <v>303</v>
      </c>
      <c r="O1957" t="str">
        <f>"RECEITAS COM ENTREGAS"</f>
        <v>RECEITAS COM ENTREGAS</v>
      </c>
      <c r="S1957" t="str">
        <f>"RECEITAS COM ENTREGAS (303)"</f>
        <v>RECEITAS COM ENTREGAS (303)</v>
      </c>
      <c r="T1957">
        <v>4398</v>
      </c>
      <c r="U1957">
        <v>1775</v>
      </c>
      <c r="V1957" t="s">
        <v>22</v>
      </c>
    </row>
    <row r="1958" spans="1:22">
      <c r="A1958" t="str">
        <f t="shared" si="687"/>
        <v>25/02/2026</v>
      </c>
      <c r="B1958" t="str">
        <f t="shared" si="690"/>
        <v>ENTRADA</v>
      </c>
      <c r="C1958" t="str">
        <f t="shared" si="691"/>
        <v>NFSE</v>
      </c>
      <c r="D1958" t="str">
        <f>"3321"</f>
        <v>3321</v>
      </c>
      <c r="E1958" t="str">
        <f t="shared" si="692"/>
        <v>1</v>
      </c>
      <c r="F1958" t="str">
        <f t="shared" si="681"/>
        <v>COM</v>
      </c>
      <c r="G1958" t="str">
        <f t="shared" si="693"/>
        <v>DROGARIA VAZ (10179)</v>
      </c>
      <c r="H1958" t="s">
        <v>483</v>
      </c>
      <c r="I1958" t="str">
        <f t="shared" si="694"/>
        <v>31/01/2026</v>
      </c>
      <c r="J1958" t="str">
        <f>("04/08/2025")</f>
        <v>04/08/2025</v>
      </c>
      <c r="K1958">
        <v>46078</v>
      </c>
      <c r="N1958">
        <v>303</v>
      </c>
      <c r="O1958" t="s">
        <v>26</v>
      </c>
      <c r="Q1958">
        <v>179.13</v>
      </c>
      <c r="R1958" t="str">
        <f>"DROGARIA VAZ (10179)"</f>
        <v>DROGARIA VAZ (10179)</v>
      </c>
      <c r="S1958" t="s">
        <v>27</v>
      </c>
      <c r="T1958">
        <v>4398</v>
      </c>
      <c r="U1958">
        <v>1775</v>
      </c>
      <c r="V1958" t="s">
        <v>22</v>
      </c>
    </row>
    <row r="1959" spans="1:22">
      <c r="A1959" t="str">
        <f t="shared" si="687"/>
        <v>25/02/2026</v>
      </c>
      <c r="B1959" t="str">
        <f t="shared" si="690"/>
        <v>ENTRADA</v>
      </c>
      <c r="C1959" t="str">
        <f t="shared" si="691"/>
        <v>NFSE</v>
      </c>
      <c r="D1959" t="str">
        <f>"3335"</f>
        <v>3335</v>
      </c>
      <c r="E1959" t="str">
        <f t="shared" si="692"/>
        <v>1</v>
      </c>
      <c r="F1959" t="str">
        <f t="shared" si="681"/>
        <v>COM</v>
      </c>
      <c r="G1959" t="str">
        <f t="shared" si="693"/>
        <v>DROGARIA VAZ (10179)</v>
      </c>
      <c r="H1959" t="str">
        <f>"Serv.Prest. 04/08/2025 a 10/08/2025 - RPS: 1101 - NFSe: 3335"</f>
        <v>Serv.Prest. 04/08/2025 a 10/08/2025 - RPS: 1101 - NFSe: 3335</v>
      </c>
      <c r="I1959" t="str">
        <f t="shared" si="694"/>
        <v>31/01/2026</v>
      </c>
      <c r="J1959" t="str">
        <f>("11/08/2025")</f>
        <v>11/08/2025</v>
      </c>
      <c r="K1959" t="str">
        <f>("25/02/2026")</f>
        <v>25/02/2026</v>
      </c>
      <c r="L1959">
        <v>180.41</v>
      </c>
      <c r="M1959">
        <v>180.41</v>
      </c>
      <c r="N1959">
        <v>303</v>
      </c>
      <c r="O1959" t="str">
        <f>"RECEITAS COM ENTREGAS"</f>
        <v>RECEITAS COM ENTREGAS</v>
      </c>
      <c r="S1959" t="str">
        <f>"RECEITAS COM ENTREGAS (303)"</f>
        <v>RECEITAS COM ENTREGAS (303)</v>
      </c>
      <c r="T1959">
        <v>4398</v>
      </c>
      <c r="U1959">
        <v>1836</v>
      </c>
      <c r="V1959" t="s">
        <v>22</v>
      </c>
    </row>
    <row r="1960" spans="1:22">
      <c r="A1960" t="str">
        <f t="shared" si="687"/>
        <v>25/02/2026</v>
      </c>
      <c r="B1960" t="str">
        <f t="shared" si="690"/>
        <v>ENTRADA</v>
      </c>
      <c r="C1960" t="str">
        <f t="shared" si="691"/>
        <v>NFSE</v>
      </c>
      <c r="D1960" t="str">
        <f>"3335"</f>
        <v>3335</v>
      </c>
      <c r="E1960" t="str">
        <f t="shared" si="692"/>
        <v>1</v>
      </c>
      <c r="F1960" t="str">
        <f t="shared" si="681"/>
        <v>COM</v>
      </c>
      <c r="G1960" t="str">
        <f t="shared" si="693"/>
        <v>DROGARIA VAZ (10179)</v>
      </c>
      <c r="H1960" t="s">
        <v>484</v>
      </c>
      <c r="I1960" t="str">
        <f t="shared" si="694"/>
        <v>31/01/2026</v>
      </c>
      <c r="J1960" t="str">
        <f>("11/08/2025")</f>
        <v>11/08/2025</v>
      </c>
      <c r="K1960">
        <v>46078</v>
      </c>
      <c r="N1960">
        <v>303</v>
      </c>
      <c r="O1960" t="s">
        <v>26</v>
      </c>
      <c r="Q1960">
        <v>180.41</v>
      </c>
      <c r="R1960" t="str">
        <f>"DROGARIA VAZ (10179)"</f>
        <v>DROGARIA VAZ (10179)</v>
      </c>
      <c r="S1960" t="s">
        <v>27</v>
      </c>
      <c r="T1960">
        <v>4398</v>
      </c>
      <c r="U1960">
        <v>1836</v>
      </c>
      <c r="V1960" t="s">
        <v>22</v>
      </c>
    </row>
    <row r="1961" spans="1:22">
      <c r="A1961" t="str">
        <f t="shared" si="687"/>
        <v>25/02/2026</v>
      </c>
      <c r="B1961" t="str">
        <f t="shared" si="690"/>
        <v>ENTRADA</v>
      </c>
      <c r="C1961" t="str">
        <f t="shared" si="691"/>
        <v>NFSE</v>
      </c>
      <c r="D1961" t="str">
        <f>"327"</f>
        <v>327</v>
      </c>
      <c r="E1961" t="str">
        <f t="shared" si="692"/>
        <v>1</v>
      </c>
      <c r="F1961" t="str">
        <f t="shared" si="681"/>
        <v>COM</v>
      </c>
      <c r="G1961" t="str">
        <f>"FARMA &amp; FORMA (10296)"</f>
        <v>FARMA &amp; FORMA (10296)</v>
      </c>
      <c r="H1961" t="str">
        <f>"Serv.Prest. 09/02/2026 a 15/02/2026 - RPS: 2249 - NFSe: 327"</f>
        <v>Serv.Prest. 09/02/2026 a 15/02/2026 - RPS: 2249 - NFSe: 327</v>
      </c>
      <c r="I1961" t="str">
        <f>("18/02/2026")</f>
        <v>18/02/2026</v>
      </c>
      <c r="J1961" t="str">
        <f>("16/02/2026")</f>
        <v>16/02/2026</v>
      </c>
      <c r="K1961" t="str">
        <f>("25/02/2026")</f>
        <v>25/02/2026</v>
      </c>
      <c r="L1961">
        <v>300.81</v>
      </c>
      <c r="M1961">
        <v>300.81</v>
      </c>
      <c r="N1961">
        <v>303</v>
      </c>
      <c r="O1961" t="str">
        <f>"RECEITAS COM ENTREGAS"</f>
        <v>RECEITAS COM ENTREGAS</v>
      </c>
      <c r="P1961">
        <v>300.81</v>
      </c>
      <c r="S1961" t="str">
        <f>"RECEITAS COM ENTREGAS (303)"</f>
        <v>RECEITAS COM ENTREGAS (303)</v>
      </c>
      <c r="T1961">
        <v>4399</v>
      </c>
      <c r="U1961">
        <v>3778</v>
      </c>
      <c r="V1961" t="s">
        <v>22</v>
      </c>
    </row>
    <row r="1962" spans="1:22">
      <c r="A1962" t="str">
        <f t="shared" si="687"/>
        <v>25/02/2026</v>
      </c>
      <c r="B1962" t="str">
        <f t="shared" si="690"/>
        <v>ENTRADA</v>
      </c>
      <c r="C1962" t="str">
        <f t="shared" si="691"/>
        <v>NFSE</v>
      </c>
      <c r="D1962" t="str">
        <f>"327"</f>
        <v>327</v>
      </c>
      <c r="E1962" t="str">
        <f t="shared" si="692"/>
        <v>1</v>
      </c>
      <c r="F1962" t="str">
        <f t="shared" ref="F1962:F1972" si="695">"COM"</f>
        <v>COM</v>
      </c>
      <c r="G1962" t="str">
        <f>"FARMA &amp; FORMA (10296)"</f>
        <v>FARMA &amp; FORMA (10296)</v>
      </c>
      <c r="H1962" t="s">
        <v>485</v>
      </c>
      <c r="I1962" t="str">
        <f>("18/02/2026")</f>
        <v>18/02/2026</v>
      </c>
      <c r="J1962" t="str">
        <f>("16/02/2026")</f>
        <v>16/02/2026</v>
      </c>
      <c r="K1962">
        <v>46078</v>
      </c>
      <c r="N1962">
        <v>303</v>
      </c>
      <c r="O1962" t="s">
        <v>26</v>
      </c>
      <c r="Q1962">
        <v>300.81</v>
      </c>
      <c r="R1962" t="str">
        <f>"FARMA &amp; FORMA (10296)"</f>
        <v>FARMA &amp; FORMA (10296)</v>
      </c>
      <c r="S1962" t="s">
        <v>27</v>
      </c>
      <c r="T1962">
        <v>4399</v>
      </c>
      <c r="U1962">
        <v>3778</v>
      </c>
      <c r="V1962" t="s">
        <v>22</v>
      </c>
    </row>
    <row r="1963" spans="1:22">
      <c r="A1963" t="str">
        <f t="shared" ref="A1963:A1972" si="696">("27/02/2026")</f>
        <v>27/02/2026</v>
      </c>
      <c r="B1963" t="str">
        <f t="shared" si="690"/>
        <v>ENTRADA</v>
      </c>
      <c r="C1963" t="str">
        <f t="shared" si="691"/>
        <v>NFSE</v>
      </c>
      <c r="D1963" t="str">
        <f t="shared" ref="D1963:D1968" si="697">"306"</f>
        <v>306</v>
      </c>
      <c r="E1963" t="str">
        <f t="shared" si="692"/>
        <v>1</v>
      </c>
      <c r="F1963" t="str">
        <f t="shared" si="695"/>
        <v>COM</v>
      </c>
      <c r="G1963" t="str">
        <f t="shared" ref="G1963:G1968" si="698">"PENSE FARMA 08 (10217)"</f>
        <v>PENSE FARMA 08 (10217)</v>
      </c>
      <c r="H1963" t="str">
        <f>"Serv.Prest. 02/02/2026 a 08/02/2026 - RPS: 2229 - NFSe: 306"</f>
        <v>Serv.Prest. 02/02/2026 a 08/02/2026 - RPS: 2229 - NFSe: 306</v>
      </c>
      <c r="I1963" t="str">
        <f t="shared" ref="I1963:I1968" si="699">("26/02/2026")</f>
        <v>26/02/2026</v>
      </c>
      <c r="J1963" t="str">
        <f t="shared" ref="J1963:J1968" si="700">("10/02/2026")</f>
        <v>10/02/2026</v>
      </c>
      <c r="K1963" t="str">
        <f>("27/02/2026")</f>
        <v>27/02/2026</v>
      </c>
      <c r="L1963">
        <v>589.5</v>
      </c>
      <c r="M1963">
        <v>589.5</v>
      </c>
      <c r="N1963">
        <v>303</v>
      </c>
      <c r="O1963" t="str">
        <f>"RECEITAS COM ENTREGAS"</f>
        <v>RECEITAS COM ENTREGAS</v>
      </c>
      <c r="P1963">
        <v>589.5</v>
      </c>
      <c r="S1963" t="str">
        <f>"RECEITAS COM ENTREGAS (303)"</f>
        <v>RECEITAS COM ENTREGAS (303)</v>
      </c>
      <c r="T1963">
        <v>4401</v>
      </c>
      <c r="U1963">
        <v>3724</v>
      </c>
      <c r="V1963" t="s">
        <v>22</v>
      </c>
    </row>
    <row r="1964" spans="1:22">
      <c r="A1964" t="str">
        <f t="shared" si="696"/>
        <v>27/02/2026</v>
      </c>
      <c r="B1964" t="str">
        <f t="shared" si="690"/>
        <v>ENTRADA</v>
      </c>
      <c r="C1964" t="str">
        <f t="shared" si="691"/>
        <v>NFSE</v>
      </c>
      <c r="D1964" t="str">
        <f t="shared" si="697"/>
        <v>306</v>
      </c>
      <c r="E1964" t="str">
        <f t="shared" si="692"/>
        <v>1</v>
      </c>
      <c r="F1964" t="str">
        <f t="shared" si="695"/>
        <v>COM</v>
      </c>
      <c r="G1964" t="str">
        <f t="shared" si="698"/>
        <v>PENSE FARMA 08 (10217)</v>
      </c>
      <c r="H1964" t="s">
        <v>486</v>
      </c>
      <c r="I1964" t="str">
        <f t="shared" si="699"/>
        <v>26/02/2026</v>
      </c>
      <c r="J1964" t="str">
        <f t="shared" si="700"/>
        <v>10/02/2026</v>
      </c>
      <c r="K1964">
        <v>46080</v>
      </c>
      <c r="N1964">
        <v>303</v>
      </c>
      <c r="O1964" t="s">
        <v>26</v>
      </c>
      <c r="Q1964">
        <v>117.9</v>
      </c>
      <c r="R1964" t="str">
        <f>"PENSE FARMA 08 (10217)"</f>
        <v>PENSE FARMA 08 (10217)</v>
      </c>
      <c r="S1964" t="s">
        <v>27</v>
      </c>
      <c r="T1964">
        <v>4401</v>
      </c>
      <c r="U1964">
        <v>3724</v>
      </c>
      <c r="V1964" t="s">
        <v>22</v>
      </c>
    </row>
    <row r="1965" spans="1:22">
      <c r="A1965" t="str">
        <f t="shared" si="696"/>
        <v>27/02/2026</v>
      </c>
      <c r="B1965" t="str">
        <f t="shared" si="690"/>
        <v>ENTRADA</v>
      </c>
      <c r="C1965" t="str">
        <f t="shared" si="691"/>
        <v>NFSE</v>
      </c>
      <c r="D1965" t="str">
        <f t="shared" si="697"/>
        <v>306</v>
      </c>
      <c r="E1965" t="str">
        <f t="shared" si="692"/>
        <v>1</v>
      </c>
      <c r="F1965" t="str">
        <f t="shared" si="695"/>
        <v>COM</v>
      </c>
      <c r="G1965" t="str">
        <f t="shared" si="698"/>
        <v>PENSE FARMA 08 (10217)</v>
      </c>
      <c r="H1965" t="s">
        <v>486</v>
      </c>
      <c r="I1965" t="str">
        <f t="shared" si="699"/>
        <v>26/02/2026</v>
      </c>
      <c r="J1965" t="str">
        <f t="shared" si="700"/>
        <v>10/02/2026</v>
      </c>
      <c r="K1965">
        <v>46080</v>
      </c>
      <c r="N1965">
        <v>303</v>
      </c>
      <c r="O1965" t="s">
        <v>26</v>
      </c>
      <c r="Q1965">
        <v>117.9</v>
      </c>
      <c r="R1965" t="str">
        <f>"PENSE FARMA 11 (10220)"</f>
        <v>PENSE FARMA 11 (10220)</v>
      </c>
      <c r="S1965" t="s">
        <v>27</v>
      </c>
      <c r="T1965">
        <v>4401</v>
      </c>
      <c r="U1965">
        <v>3724</v>
      </c>
      <c r="V1965" t="s">
        <v>22</v>
      </c>
    </row>
    <row r="1966" spans="1:22">
      <c r="A1966" t="str">
        <f t="shared" si="696"/>
        <v>27/02/2026</v>
      </c>
      <c r="B1966" t="str">
        <f t="shared" si="690"/>
        <v>ENTRADA</v>
      </c>
      <c r="C1966" t="str">
        <f t="shared" si="691"/>
        <v>NFSE</v>
      </c>
      <c r="D1966" t="str">
        <f t="shared" si="697"/>
        <v>306</v>
      </c>
      <c r="E1966" t="str">
        <f t="shared" si="692"/>
        <v>1</v>
      </c>
      <c r="F1966" t="str">
        <f t="shared" si="695"/>
        <v>COM</v>
      </c>
      <c r="G1966" t="str">
        <f t="shared" si="698"/>
        <v>PENSE FARMA 08 (10217)</v>
      </c>
      <c r="H1966" t="s">
        <v>486</v>
      </c>
      <c r="I1966" t="str">
        <f t="shared" si="699"/>
        <v>26/02/2026</v>
      </c>
      <c r="J1966" t="str">
        <f t="shared" si="700"/>
        <v>10/02/2026</v>
      </c>
      <c r="K1966">
        <v>46080</v>
      </c>
      <c r="N1966">
        <v>303</v>
      </c>
      <c r="O1966" t="s">
        <v>26</v>
      </c>
      <c r="Q1966">
        <v>117.9</v>
      </c>
      <c r="R1966" t="str">
        <f>"PENSE FARMA 41 (10229)"</f>
        <v>PENSE FARMA 41 (10229)</v>
      </c>
      <c r="S1966" t="s">
        <v>27</v>
      </c>
      <c r="T1966">
        <v>4401</v>
      </c>
      <c r="U1966">
        <v>3724</v>
      </c>
      <c r="V1966" t="s">
        <v>22</v>
      </c>
    </row>
    <row r="1967" spans="1:22">
      <c r="A1967" t="str">
        <f t="shared" si="696"/>
        <v>27/02/2026</v>
      </c>
      <c r="B1967" t="str">
        <f t="shared" si="690"/>
        <v>ENTRADA</v>
      </c>
      <c r="C1967" t="str">
        <f t="shared" si="691"/>
        <v>NFSE</v>
      </c>
      <c r="D1967" t="str">
        <f t="shared" si="697"/>
        <v>306</v>
      </c>
      <c r="E1967" t="str">
        <f t="shared" si="692"/>
        <v>1</v>
      </c>
      <c r="F1967" t="str">
        <f t="shared" si="695"/>
        <v>COM</v>
      </c>
      <c r="G1967" t="str">
        <f t="shared" si="698"/>
        <v>PENSE FARMA 08 (10217)</v>
      </c>
      <c r="H1967" t="s">
        <v>486</v>
      </c>
      <c r="I1967" t="str">
        <f t="shared" si="699"/>
        <v>26/02/2026</v>
      </c>
      <c r="J1967" t="str">
        <f t="shared" si="700"/>
        <v>10/02/2026</v>
      </c>
      <c r="K1967">
        <v>46080</v>
      </c>
      <c r="N1967">
        <v>303</v>
      </c>
      <c r="O1967" t="s">
        <v>26</v>
      </c>
      <c r="Q1967">
        <v>117.9</v>
      </c>
      <c r="R1967" t="str">
        <f>"PENSE FARMA 42 (10230)"</f>
        <v>PENSE FARMA 42 (10230)</v>
      </c>
      <c r="S1967" t="s">
        <v>27</v>
      </c>
      <c r="T1967">
        <v>4401</v>
      </c>
      <c r="U1967">
        <v>3724</v>
      </c>
      <c r="V1967" t="s">
        <v>22</v>
      </c>
    </row>
    <row r="1968" spans="1:22">
      <c r="A1968" t="str">
        <f t="shared" si="696"/>
        <v>27/02/2026</v>
      </c>
      <c r="B1968" t="str">
        <f t="shared" si="690"/>
        <v>ENTRADA</v>
      </c>
      <c r="C1968" t="str">
        <f t="shared" si="691"/>
        <v>NFSE</v>
      </c>
      <c r="D1968" t="str">
        <f t="shared" si="697"/>
        <v>306</v>
      </c>
      <c r="E1968" t="str">
        <f t="shared" si="692"/>
        <v>1</v>
      </c>
      <c r="F1968" t="str">
        <f t="shared" si="695"/>
        <v>COM</v>
      </c>
      <c r="G1968" t="str">
        <f t="shared" si="698"/>
        <v>PENSE FARMA 08 (10217)</v>
      </c>
      <c r="H1968" t="s">
        <v>486</v>
      </c>
      <c r="I1968" t="str">
        <f t="shared" si="699"/>
        <v>26/02/2026</v>
      </c>
      <c r="J1968" t="str">
        <f t="shared" si="700"/>
        <v>10/02/2026</v>
      </c>
      <c r="K1968">
        <v>46080</v>
      </c>
      <c r="N1968">
        <v>303</v>
      </c>
      <c r="O1968" t="s">
        <v>26</v>
      </c>
      <c r="Q1968">
        <v>117.9</v>
      </c>
      <c r="R1968" t="str">
        <f>"PENSE FARMA 52 (10236)"</f>
        <v>PENSE FARMA 52 (10236)</v>
      </c>
      <c r="S1968" t="s">
        <v>27</v>
      </c>
      <c r="T1968">
        <v>4401</v>
      </c>
      <c r="U1968">
        <v>3724</v>
      </c>
      <c r="V1968" t="s">
        <v>22</v>
      </c>
    </row>
    <row r="1969" spans="1:22">
      <c r="A1969" t="str">
        <f t="shared" si="696"/>
        <v>27/02/2026</v>
      </c>
      <c r="B1969" t="str">
        <f>"SAÍDA"</f>
        <v>SAÍDA</v>
      </c>
      <c r="C1969" t="str">
        <f>"BOLETO"</f>
        <v>BOLETO</v>
      </c>
      <c r="D1969" t="str">
        <f>"2702"</f>
        <v>2702</v>
      </c>
      <c r="E1969" t="str">
        <f>"26"</f>
        <v>26</v>
      </c>
      <c r="F1969" t="str">
        <f t="shared" si="695"/>
        <v>COM</v>
      </c>
      <c r="G1969" t="str">
        <f>"CORA SOCIEDADE DE CREDITO, FINANCIAMENTO E INVESTIMENTO (20035)"</f>
        <v>CORA SOCIEDADE DE CREDITO, FINANCIAMENTO E INVESTIMENTO (20035)</v>
      </c>
      <c r="H1969" t="str">
        <f>"TAXA BOLETO CORA"</f>
        <v>TAXA BOLETO CORA</v>
      </c>
      <c r="I1969" t="str">
        <f>("27/02/2026")</f>
        <v>27/02/2026</v>
      </c>
      <c r="J1969" t="str">
        <f>("27/02/2026")</f>
        <v>27/02/2026</v>
      </c>
      <c r="K1969" t="str">
        <f>("27/02/2026")</f>
        <v>27/02/2026</v>
      </c>
      <c r="L1969">
        <v>1.7</v>
      </c>
      <c r="M1969">
        <v>1.7</v>
      </c>
      <c r="N1969">
        <v>401</v>
      </c>
      <c r="O1969" t="str">
        <f>"IOF/JUROS/DESP.FINANCEIRA"</f>
        <v>IOF/JUROS/DESP.FINANCEIRA</v>
      </c>
      <c r="P1969">
        <v>1.7</v>
      </c>
      <c r="S1969" t="str">
        <f>"BANCO CORA (102)"</f>
        <v>BANCO CORA (102)</v>
      </c>
      <c r="T1969">
        <v>4402</v>
      </c>
      <c r="U1969">
        <v>3293</v>
      </c>
      <c r="V1969" t="s">
        <v>22</v>
      </c>
    </row>
    <row r="1970" spans="1:22">
      <c r="A1970" t="str">
        <f t="shared" si="696"/>
        <v>27/02/2026</v>
      </c>
      <c r="B1970" t="str">
        <f>"SAÍDA"</f>
        <v>SAÍDA</v>
      </c>
      <c r="C1970" t="str">
        <f>"BOLETO"</f>
        <v>BOLETO</v>
      </c>
      <c r="D1970" t="str">
        <f>"2702"</f>
        <v>2702</v>
      </c>
      <c r="E1970" t="str">
        <f>"26"</f>
        <v>26</v>
      </c>
      <c r="F1970" t="str">
        <f t="shared" si="695"/>
        <v>COM</v>
      </c>
      <c r="G1970" t="str">
        <f>"CORA SOCIEDADE DE CREDITO, FINANCIAMENTO E INVESTIMENTO (20035)"</f>
        <v>CORA SOCIEDADE DE CREDITO, FINANCIAMENTO E INVESTIMENTO (20035)</v>
      </c>
      <c r="H1970" t="s">
        <v>121</v>
      </c>
      <c r="I1970" t="str">
        <f>("27/02/2026")</f>
        <v>27/02/2026</v>
      </c>
      <c r="J1970" t="str">
        <f>("27/02/2026")</f>
        <v>27/02/2026</v>
      </c>
      <c r="K1970">
        <v>46080</v>
      </c>
      <c r="N1970">
        <v>401</v>
      </c>
      <c r="O1970" t="s">
        <v>58</v>
      </c>
      <c r="Q1970">
        <v>1.7</v>
      </c>
      <c r="R1970" t="str">
        <f>"PENSE FARMA 08 (10217)"</f>
        <v>PENSE FARMA 08 (10217)</v>
      </c>
      <c r="S1970" t="s">
        <v>22</v>
      </c>
      <c r="T1970">
        <v>4402</v>
      </c>
      <c r="U1970">
        <v>3293</v>
      </c>
      <c r="V1970" t="s">
        <v>22</v>
      </c>
    </row>
    <row r="1971" spans="1:22">
      <c r="A1971" t="str">
        <f t="shared" si="696"/>
        <v>27/02/2026</v>
      </c>
      <c r="B1971" t="str">
        <f>"ENTRADA"</f>
        <v>ENTRADA</v>
      </c>
      <c r="C1971" t="str">
        <f>"NFSE"</f>
        <v>NFSE</v>
      </c>
      <c r="D1971" t="str">
        <f>"386"</f>
        <v>386</v>
      </c>
      <c r="E1971" t="str">
        <f>"1"</f>
        <v>1</v>
      </c>
      <c r="F1971" t="str">
        <f t="shared" si="695"/>
        <v>COM</v>
      </c>
      <c r="G1971" t="str">
        <f>"FARMA &amp; FORMA (10296)"</f>
        <v>FARMA &amp; FORMA (10296)</v>
      </c>
      <c r="H1971" t="str">
        <f>"Serv.Prest. 16/02/2026 a 22/02/2026 - RPS: 2306 - NFSe: 386"</f>
        <v>Serv.Prest. 16/02/2026 a 22/02/2026 - RPS: 2306 - NFSe: 386</v>
      </c>
      <c r="I1971" t="str">
        <f>("25/02/2026")</f>
        <v>25/02/2026</v>
      </c>
      <c r="J1971" t="str">
        <f>("23/02/2026")</f>
        <v>23/02/2026</v>
      </c>
      <c r="K1971" t="str">
        <f>("27/02/2026")</f>
        <v>27/02/2026</v>
      </c>
      <c r="L1971">
        <v>300.81</v>
      </c>
      <c r="M1971">
        <v>300.81</v>
      </c>
      <c r="N1971">
        <v>303</v>
      </c>
      <c r="O1971" t="str">
        <f>"RECEITAS COM ENTREGAS"</f>
        <v>RECEITAS COM ENTREGAS</v>
      </c>
      <c r="P1971">
        <v>300.81</v>
      </c>
      <c r="S1971" t="str">
        <f>"RECEITAS COM ENTREGAS (303)"</f>
        <v>RECEITAS COM ENTREGAS (303)</v>
      </c>
      <c r="T1971">
        <v>4403</v>
      </c>
      <c r="U1971">
        <v>3860</v>
      </c>
      <c r="V1971" t="s">
        <v>22</v>
      </c>
    </row>
    <row r="1972" spans="1:22">
      <c r="A1972" t="str">
        <f t="shared" si="696"/>
        <v>27/02/2026</v>
      </c>
      <c r="B1972" t="str">
        <f>"ENTRADA"</f>
        <v>ENTRADA</v>
      </c>
      <c r="C1972" t="str">
        <f>"NFSE"</f>
        <v>NFSE</v>
      </c>
      <c r="D1972" t="str">
        <f>"386"</f>
        <v>386</v>
      </c>
      <c r="E1972" t="str">
        <f>"1"</f>
        <v>1</v>
      </c>
      <c r="F1972" t="str">
        <f t="shared" si="695"/>
        <v>COM</v>
      </c>
      <c r="G1972" t="str">
        <f>"FARMA &amp; FORMA (10296)"</f>
        <v>FARMA &amp; FORMA (10296)</v>
      </c>
      <c r="H1972" t="s">
        <v>487</v>
      </c>
      <c r="I1972" t="str">
        <f>("25/02/2026")</f>
        <v>25/02/2026</v>
      </c>
      <c r="J1972" t="str">
        <f>("23/02/2026")</f>
        <v>23/02/2026</v>
      </c>
      <c r="K1972">
        <v>46080</v>
      </c>
      <c r="N1972">
        <v>303</v>
      </c>
      <c r="O1972" t="s">
        <v>26</v>
      </c>
      <c r="Q1972">
        <v>300.81</v>
      </c>
      <c r="R1972" t="str">
        <f>"FARMA &amp; FORMA (10296)"</f>
        <v>FARMA &amp; FORMA (10296)</v>
      </c>
      <c r="S1972" t="s">
        <v>27</v>
      </c>
      <c r="T1972">
        <v>4403</v>
      </c>
      <c r="U1972">
        <v>3860</v>
      </c>
      <c r="V1972" t="s">
        <v>22</v>
      </c>
    </row>
  </sheetData>
  <autoFilter ref="A1:V19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Francinne</dc:creator>
  <cp:lastModifiedBy>Robert Magdiel</cp:lastModifiedBy>
  <dcterms:created xsi:type="dcterms:W3CDTF">2026-03-06T12:35:34Z</dcterms:created>
  <dcterms:modified xsi:type="dcterms:W3CDTF">2026-04-15T12:32:24Z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</Properties>
</file>